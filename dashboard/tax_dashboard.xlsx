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b93a0a05b35954a/Desktop/Data Projects/BIR Tax Collection/dashboard/pq data ^M dashboard/"/>
    </mc:Choice>
  </mc:AlternateContent>
  <xr:revisionPtr revIDLastSave="16" documentId="8_{A501C9EE-22C5-4FC3-A0DD-CF351043CF75}" xr6:coauthVersionLast="47" xr6:coauthVersionMax="47" xr10:uidLastSave="{1971CF92-0B0F-4FD3-837D-42004A2A8BED}"/>
  <bookViews>
    <workbookView xWindow="-108" yWindow="-108" windowWidth="23256" windowHeight="13896" activeTab="3" xr2:uid="{00000000-000D-0000-FFFF-FFFF00000000}"/>
  </bookViews>
  <sheets>
    <sheet name="tax_dashboard" sheetId="4" r:id="rId1"/>
    <sheet name="pivot" sheetId="1" r:id="rId2"/>
    <sheet name="kpi" sheetId="5" r:id="rId3"/>
    <sheet name="Sheet1" sheetId="3" r:id="rId4"/>
  </sheets>
  <definedNames>
    <definedName name="ExternalData_1" localSheetId="0" hidden="1">tax_dashboard!$A$1:$H$6001</definedName>
    <definedName name="Slicer_Code">#N/A</definedName>
    <definedName name="Slicer_Years__Date">#N/A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5" l="1"/>
  <c r="AH3" i="1" a="1"/>
  <c r="H3" i="1" a="1"/>
  <c r="I4" i="1" l="1"/>
  <c r="I5" i="1"/>
  <c r="I6" i="1"/>
  <c r="I7" i="1"/>
  <c r="I8" i="1"/>
  <c r="I9" i="1"/>
  <c r="I10" i="1"/>
  <c r="I11" i="1"/>
  <c r="I12" i="1"/>
  <c r="I13" i="1"/>
  <c r="I14" i="1"/>
  <c r="I15" i="1"/>
  <c r="I16" i="1"/>
  <c r="I17" i="1"/>
  <c r="I18" i="1"/>
  <c r="I19" i="1"/>
  <c r="H3" i="1"/>
  <c r="I3" i="1" s="1"/>
  <c r="H1" i="5" s="1"/>
  <c r="AH3" i="1"/>
  <c r="AY21" i="1"/>
  <c r="AY22" i="1"/>
  <c r="AY23" i="1"/>
  <c r="AY24" i="1"/>
  <c r="AY25" i="1"/>
  <c r="AY26" i="1"/>
  <c r="AY27" i="1"/>
  <c r="AY28" i="1"/>
  <c r="AY29" i="1"/>
  <c r="AY30" i="1"/>
  <c r="AY31" i="1"/>
  <c r="AX21" i="1"/>
  <c r="AX22" i="1"/>
  <c r="AX23" i="1"/>
  <c r="AX24" i="1"/>
  <c r="AX25" i="1"/>
  <c r="AX26" i="1"/>
  <c r="AX27" i="1"/>
  <c r="AX28" i="1"/>
  <c r="AX29" i="1"/>
  <c r="AX30" i="1"/>
  <c r="AX31" i="1"/>
  <c r="AW21" i="1"/>
  <c r="AW22" i="1"/>
  <c r="AW23" i="1"/>
  <c r="AW24" i="1"/>
  <c r="AW25" i="1"/>
  <c r="AW26" i="1"/>
  <c r="AW27" i="1"/>
  <c r="AW28" i="1"/>
  <c r="AW29" i="1"/>
  <c r="AW30" i="1"/>
  <c r="AW31" i="1"/>
  <c r="AV21" i="1"/>
  <c r="AV22" i="1"/>
  <c r="AV23" i="1"/>
  <c r="AV24" i="1"/>
  <c r="AV25" i="1"/>
  <c r="AV26" i="1"/>
  <c r="AV27" i="1"/>
  <c r="AV28" i="1"/>
  <c r="AV29" i="1"/>
  <c r="AV30" i="1"/>
  <c r="AV31" i="1"/>
  <c r="AU21" i="1"/>
  <c r="AU22" i="1"/>
  <c r="AU24" i="1"/>
  <c r="AU25" i="1"/>
  <c r="AU26" i="1"/>
  <c r="AU27" i="1"/>
  <c r="AU28" i="1"/>
  <c r="AU29" i="1"/>
  <c r="AU30" i="1"/>
  <c r="AU31" i="1"/>
  <c r="AT21" i="1"/>
  <c r="AT22" i="1"/>
  <c r="AT23" i="1"/>
  <c r="AT24" i="1"/>
  <c r="AT25" i="1"/>
  <c r="AT26" i="1"/>
  <c r="AT27" i="1"/>
  <c r="AT28" i="1"/>
  <c r="AT29" i="1"/>
  <c r="AT30" i="1"/>
  <c r="AT31" i="1"/>
  <c r="AS21" i="1"/>
  <c r="AS22" i="1"/>
  <c r="AS23" i="1"/>
  <c r="AS24" i="1"/>
  <c r="AS25" i="1"/>
  <c r="AS26" i="1"/>
  <c r="AS27" i="1"/>
  <c r="AS28" i="1"/>
  <c r="AS29" i="1"/>
  <c r="AS30" i="1"/>
  <c r="AS31" i="1"/>
  <c r="AR22" i="1"/>
  <c r="AR23" i="1"/>
  <c r="AR24" i="1"/>
  <c r="AR26" i="1"/>
  <c r="AL25" i="1"/>
  <c r="AL27" i="1"/>
  <c r="AL29" i="1"/>
  <c r="AK23" i="1"/>
  <c r="AK25" i="1"/>
  <c r="AK27" i="1"/>
  <c r="AI27" i="1"/>
  <c r="AI29" i="1"/>
  <c r="AI20" i="1"/>
  <c r="AU23" i="1"/>
  <c r="AR21" i="1"/>
  <c r="AR25" i="1"/>
  <c r="AL24" i="1"/>
  <c r="AK21" i="1"/>
  <c r="AK24" i="1"/>
  <c r="AK26" i="1"/>
  <c r="AK29" i="1"/>
  <c r="AK31" i="1"/>
  <c r="AJ22" i="1"/>
  <c r="AJ24" i="1"/>
  <c r="AJ25" i="1"/>
  <c r="AJ27" i="1"/>
  <c r="AJ30" i="1"/>
  <c r="AK20" i="1"/>
  <c r="AM20" i="1"/>
  <c r="AN20" i="1"/>
  <c r="AP20" i="1"/>
  <c r="AU20" i="1"/>
  <c r="AX20" i="1"/>
  <c r="AZ20" i="1"/>
  <c r="AI21" i="1"/>
  <c r="AI22" i="1"/>
  <c r="AI23" i="1"/>
  <c r="AI24" i="1"/>
  <c r="AI25" i="1"/>
  <c r="AI26" i="1"/>
  <c r="AI28" i="1"/>
  <c r="AI30" i="1"/>
  <c r="AI31" i="1"/>
  <c r="AR27" i="1"/>
  <c r="AR28" i="1"/>
  <c r="AR29" i="1"/>
  <c r="AR30" i="1"/>
  <c r="AR31" i="1"/>
  <c r="AQ21" i="1"/>
  <c r="AQ22" i="1"/>
  <c r="AQ23" i="1"/>
  <c r="AQ24" i="1"/>
  <c r="AQ25" i="1"/>
  <c r="AQ26" i="1"/>
  <c r="AQ27" i="1"/>
  <c r="AQ28" i="1"/>
  <c r="AQ29" i="1"/>
  <c r="AQ30" i="1"/>
  <c r="AQ31" i="1"/>
  <c r="AP21" i="1"/>
  <c r="AP22" i="1"/>
  <c r="AP23" i="1"/>
  <c r="AP24" i="1"/>
  <c r="AP25" i="1"/>
  <c r="AP26" i="1"/>
  <c r="AP27" i="1"/>
  <c r="AP28" i="1"/>
  <c r="AP29" i="1"/>
  <c r="AP30" i="1"/>
  <c r="AP31" i="1"/>
  <c r="AO21" i="1"/>
  <c r="AO22" i="1"/>
  <c r="AO23" i="1"/>
  <c r="AO24" i="1"/>
  <c r="AO25" i="1"/>
  <c r="AO26" i="1"/>
  <c r="AO27" i="1"/>
  <c r="AO28" i="1"/>
  <c r="AO29" i="1"/>
  <c r="AO30" i="1"/>
  <c r="AO31" i="1"/>
  <c r="AN21" i="1"/>
  <c r="AN22" i="1"/>
  <c r="AN23" i="1"/>
  <c r="AN24" i="1"/>
  <c r="AN25" i="1"/>
  <c r="AN26" i="1"/>
  <c r="AN27" i="1"/>
  <c r="AN28" i="1"/>
  <c r="AN29" i="1"/>
  <c r="AN30" i="1"/>
  <c r="AN31" i="1"/>
  <c r="AM21" i="1"/>
  <c r="AM22" i="1"/>
  <c r="AM23" i="1"/>
  <c r="AM24" i="1"/>
  <c r="AM25" i="1"/>
  <c r="AM26" i="1"/>
  <c r="AM27" i="1"/>
  <c r="AM28" i="1"/>
  <c r="AM29" i="1"/>
  <c r="AM30" i="1"/>
  <c r="AM31" i="1"/>
  <c r="AL21" i="1"/>
  <c r="AL22" i="1"/>
  <c r="AL23" i="1"/>
  <c r="AL26" i="1"/>
  <c r="AL28" i="1"/>
  <c r="AL30" i="1"/>
  <c r="AL31" i="1"/>
  <c r="AK22" i="1"/>
  <c r="AK28" i="1"/>
  <c r="AK30" i="1"/>
  <c r="AJ21" i="1"/>
  <c r="AJ23" i="1"/>
  <c r="AJ26" i="1"/>
  <c r="AJ28" i="1"/>
  <c r="AJ29" i="1"/>
  <c r="AJ31" i="1"/>
  <c r="AJ20" i="1"/>
  <c r="AL20" i="1"/>
  <c r="AO20" i="1"/>
  <c r="AQ20" i="1"/>
  <c r="AR20" i="1"/>
  <c r="AS20" i="1"/>
  <c r="AT20" i="1"/>
  <c r="AV20" i="1"/>
  <c r="AW20" i="1"/>
  <c r="AY20" i="1"/>
  <c r="AZ21" i="1"/>
  <c r="AZ22" i="1"/>
  <c r="AZ23" i="1"/>
  <c r="AZ24" i="1"/>
  <c r="AZ25" i="1"/>
  <c r="AZ26" i="1"/>
  <c r="AZ27" i="1"/>
  <c r="AZ28" i="1"/>
  <c r="AZ29" i="1"/>
  <c r="AZ30" i="1"/>
  <c r="AZ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7CE37-AD2E-40EB-AD50-E35D85D0C92B}" keepAlive="1" name="Query - tax_data" description="Connection to the 'tax_data' query in the workbook." type="5" refreshedVersion="8" background="1" saveData="1">
    <dbPr connection="Provider=Microsoft.Mashup.OleDb.1;Data Source=$Workbook$;Location=tax_data;Extended Properties=&quot;&quot;" command="SELECT * FROM [tax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<sst xmlns="http://schemas.openxmlformats.org/spreadsheetml/2006/main" count="24187" uniqueCount="70">
  <si>
    <t>Index</t>
  </si>
  <si>
    <t>Date</t>
  </si>
  <si>
    <t>Year</t>
  </si>
  <si>
    <t>Month</t>
  </si>
  <si>
    <t>Code</t>
  </si>
  <si>
    <t>Island</t>
  </si>
  <si>
    <t xml:space="preserve"> January </t>
  </si>
  <si>
    <t>NCR</t>
  </si>
  <si>
    <t>Luzon</t>
  </si>
  <si>
    <t xml:space="preserve"> February </t>
  </si>
  <si>
    <t xml:space="preserve"> March </t>
  </si>
  <si>
    <t xml:space="preserve"> April </t>
  </si>
  <si>
    <t xml:space="preserve"> May </t>
  </si>
  <si>
    <t xml:space="preserve"> June </t>
  </si>
  <si>
    <t xml:space="preserve"> July </t>
  </si>
  <si>
    <t xml:space="preserve"> August </t>
  </si>
  <si>
    <t xml:space="preserve"> September </t>
  </si>
  <si>
    <t xml:space="preserve"> October </t>
  </si>
  <si>
    <t xml:space="preserve"> November </t>
  </si>
  <si>
    <t xml:space="preserve"> December </t>
  </si>
  <si>
    <t>CAR</t>
  </si>
  <si>
    <t>R-01</t>
  </si>
  <si>
    <t>R-02</t>
  </si>
  <si>
    <t>R-03</t>
  </si>
  <si>
    <t>R-04A</t>
  </si>
  <si>
    <t>R-04B</t>
  </si>
  <si>
    <t>R-05</t>
  </si>
  <si>
    <t>R-06</t>
  </si>
  <si>
    <t>Visayas</t>
  </si>
  <si>
    <t>NIR</t>
  </si>
  <si>
    <t>R-07</t>
  </si>
  <si>
    <t>R-08</t>
  </si>
  <si>
    <t>R-09</t>
  </si>
  <si>
    <t>Mindanao</t>
  </si>
  <si>
    <t>R-10</t>
  </si>
  <si>
    <t>R-11</t>
  </si>
  <si>
    <t>R-12</t>
  </si>
  <si>
    <t>R-13</t>
  </si>
  <si>
    <t>BARMM</t>
  </si>
  <si>
    <t>Region Div</t>
  </si>
  <si>
    <t>Others</t>
  </si>
  <si>
    <t>Grand Total</t>
  </si>
  <si>
    <t>2020</t>
  </si>
  <si>
    <t>2021</t>
  </si>
  <si>
    <t>2022</t>
  </si>
  <si>
    <t>2023</t>
  </si>
  <si>
    <t>2024</t>
  </si>
  <si>
    <t>Jan</t>
  </si>
  <si>
    <t>Feb</t>
  </si>
  <si>
    <t>Mar</t>
  </si>
  <si>
    <t>Apr</t>
  </si>
  <si>
    <t>May</t>
  </si>
  <si>
    <t>Jun</t>
  </si>
  <si>
    <t>Jul</t>
  </si>
  <si>
    <t>Aug</t>
  </si>
  <si>
    <t>Sep</t>
  </si>
  <si>
    <t>Oct</t>
  </si>
  <si>
    <t>Nov</t>
  </si>
  <si>
    <t>Dec</t>
  </si>
  <si>
    <t>Tax Collected</t>
  </si>
  <si>
    <t>Region</t>
  </si>
  <si>
    <t>Non-NCR</t>
  </si>
  <si>
    <t>YoY Growth</t>
  </si>
  <si>
    <t>Total Tax Collected</t>
  </si>
  <si>
    <t>% Contrib</t>
  </si>
  <si>
    <t>Regions</t>
  </si>
  <si>
    <t>Total</t>
  </si>
  <si>
    <t>Contribution</t>
  </si>
  <si>
    <t>Yoy Growth</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</si>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</sst>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0.0000"/>
    <numFmt numFmtId="166" formatCode="0.00,\ &quot;B&quot;"/>
    <numFmt numFmtId="167" formatCode="&quot;₱&quot;0.00,,\ &quot;T&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2" tint="-0.749992370372631"/>
        <bgColor indexed="64"/>
      </patternFill>
    </fill>
    <fill>
      <patternFill patternType="solid">
        <fgColor theme="1"/>
        <bgColor indexed="64"/>
      </patternFill>
    </fill>
  </fills>
  <borders count="12">
    <border>
      <left/>
      <right/>
      <top/>
      <bottom/>
      <diagonal/>
    </border>
    <border>
      <left/>
      <right style="thin">
        <color theme="0"/>
      </right>
      <top/>
      <bottom style="thin">
        <color theme="0"/>
      </bottom>
      <diagonal/>
    </border>
    <border>
      <left/>
      <right style="thin">
        <color theme="0"/>
      </right>
      <top style="thin">
        <color theme="0"/>
      </top>
      <bottom/>
      <diagonal/>
    </border>
    <border>
      <left/>
      <right style="thin">
        <color theme="0"/>
      </right>
      <top/>
      <bottom/>
      <diagonal/>
    </border>
    <border>
      <left/>
      <right/>
      <top style="thin">
        <color theme="0"/>
      </top>
      <bottom/>
      <diagonal/>
    </border>
    <border>
      <left/>
      <right/>
      <top/>
      <bottom style="thin">
        <color theme="0"/>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medium">
        <color theme="0"/>
      </bottom>
      <diagonal/>
    </border>
    <border>
      <left/>
      <right/>
      <top style="medium">
        <color theme="0"/>
      </top>
      <bottom style="medium">
        <color theme="0"/>
      </bottom>
      <diagonal/>
    </border>
    <border>
      <left/>
      <right/>
      <top style="medium">
        <color theme="0"/>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64" fontId="0" fillId="0" borderId="0" xfId="0" applyNumberFormat="1"/>
    <xf numFmtId="0" fontId="2" fillId="0" borderId="0" xfId="0" pivotButton="1" applyFont="1"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167" fontId="0" fillId="0" borderId="0" xfId="0" applyNumberFormat="1"/>
    <xf numFmtId="0" fontId="0" fillId="0" borderId="0" xfId="0" applyAlignment="1">
      <alignment horizontal="left" indent="1"/>
    </xf>
    <xf numFmtId="9" fontId="0" fillId="0" borderId="0" xfId="1" applyFont="1"/>
    <xf numFmtId="0" fontId="0" fillId="0" borderId="3" xfId="0" applyBorder="1"/>
    <xf numFmtId="0" fontId="0" fillId="0" borderId="4" xfId="0" applyBorder="1"/>
    <xf numFmtId="0" fontId="0" fillId="0" borderId="2" xfId="0" applyBorder="1"/>
    <xf numFmtId="0" fontId="0" fillId="0" borderId="5" xfId="0" applyBorder="1"/>
    <xf numFmtId="0" fontId="0" fillId="0" borderId="1" xfId="0" applyBorder="1"/>
    <xf numFmtId="166" fontId="0" fillId="0" borderId="6" xfId="0" applyNumberFormat="1" applyBorder="1"/>
    <xf numFmtId="166" fontId="0" fillId="0" borderId="7" xfId="0" applyNumberFormat="1" applyBorder="1"/>
    <xf numFmtId="166"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0" fontId="4" fillId="3" borderId="0" xfId="0" applyFont="1" applyFill="1" applyAlignment="1">
      <alignment horizontal="center" vertical="center"/>
    </xf>
    <xf numFmtId="0" fontId="3" fillId="3" borderId="0" xfId="0" applyFont="1" applyFill="1"/>
    <xf numFmtId="0" fontId="0" fillId="4" borderId="0" xfId="0" applyFill="1"/>
  </cellXfs>
  <cellStyles count="2">
    <cellStyle name="Normal" xfId="0" builtinId="0"/>
    <cellStyle name="Percent" xfId="1" builtinId="5"/>
  </cellStyles>
  <dxfs count="33">
    <dxf>
      <numFmt numFmtId="19" formatCode="dd/mm/yyyy"/>
    </dxf>
    <dxf>
      <numFmt numFmtId="167" formatCode="&quot;₱&quot;0.00,,\ &quot;T&quot;"/>
    </dxf>
    <dxf>
      <font>
        <b/>
      </font>
    </dxf>
    <dxf>
      <alignment vertical="center"/>
    </dxf>
    <dxf>
      <alignment horizontal="center"/>
    </dxf>
    <dxf>
      <numFmt numFmtId="14" formatCode="0.00%"/>
    </dxf>
    <dxf>
      <font>
        <b/>
      </font>
    </dxf>
    <dxf>
      <alignment vertical="center"/>
    </dxf>
    <dxf>
      <alignment horizontal="center"/>
    </dxf>
    <dxf>
      <numFmt numFmtId="164" formatCode="&quot;₱&quot;#,##0.00"/>
    </dxf>
    <dxf>
      <font>
        <b/>
      </font>
    </dxf>
    <dxf>
      <alignment vertical="center"/>
    </dxf>
    <dxf>
      <alignment horizontal="center"/>
    </dxf>
    <dxf>
      <numFmt numFmtId="164" formatCode="&quot;₱&quot;#,##0.00"/>
    </dxf>
    <dxf>
      <font>
        <b/>
      </font>
    </dxf>
    <dxf>
      <alignment vertical="center"/>
    </dxf>
    <dxf>
      <alignment horizontal="center"/>
    </dxf>
    <dxf>
      <numFmt numFmtId="14" formatCode="0.00%"/>
    </dxf>
    <dxf>
      <font>
        <b/>
      </font>
    </dxf>
    <dxf>
      <alignment vertical="center"/>
    </dxf>
    <dxf>
      <alignment horizontal="center"/>
    </dxf>
    <dxf>
      <font>
        <b/>
      </font>
    </dxf>
    <dxf>
      <font>
        <b/>
      </font>
    </dxf>
    <dxf>
      <alignment vertical="center"/>
    </dxf>
    <dxf>
      <alignment vertical="center"/>
    </dxf>
    <dxf>
      <alignment horizontal="center"/>
    </dxf>
    <dxf>
      <alignment horizontal="center"/>
    </dxf>
    <dxf>
      <numFmt numFmtId="0" formatCode="General"/>
    </dxf>
    <dxf>
      <numFmt numFmtId="0" formatCode="General"/>
    </dxf>
    <dxf>
      <numFmt numFmtId="0" formatCode="General"/>
    </dxf>
    <dxf>
      <numFmt numFmtId="0" formatCode="General"/>
    </dxf>
    <dxf>
      <font>
        <color theme="0"/>
      </font>
      <border>
        <bottom style="thin">
          <color theme="4"/>
        </bottom>
        <vertical/>
        <horizontal/>
      </border>
    </dxf>
    <dxf>
      <font>
        <color theme="0"/>
      </font>
      <fill>
        <patternFill>
          <bgColor theme="2" tint="-0.749961851863155"/>
        </patternFill>
      </fill>
      <border diagonalUp="0" diagonalDown="0">
        <left/>
        <right/>
        <top/>
        <bottom/>
        <vertical/>
        <horizontal/>
      </border>
    </dxf>
  </dxfs>
  <tableStyles count="1" defaultTableStyle="TableStyleMedium2" defaultPivotStyle="PivotStyleLight16">
    <tableStyle name="SlicerStyleLight1 2" pivot="0" table="0" count="10" xr9:uid="{08CA38C8-C9B0-4324-9067-2CD19786CC48}">
      <tableStyleElement type="wholeTable" dxfId="32"/>
      <tableStyleElement type="headerRow"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8" tint="-0.24994659260841701"/>
            <name val="Calibri"/>
            <family val="2"/>
            <scheme val="minor"/>
          </font>
          <fill>
            <gradientFill type="path" left="0.5" right="0.5" top="0.5" bottom="0.5">
              <stop position="0">
                <color theme="2" tint="-9.8025452436902985E-2"/>
              </stop>
              <stop position="1">
                <color theme="2" tint="-0.49803155613879818"/>
              </stop>
            </gradientFill>
          </fill>
          <border diagonalUp="0" diagonalDown="0">
            <left/>
            <right/>
            <top/>
            <bottom/>
            <vertical/>
            <horizontal/>
          </border>
        </dxf>
        <dxf>
          <font>
            <b/>
            <i val="0"/>
            <sz val="11"/>
            <color theme="1"/>
            <name val="Calibri"/>
            <family val="2"/>
            <scheme val="minor"/>
          </font>
          <fill>
            <patternFill patternType="solid">
              <fgColor auto="1"/>
              <bgColor theme="2" tint="-0.24994659260841701"/>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7" tint="0.39988402966399123"/>
            <name val="Calibri"/>
            <family val="2"/>
            <scheme val="minor"/>
          </font>
          <fill>
            <gradientFill degree="90">
              <stop position="0">
                <color theme="4" tint="-0.25098422193060094"/>
              </stop>
              <stop position="0.5">
                <color theme="8" tint="-0.49803155613879818"/>
              </stop>
              <stop position="1">
                <color theme="4" tint="-0.25098422193060094"/>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1"/>
            <color theme="1" tint="0.24994659260841701"/>
            <name val="Calibri"/>
            <family val="2"/>
            <scheme val="minor"/>
          </font>
          <fill>
            <patternFill patternType="solid">
              <fgColor rgb="FFFFFFFF"/>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[tax_dashboard.xlsx]pivot!monthly_trend</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all"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c:f>
              <c:strCache>
                <c:ptCount val="1"/>
                <c:pt idx="0">
                  <c:v>Total</c:v>
                </c:pt>
              </c:strCache>
            </c:strRef>
          </c:tx>
          <c:spPr>
            <a:ln w="28575" cap="rnd">
              <a:solidFill>
                <a:schemeClr val="accent1"/>
              </a:solidFill>
              <a:round/>
            </a:ln>
            <a:effectLst/>
          </c:spPr>
          <c:marker>
            <c:symbol val="none"/>
          </c:marker>
          <c:trendline>
            <c:spPr>
              <a:ln w="25400" cap="rnd">
                <a:solidFill>
                  <a:schemeClr val="accent6">
                    <a:lumMod val="60000"/>
                    <a:lumOff val="40000"/>
                  </a:schemeClr>
                </a:solidFill>
                <a:prstDash val="sysDot"/>
              </a:ln>
              <a:effectLst/>
            </c:spPr>
            <c:trendlineType val="linear"/>
            <c:dispRSqr val="0"/>
            <c:dispEq val="0"/>
          </c:trendline>
          <c:cat>
            <c:multiLvlStrRef>
              <c:f>pivot!$B$3:$B$68</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pivot!$C$3:$C$68</c:f>
              <c:numCache>
                <c:formatCode>"₱"#,##0.00</c:formatCode>
                <c:ptCount val="60"/>
                <c:pt idx="0">
                  <c:v>189458.55999999985</c:v>
                </c:pt>
                <c:pt idx="1">
                  <c:v>138207.95999999993</c:v>
                </c:pt>
                <c:pt idx="2">
                  <c:v>126746.65999999999</c:v>
                </c:pt>
                <c:pt idx="3">
                  <c:v>87744.02</c:v>
                </c:pt>
                <c:pt idx="4">
                  <c:v>109226.17000000001</c:v>
                </c:pt>
                <c:pt idx="5">
                  <c:v>279253.01999999984</c:v>
                </c:pt>
                <c:pt idx="6">
                  <c:v>151858.59000000005</c:v>
                </c:pt>
                <c:pt idx="7">
                  <c:v>179974.07999999987</c:v>
                </c:pt>
                <c:pt idx="8">
                  <c:v>136797.37000000005</c:v>
                </c:pt>
                <c:pt idx="9">
                  <c:v>149865.89999999994</c:v>
                </c:pt>
                <c:pt idx="10">
                  <c:v>188405.49999999991</c:v>
                </c:pt>
                <c:pt idx="11">
                  <c:v>156393.37999999989</c:v>
                </c:pt>
                <c:pt idx="12">
                  <c:v>178236.11000000004</c:v>
                </c:pt>
                <c:pt idx="13">
                  <c:v>140956.88999999996</c:v>
                </c:pt>
                <c:pt idx="14">
                  <c:v>133665.85999999999</c:v>
                </c:pt>
                <c:pt idx="15">
                  <c:v>213990.11999999994</c:v>
                </c:pt>
                <c:pt idx="16">
                  <c:v>179373.43000000008</c:v>
                </c:pt>
                <c:pt idx="17">
                  <c:v>155130.94999999998</c:v>
                </c:pt>
                <c:pt idx="18">
                  <c:v>165608.28000000017</c:v>
                </c:pt>
                <c:pt idx="19">
                  <c:v>179270.96999999986</c:v>
                </c:pt>
                <c:pt idx="20">
                  <c:v>148175.8599999999</c:v>
                </c:pt>
                <c:pt idx="21">
                  <c:v>157804.30999999991</c:v>
                </c:pt>
                <c:pt idx="22">
                  <c:v>208661.96</c:v>
                </c:pt>
                <c:pt idx="23">
                  <c:v>159187.61999999988</c:v>
                </c:pt>
                <c:pt idx="24">
                  <c:v>188693.08000000007</c:v>
                </c:pt>
                <c:pt idx="25">
                  <c:v>132288.88999999993</c:v>
                </c:pt>
                <c:pt idx="26">
                  <c:v>164312.89000000007</c:v>
                </c:pt>
                <c:pt idx="27">
                  <c:v>231712.2600000001</c:v>
                </c:pt>
                <c:pt idx="28">
                  <c:v>212274.79999999993</c:v>
                </c:pt>
                <c:pt idx="29">
                  <c:v>169110.50999999992</c:v>
                </c:pt>
                <c:pt idx="30">
                  <c:v>193411.08999999997</c:v>
                </c:pt>
                <c:pt idx="31">
                  <c:v>223456.78000000009</c:v>
                </c:pt>
                <c:pt idx="32">
                  <c:v>166172.06999999992</c:v>
                </c:pt>
                <c:pt idx="33">
                  <c:v>183107.98000000007</c:v>
                </c:pt>
                <c:pt idx="34">
                  <c:v>229486.60999999993</c:v>
                </c:pt>
                <c:pt idx="35">
                  <c:v>174565.44999999992</c:v>
                </c:pt>
                <c:pt idx="36">
                  <c:v>230184.1100000001</c:v>
                </c:pt>
                <c:pt idx="37">
                  <c:v>119845.58999999997</c:v>
                </c:pt>
                <c:pt idx="38">
                  <c:v>136450.0400000001</c:v>
                </c:pt>
                <c:pt idx="39">
                  <c:v>328069.67000000004</c:v>
                </c:pt>
                <c:pt idx="40">
                  <c:v>208289.35000000003</c:v>
                </c:pt>
                <c:pt idx="41">
                  <c:v>159201.99000000008</c:v>
                </c:pt>
                <c:pt idx="42">
                  <c:v>268242.08000000019</c:v>
                </c:pt>
                <c:pt idx="43">
                  <c:v>208035.06999999995</c:v>
                </c:pt>
                <c:pt idx="44">
                  <c:v>143966.81999999989</c:v>
                </c:pt>
                <c:pt idx="45">
                  <c:v>268751.4800000001</c:v>
                </c:pt>
                <c:pt idx="46">
                  <c:v>205806.64999999997</c:v>
                </c:pt>
                <c:pt idx="47">
                  <c:v>165681.79000000004</c:v>
                </c:pt>
                <c:pt idx="48">
                  <c:v>302628.38000000012</c:v>
                </c:pt>
                <c:pt idx="49">
                  <c:v>133021.95999999993</c:v>
                </c:pt>
                <c:pt idx="50">
                  <c:v>136165.95999999996</c:v>
                </c:pt>
                <c:pt idx="51">
                  <c:v>365563.78999999992</c:v>
                </c:pt>
                <c:pt idx="52">
                  <c:v>213479.16999999995</c:v>
                </c:pt>
                <c:pt idx="53">
                  <c:v>169898.40000000002</c:v>
                </c:pt>
                <c:pt idx="54">
                  <c:v>309961.94000000029</c:v>
                </c:pt>
                <c:pt idx="55">
                  <c:v>230695.19999999995</c:v>
                </c:pt>
                <c:pt idx="56">
                  <c:v>163803.73999999987</c:v>
                </c:pt>
                <c:pt idx="57">
                  <c:v>321442.5199999999</c:v>
                </c:pt>
                <c:pt idx="58">
                  <c:v>239056.84999999995</c:v>
                </c:pt>
                <c:pt idx="59">
                  <c:v>182700.28000000003</c:v>
                </c:pt>
              </c:numCache>
            </c:numRef>
          </c:val>
          <c:smooth val="0"/>
          <c:extLst>
            <c:ext xmlns:c16="http://schemas.microsoft.com/office/drawing/2014/chart" uri="{C3380CC4-5D6E-409C-BE32-E72D297353CC}">
              <c16:uniqueId val="{00000000-EFF4-40A5-91BC-4B4C257D2CC9}"/>
            </c:ext>
          </c:extLst>
        </c:ser>
        <c:dLbls>
          <c:showLegendKey val="0"/>
          <c:showVal val="0"/>
          <c:showCatName val="0"/>
          <c:showSerName val="0"/>
          <c:showPercent val="0"/>
          <c:showBubbleSize val="0"/>
        </c:dLbls>
        <c:smooth val="0"/>
        <c:axId val="530552384"/>
        <c:axId val="530550944"/>
      </c:lineChart>
      <c:catAx>
        <c:axId val="5305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crossAx val="530550944"/>
        <c:crosses val="autoZero"/>
        <c:auto val="1"/>
        <c:lblAlgn val="ctr"/>
        <c:lblOffset val="100"/>
        <c:noMultiLvlLbl val="0"/>
      </c:catAx>
      <c:valAx>
        <c:axId val="530550944"/>
        <c:scaling>
          <c:orientation val="minMax"/>
        </c:scaling>
        <c:delete val="0"/>
        <c:axPos val="l"/>
        <c:majorGridlines>
          <c:spPr>
            <a:ln w="3175" cap="flat" cmpd="sng" algn="ctr">
              <a:solidFill>
                <a:schemeClr val="bg2">
                  <a:alpha val="2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crossAx val="530552384"/>
        <c:crosses val="autoZero"/>
        <c:crossBetween val="between"/>
        <c:dispUnits>
          <c:builtInUnit val="thousands"/>
          <c:dispUnitsLbl>
            <c:tx>
              <c:rich>
                <a:bodyPr rot="-54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r>
                    <a:rPr lang="en-PH"/>
                    <a:t>Billions</a:t>
                  </a:r>
                </a:p>
              </c:rich>
            </c:tx>
            <c:spPr>
              <a:noFill/>
              <a:ln>
                <a:noFill/>
              </a:ln>
              <a:effectLst/>
            </c:spPr>
            <c:txPr>
              <a:bodyPr rot="-5400000" spcFirstLastPara="1" vertOverflow="ellipsis" vert="horz" wrap="square" anchor="ctr" anchorCtr="1"/>
              <a:lstStyle/>
              <a:p>
                <a:pPr>
                  <a:defRPr sz="11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i="0" cap="all"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[tax_dashboard.xlsx]pivot!yoy_growth</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84690723040072E-2"/>
          <c:y val="5.0925925925925923E-2"/>
          <c:w val="0.87446358514561473"/>
          <c:h val="0.8231561679790026"/>
        </c:manualLayout>
      </c:layout>
      <c:barChart>
        <c:barDir val="col"/>
        <c:grouping val="clustered"/>
        <c:varyColors val="0"/>
        <c:ser>
          <c:idx val="0"/>
          <c:order val="0"/>
          <c:tx>
            <c:strRef>
              <c:f>pivot!$L$2</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pivot!$K$3:$K$8</c:f>
              <c:strCache>
                <c:ptCount val="5"/>
                <c:pt idx="0">
                  <c:v>2020</c:v>
                </c:pt>
                <c:pt idx="1">
                  <c:v>2021</c:v>
                </c:pt>
                <c:pt idx="2">
                  <c:v>2022</c:v>
                </c:pt>
                <c:pt idx="3">
                  <c:v>2023</c:v>
                </c:pt>
                <c:pt idx="4">
                  <c:v>2024</c:v>
                </c:pt>
              </c:strCache>
            </c:strRef>
          </c:cat>
          <c:val>
            <c:numRef>
              <c:f>pivot!$L$3:$L$8</c:f>
              <c:numCache>
                <c:formatCode>0.00%</c:formatCode>
                <c:ptCount val="5"/>
                <c:pt idx="1">
                  <c:v>6.6597534975939232E-2</c:v>
                </c:pt>
                <c:pt idx="2">
                  <c:v>0.12303088009619678</c:v>
                </c:pt>
                <c:pt idx="3">
                  <c:v>7.6669669365595924E-2</c:v>
                </c:pt>
                <c:pt idx="4">
                  <c:v>0.13342487713859744</c:v>
                </c:pt>
              </c:numCache>
            </c:numRef>
          </c:val>
          <c:extLst>
            <c:ext xmlns:c16="http://schemas.microsoft.com/office/drawing/2014/chart" uri="{C3380CC4-5D6E-409C-BE32-E72D297353CC}">
              <c16:uniqueId val="{00000000-71E1-431B-9C5F-0F39DD564A8E}"/>
            </c:ext>
          </c:extLst>
        </c:ser>
        <c:dLbls>
          <c:showLegendKey val="0"/>
          <c:showVal val="0"/>
          <c:showCatName val="0"/>
          <c:showSerName val="0"/>
          <c:showPercent val="0"/>
          <c:showBubbleSize val="0"/>
        </c:dLbls>
        <c:gapWidth val="50"/>
        <c:overlap val="100"/>
        <c:axId val="578795456"/>
        <c:axId val="578795936"/>
      </c:barChart>
      <c:catAx>
        <c:axId val="57879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78795936"/>
        <c:crosses val="autoZero"/>
        <c:auto val="1"/>
        <c:lblAlgn val="ctr"/>
        <c:lblOffset val="100"/>
        <c:noMultiLvlLbl val="0"/>
      </c:catAx>
      <c:valAx>
        <c:axId val="578795936"/>
        <c:scaling>
          <c:orientation val="minMax"/>
          <c:max val="0.15000000000000002"/>
        </c:scaling>
        <c:delete val="0"/>
        <c:axPos val="l"/>
        <c:majorGridlines>
          <c:spPr>
            <a:ln w="3175" cap="flat" cmpd="sng" algn="ctr">
              <a:solidFill>
                <a:schemeClr val="bg2">
                  <a:alpha val="2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78795456"/>
        <c:crosses val="autoZero"/>
        <c:crossBetween val="between"/>
        <c:majorUnit val="2.5000000000000005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89789793336644"/>
          <c:y val="2.4700600258180504E-2"/>
          <c:w val="0.79065786126857973"/>
          <c:h val="0.92320747814651083"/>
        </c:manualLayout>
      </c:layout>
      <c:barChart>
        <c:barDir val="bar"/>
        <c:grouping val="clustered"/>
        <c:varyColors val="0"/>
        <c:ser>
          <c:idx val="0"/>
          <c:order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pivot!$H$3:$H$19</c:f>
              <c:strCache>
                <c:ptCount val="17"/>
                <c:pt idx="0">
                  <c:v>R-04A</c:v>
                </c:pt>
                <c:pt idx="1">
                  <c:v>R-07</c:v>
                </c:pt>
                <c:pt idx="2">
                  <c:v>R-03</c:v>
                </c:pt>
                <c:pt idx="3">
                  <c:v>R-11</c:v>
                </c:pt>
                <c:pt idx="4">
                  <c:v>R-01</c:v>
                </c:pt>
                <c:pt idx="5">
                  <c:v>R-10</c:v>
                </c:pt>
                <c:pt idx="6">
                  <c:v>R-05</c:v>
                </c:pt>
                <c:pt idx="7">
                  <c:v>R-06</c:v>
                </c:pt>
                <c:pt idx="8">
                  <c:v>NIR</c:v>
                </c:pt>
                <c:pt idx="9">
                  <c:v>R-02</c:v>
                </c:pt>
                <c:pt idx="10">
                  <c:v>R-08</c:v>
                </c:pt>
                <c:pt idx="11">
                  <c:v>R-12</c:v>
                </c:pt>
                <c:pt idx="12">
                  <c:v>CAR</c:v>
                </c:pt>
                <c:pt idx="13">
                  <c:v>R-04B</c:v>
                </c:pt>
                <c:pt idx="14">
                  <c:v>R-13</c:v>
                </c:pt>
                <c:pt idx="15">
                  <c:v>R-09</c:v>
                </c:pt>
                <c:pt idx="16">
                  <c:v>BARMM</c:v>
                </c:pt>
              </c:strCache>
            </c:strRef>
          </c:cat>
          <c:val>
            <c:numRef>
              <c:f>pivot!$I$3:$I$19</c:f>
              <c:numCache>
                <c:formatCode>0.00%</c:formatCode>
                <c:ptCount val="17"/>
                <c:pt idx="0">
                  <c:v>3.7500141275370158E-2</c:v>
                </c:pt>
                <c:pt idx="1">
                  <c:v>3.1847777457807668E-2</c:v>
                </c:pt>
                <c:pt idx="2">
                  <c:v>2.6935972613738427E-2</c:v>
                </c:pt>
                <c:pt idx="3">
                  <c:v>1.8140703678968442E-2</c:v>
                </c:pt>
                <c:pt idx="4">
                  <c:v>7.6176715262986187E-3</c:v>
                </c:pt>
                <c:pt idx="5">
                  <c:v>6.34432590687415E-3</c:v>
                </c:pt>
                <c:pt idx="6">
                  <c:v>6.1563841343373945E-3</c:v>
                </c:pt>
                <c:pt idx="7">
                  <c:v>6.10122738610954E-3</c:v>
                </c:pt>
                <c:pt idx="8">
                  <c:v>5.5326335721970193E-3</c:v>
                </c:pt>
                <c:pt idx="9">
                  <c:v>4.8762030558291997E-3</c:v>
                </c:pt>
                <c:pt idx="10">
                  <c:v>4.6479146964126562E-3</c:v>
                </c:pt>
                <c:pt idx="11">
                  <c:v>4.2455573516033416E-3</c:v>
                </c:pt>
                <c:pt idx="12">
                  <c:v>3.5078552629736141E-3</c:v>
                </c:pt>
                <c:pt idx="13">
                  <c:v>3.4654776986516433E-3</c:v>
                </c:pt>
                <c:pt idx="14">
                  <c:v>3.4244254480451865E-3</c:v>
                </c:pt>
                <c:pt idx="15">
                  <c:v>3.3426123403114479E-3</c:v>
                </c:pt>
                <c:pt idx="16">
                  <c:v>1.8815118965763151E-3</c:v>
                </c:pt>
              </c:numCache>
            </c:numRef>
          </c:val>
          <c:extLst>
            <c:ext xmlns:c16="http://schemas.microsoft.com/office/drawing/2014/chart" uri="{C3380CC4-5D6E-409C-BE32-E72D297353CC}">
              <c16:uniqueId val="{00000000-86E9-41E7-AEFA-4C594A4D85E0}"/>
            </c:ext>
          </c:extLst>
        </c:ser>
        <c:dLbls>
          <c:showLegendKey val="0"/>
          <c:showVal val="0"/>
          <c:showCatName val="0"/>
          <c:showSerName val="0"/>
          <c:showPercent val="0"/>
          <c:showBubbleSize val="0"/>
        </c:dLbls>
        <c:gapWidth val="50"/>
        <c:overlap val="100"/>
        <c:axId val="506768400"/>
        <c:axId val="506769360"/>
      </c:barChart>
      <c:catAx>
        <c:axId val="50676840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06769360"/>
        <c:crosses val="autoZero"/>
        <c:auto val="1"/>
        <c:lblAlgn val="ctr"/>
        <c:lblOffset val="100"/>
        <c:noMultiLvlLbl val="0"/>
      </c:catAx>
      <c:valAx>
        <c:axId val="506769360"/>
        <c:scaling>
          <c:orientation val="minMax"/>
        </c:scaling>
        <c:delete val="0"/>
        <c:axPos val="t"/>
        <c:majorGridlines>
          <c:spPr>
            <a:ln w="3175" cap="flat" cmpd="sng" algn="ctr">
              <a:solidFill>
                <a:schemeClr val="bg2">
                  <a:alpha val="25000"/>
                </a:schemeClr>
              </a:solidFill>
              <a:round/>
            </a:ln>
            <a:effectLst/>
          </c:spPr>
        </c:majorGridlines>
        <c:numFmt formatCode="0.0%" sourceLinked="0"/>
        <c:majorTickMark val="none"/>
        <c:minorTickMark val="none"/>
        <c:tickLblPos val="high"/>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06768400"/>
        <c:crosses val="autoZero"/>
        <c:crossBetween val="between"/>
        <c:majorUnit val="5.000000000000001E-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emf"/><Relationship Id="rId3" Type="http://schemas.openxmlformats.org/officeDocument/2006/relationships/image" Target="../media/image2.svg"/><Relationship Id="rId7" Type="http://schemas.openxmlformats.org/officeDocument/2006/relationships/chart" Target="../charts/chart3.xml"/><Relationship Id="rId12" Type="http://schemas.openxmlformats.org/officeDocument/2006/relationships/image" Target="../media/image9.svg"/><Relationship Id="rId2" Type="http://schemas.openxmlformats.org/officeDocument/2006/relationships/image" Target="../media/image1.png"/><Relationship Id="rId16" Type="http://schemas.openxmlformats.org/officeDocument/2006/relationships/hyperlink" Target="https://data.bettergov.ph/datasets/20" TargetMode="Externa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8.png"/><Relationship Id="rId5" Type="http://schemas.openxmlformats.org/officeDocument/2006/relationships/image" Target="../media/image3.png"/><Relationship Id="rId15" Type="http://schemas.openxmlformats.org/officeDocument/2006/relationships/image" Target="../media/image12.svg"/><Relationship Id="rId10" Type="http://schemas.openxmlformats.org/officeDocument/2006/relationships/image" Target="../media/image7.emf"/><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199332</xdr:colOff>
      <xdr:row>49</xdr:row>
      <xdr:rowOff>184399</xdr:rowOff>
    </xdr:from>
    <xdr:to>
      <xdr:col>6</xdr:col>
      <xdr:colOff>527211</xdr:colOff>
      <xdr:row>73</xdr:row>
      <xdr:rowOff>19071</xdr:rowOff>
    </xdr:to>
    <xdr:sp macro="" textlink="">
      <xdr:nvSpPr>
        <xdr:cNvPr id="96" name="Rectangle: Rounded Corners 95">
          <a:extLst>
            <a:ext uri="{FF2B5EF4-FFF2-40B4-BE49-F238E27FC236}">
              <a16:creationId xmlns:a16="http://schemas.microsoft.com/office/drawing/2014/main" id="{80528286-AE25-4E49-9124-8588F88855A2}"/>
            </a:ext>
          </a:extLst>
        </xdr:cNvPr>
        <xdr:cNvSpPr/>
      </xdr:nvSpPr>
      <xdr:spPr>
        <a:xfrm>
          <a:off x="199332" y="9342776"/>
          <a:ext cx="3950973" cy="4320408"/>
        </a:xfrm>
        <a:prstGeom prst="roundRect">
          <a:avLst>
            <a:gd name="adj" fmla="val 2635"/>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251207</xdr:colOff>
      <xdr:row>52</xdr:row>
      <xdr:rowOff>91137</xdr:rowOff>
    </xdr:from>
    <xdr:to>
      <xdr:col>6</xdr:col>
      <xdr:colOff>476036</xdr:colOff>
      <xdr:row>56</xdr:row>
      <xdr:rowOff>81407</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1ED4B94-59B7-4F3F-8EAA-EE84A60891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1207" y="9306021"/>
              <a:ext cx="3839899" cy="69910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214924</xdr:colOff>
      <xdr:row>0</xdr:row>
      <xdr:rowOff>172543</xdr:rowOff>
    </xdr:from>
    <xdr:to>
      <xdr:col>32</xdr:col>
      <xdr:colOff>567447</xdr:colOff>
      <xdr:row>11</xdr:row>
      <xdr:rowOff>11430</xdr:rowOff>
    </xdr:to>
    <xdr:sp macro="" textlink="">
      <xdr:nvSpPr>
        <xdr:cNvPr id="14" name="Rectangle: Rounded Corners 13">
          <a:extLst>
            <a:ext uri="{FF2B5EF4-FFF2-40B4-BE49-F238E27FC236}">
              <a16:creationId xmlns:a16="http://schemas.microsoft.com/office/drawing/2014/main" id="{F939743D-5513-4A0E-8748-ACB3247EBA98}"/>
            </a:ext>
          </a:extLst>
        </xdr:cNvPr>
        <xdr:cNvSpPr/>
      </xdr:nvSpPr>
      <xdr:spPr>
        <a:xfrm>
          <a:off x="214924" y="172543"/>
          <a:ext cx="20067246" cy="1800632"/>
        </a:xfrm>
        <a:prstGeom prst="roundRect">
          <a:avLst>
            <a:gd name="adj" fmla="val 7599"/>
          </a:avLst>
        </a:prstGeom>
        <a:solidFill>
          <a:schemeClr val="bg2">
            <a:lumMod val="2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7</xdr:col>
      <xdr:colOff>141968</xdr:colOff>
      <xdr:row>12</xdr:row>
      <xdr:rowOff>89420</xdr:rowOff>
    </xdr:from>
    <xdr:to>
      <xdr:col>25</xdr:col>
      <xdr:colOff>296334</xdr:colOff>
      <xdr:row>36</xdr:row>
      <xdr:rowOff>31750</xdr:rowOff>
    </xdr:to>
    <xdr:grpSp>
      <xdr:nvGrpSpPr>
        <xdr:cNvPr id="35" name="Group 34">
          <a:extLst>
            <a:ext uri="{FF2B5EF4-FFF2-40B4-BE49-F238E27FC236}">
              <a16:creationId xmlns:a16="http://schemas.microsoft.com/office/drawing/2014/main" id="{536BBF95-884B-A70D-75C0-D59F69AE5EA1}"/>
            </a:ext>
          </a:extLst>
        </xdr:cNvPr>
        <xdr:cNvGrpSpPr/>
      </xdr:nvGrpSpPr>
      <xdr:grpSpPr>
        <a:xfrm>
          <a:off x="4359549" y="2215932"/>
          <a:ext cx="10999576" cy="4195353"/>
          <a:chOff x="4428218" y="3867670"/>
          <a:chExt cx="11473669" cy="5529186"/>
        </a:xfrm>
      </xdr:grpSpPr>
      <xdr:sp macro="" textlink="">
        <xdr:nvSpPr>
          <xdr:cNvPr id="8" name="Rectangle: Rounded Corners 7">
            <a:extLst>
              <a:ext uri="{FF2B5EF4-FFF2-40B4-BE49-F238E27FC236}">
                <a16:creationId xmlns:a16="http://schemas.microsoft.com/office/drawing/2014/main" id="{9754CB63-9CC9-43BD-AEDB-C73E33B1C108}"/>
              </a:ext>
            </a:extLst>
          </xdr:cNvPr>
          <xdr:cNvSpPr/>
        </xdr:nvSpPr>
        <xdr:spPr>
          <a:xfrm>
            <a:off x="4428218" y="3867670"/>
            <a:ext cx="11473669" cy="5529186"/>
          </a:xfrm>
          <a:prstGeom prst="roundRect">
            <a:avLst>
              <a:gd name="adj" fmla="val 1250"/>
            </a:avLst>
          </a:prstGeom>
          <a:solidFill>
            <a:schemeClr val="bg2">
              <a:lumMod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4" name="Chart 23">
            <a:extLst>
              <a:ext uri="{FF2B5EF4-FFF2-40B4-BE49-F238E27FC236}">
                <a16:creationId xmlns:a16="http://schemas.microsoft.com/office/drawing/2014/main" id="{E1D8F82F-8EDF-4E77-A532-B9BDF9B777F0}"/>
              </a:ext>
            </a:extLst>
          </xdr:cNvPr>
          <xdr:cNvGraphicFramePr>
            <a:graphicFrameLocks/>
          </xdr:cNvGraphicFramePr>
        </xdr:nvGraphicFramePr>
        <xdr:xfrm>
          <a:off x="4582426" y="4869727"/>
          <a:ext cx="11131378" cy="433859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7" name="TextBox 26">
            <a:extLst>
              <a:ext uri="{FF2B5EF4-FFF2-40B4-BE49-F238E27FC236}">
                <a16:creationId xmlns:a16="http://schemas.microsoft.com/office/drawing/2014/main" id="{3F9DC18C-0C47-6AAD-F55B-4D0054A222D2}"/>
              </a:ext>
            </a:extLst>
          </xdr:cNvPr>
          <xdr:cNvSpPr txBox="1"/>
        </xdr:nvSpPr>
        <xdr:spPr>
          <a:xfrm>
            <a:off x="5102719" y="3962883"/>
            <a:ext cx="5423419" cy="688564"/>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MONTHLY</a:t>
            </a:r>
            <a:r>
              <a:rPr lang="en-PH" sz="2400" b="1" baseline="0">
                <a:solidFill>
                  <a:schemeClr val="bg2"/>
                </a:solidFill>
              </a:rPr>
              <a:t> TAX COLLECTION</a:t>
            </a:r>
            <a:endParaRPr lang="en-PH" sz="2400" b="1">
              <a:solidFill>
                <a:schemeClr val="bg2"/>
              </a:solidFill>
            </a:endParaRPr>
          </a:p>
        </xdr:txBody>
      </xdr:sp>
      <xdr:pic>
        <xdr:nvPicPr>
          <xdr:cNvPr id="29" name="Graphic 28" descr="Upward trend with solid fill">
            <a:extLst>
              <a:ext uri="{FF2B5EF4-FFF2-40B4-BE49-F238E27FC236}">
                <a16:creationId xmlns:a16="http://schemas.microsoft.com/office/drawing/2014/main" id="{38CF45F5-1B03-9D24-9C83-BED951E979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58010" y="4021683"/>
            <a:ext cx="423415" cy="525930"/>
          </a:xfrm>
          <a:prstGeom prst="rect">
            <a:avLst/>
          </a:prstGeom>
        </xdr:spPr>
      </xdr:pic>
      <xdr:cxnSp macro="">
        <xdr:nvCxnSpPr>
          <xdr:cNvPr id="31" name="Straight Connector 30">
            <a:extLst>
              <a:ext uri="{FF2B5EF4-FFF2-40B4-BE49-F238E27FC236}">
                <a16:creationId xmlns:a16="http://schemas.microsoft.com/office/drawing/2014/main" id="{5A3CC66A-09C9-93E7-37C6-E474DCA5881C}"/>
              </a:ext>
            </a:extLst>
          </xdr:cNvPr>
          <xdr:cNvCxnSpPr/>
        </xdr:nvCxnSpPr>
        <xdr:spPr>
          <a:xfrm>
            <a:off x="4640102" y="4647466"/>
            <a:ext cx="11065565" cy="9203"/>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483953</xdr:colOff>
      <xdr:row>12</xdr:row>
      <xdr:rowOff>107947</xdr:rowOff>
    </xdr:from>
    <xdr:to>
      <xdr:col>32</xdr:col>
      <xdr:colOff>560717</xdr:colOff>
      <xdr:row>36</xdr:row>
      <xdr:rowOff>43132</xdr:rowOff>
    </xdr:to>
    <xdr:grpSp>
      <xdr:nvGrpSpPr>
        <xdr:cNvPr id="47" name="Group 46">
          <a:extLst>
            <a:ext uri="{FF2B5EF4-FFF2-40B4-BE49-F238E27FC236}">
              <a16:creationId xmlns:a16="http://schemas.microsoft.com/office/drawing/2014/main" id="{14976529-FF92-19E8-ABF3-5D5258AC340E}"/>
            </a:ext>
          </a:extLst>
        </xdr:cNvPr>
        <xdr:cNvGrpSpPr/>
      </xdr:nvGrpSpPr>
      <xdr:grpSpPr>
        <a:xfrm>
          <a:off x="15546744" y="2234459"/>
          <a:ext cx="4294345" cy="4188208"/>
          <a:chOff x="15795168" y="2329854"/>
          <a:chExt cx="4363904" cy="4378998"/>
        </a:xfrm>
      </xdr:grpSpPr>
      <xdr:sp macro="" textlink="">
        <xdr:nvSpPr>
          <xdr:cNvPr id="13" name="Rectangle: Rounded Corners 12">
            <a:extLst>
              <a:ext uri="{FF2B5EF4-FFF2-40B4-BE49-F238E27FC236}">
                <a16:creationId xmlns:a16="http://schemas.microsoft.com/office/drawing/2014/main" id="{ABE98AE3-E075-45B9-ABCA-BD48355B3F00}"/>
              </a:ext>
            </a:extLst>
          </xdr:cNvPr>
          <xdr:cNvSpPr/>
        </xdr:nvSpPr>
        <xdr:spPr>
          <a:xfrm>
            <a:off x="15795168" y="2329854"/>
            <a:ext cx="4363904" cy="4378998"/>
          </a:xfrm>
          <a:prstGeom prst="roundRect">
            <a:avLst>
              <a:gd name="adj" fmla="val 1250"/>
            </a:avLst>
          </a:prstGeom>
          <a:solidFill>
            <a:schemeClr val="bg2">
              <a:lumMod val="25000"/>
            </a:schemeClr>
          </a:solidFill>
          <a:ln w="19050">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36" name="Chart 35">
            <a:extLst>
              <a:ext uri="{FF2B5EF4-FFF2-40B4-BE49-F238E27FC236}">
                <a16:creationId xmlns:a16="http://schemas.microsoft.com/office/drawing/2014/main" id="{AE192428-D605-4273-8D9F-854CBD644CF1}"/>
              </a:ext>
            </a:extLst>
          </xdr:cNvPr>
          <xdr:cNvGraphicFramePr>
            <a:graphicFrameLocks/>
          </xdr:cNvGraphicFramePr>
        </xdr:nvGraphicFramePr>
        <xdr:xfrm>
          <a:off x="15867054" y="3404747"/>
          <a:ext cx="4248885" cy="318088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7" name="TextBox 36">
            <a:extLst>
              <a:ext uri="{FF2B5EF4-FFF2-40B4-BE49-F238E27FC236}">
                <a16:creationId xmlns:a16="http://schemas.microsoft.com/office/drawing/2014/main" id="{04039DA1-C070-4CEA-865E-EB73B5900980}"/>
              </a:ext>
            </a:extLst>
          </xdr:cNvPr>
          <xdr:cNvSpPr txBox="1"/>
        </xdr:nvSpPr>
        <xdr:spPr>
          <a:xfrm>
            <a:off x="16322984" y="2390587"/>
            <a:ext cx="3812337" cy="546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YEAR-OVER-YEAR</a:t>
            </a:r>
            <a:r>
              <a:rPr lang="en-PH" sz="2400" b="1" baseline="0">
                <a:solidFill>
                  <a:schemeClr val="bg2"/>
                </a:solidFill>
              </a:rPr>
              <a:t> GROWTH</a:t>
            </a:r>
            <a:endParaRPr lang="en-PH" sz="2400" b="1">
              <a:solidFill>
                <a:schemeClr val="bg2"/>
              </a:solidFill>
            </a:endParaRPr>
          </a:p>
        </xdr:txBody>
      </xdr:sp>
      <xdr:cxnSp macro="">
        <xdr:nvCxnSpPr>
          <xdr:cNvPr id="38" name="Straight Connector 37">
            <a:extLst>
              <a:ext uri="{FF2B5EF4-FFF2-40B4-BE49-F238E27FC236}">
                <a16:creationId xmlns:a16="http://schemas.microsoft.com/office/drawing/2014/main" id="{B57B969E-B876-4507-AA50-6F78749CBC13}"/>
              </a:ext>
            </a:extLst>
          </xdr:cNvPr>
          <xdr:cNvCxnSpPr/>
        </xdr:nvCxnSpPr>
        <xdr:spPr>
          <a:xfrm>
            <a:off x="15873348" y="2975567"/>
            <a:ext cx="4213584" cy="422"/>
          </a:xfrm>
          <a:prstGeom prst="line">
            <a:avLst/>
          </a:prstGeom>
          <a:ln w="38100">
            <a:noFill/>
          </a:ln>
        </xdr:spPr>
        <xdr:style>
          <a:lnRef idx="1">
            <a:schemeClr val="accent1"/>
          </a:lnRef>
          <a:fillRef idx="0">
            <a:schemeClr val="accent1"/>
          </a:fillRef>
          <a:effectRef idx="0">
            <a:schemeClr val="accent1"/>
          </a:effectRef>
          <a:fontRef idx="minor">
            <a:schemeClr val="tx1"/>
          </a:fontRef>
        </xdr:style>
      </xdr:cxnSp>
      <xdr:pic>
        <xdr:nvPicPr>
          <xdr:cNvPr id="46" name="Graphic 45" descr="Plant with solid fill">
            <a:extLst>
              <a:ext uri="{FF2B5EF4-FFF2-40B4-BE49-F238E27FC236}">
                <a16:creationId xmlns:a16="http://schemas.microsoft.com/office/drawing/2014/main" id="{F6C58E49-101F-7089-9717-FD658CDDA2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874709" y="2384159"/>
            <a:ext cx="518143" cy="535656"/>
          </a:xfrm>
          <a:prstGeom prst="rect">
            <a:avLst/>
          </a:prstGeom>
        </xdr:spPr>
      </xdr:pic>
    </xdr:grpSp>
    <xdr:clientData/>
  </xdr:twoCellAnchor>
  <xdr:twoCellAnchor>
    <xdr:from>
      <xdr:col>7</xdr:col>
      <xdr:colOff>115807</xdr:colOff>
      <xdr:row>36</xdr:row>
      <xdr:rowOff>186353</xdr:rowOff>
    </xdr:from>
    <xdr:to>
      <xdr:col>16</xdr:col>
      <xdr:colOff>189031</xdr:colOff>
      <xdr:row>73</xdr:row>
      <xdr:rowOff>29374</xdr:rowOff>
    </xdr:to>
    <xdr:grpSp>
      <xdr:nvGrpSpPr>
        <xdr:cNvPr id="57" name="Group 56">
          <a:extLst>
            <a:ext uri="{FF2B5EF4-FFF2-40B4-BE49-F238E27FC236}">
              <a16:creationId xmlns:a16="http://schemas.microsoft.com/office/drawing/2014/main" id="{9E863BE3-9426-705B-72C4-BB5DB66C83D8}"/>
            </a:ext>
          </a:extLst>
        </xdr:cNvPr>
        <xdr:cNvGrpSpPr/>
      </xdr:nvGrpSpPr>
      <xdr:grpSpPr>
        <a:xfrm>
          <a:off x="4333388" y="6565888"/>
          <a:ext cx="5495829" cy="6399765"/>
          <a:chOff x="4392338" y="7044353"/>
          <a:chExt cx="5531632" cy="6747674"/>
        </a:xfrm>
      </xdr:grpSpPr>
      <xdr:sp macro="" textlink="">
        <xdr:nvSpPr>
          <xdr:cNvPr id="11" name="Rectangle: Rounded Corners 10">
            <a:extLst>
              <a:ext uri="{FF2B5EF4-FFF2-40B4-BE49-F238E27FC236}">
                <a16:creationId xmlns:a16="http://schemas.microsoft.com/office/drawing/2014/main" id="{2BD2512B-0E0F-4607-B738-B33722FBA12E}"/>
              </a:ext>
            </a:extLst>
          </xdr:cNvPr>
          <xdr:cNvSpPr/>
        </xdr:nvSpPr>
        <xdr:spPr>
          <a:xfrm>
            <a:off x="4392338" y="7044353"/>
            <a:ext cx="5531632" cy="6747674"/>
          </a:xfrm>
          <a:prstGeom prst="roundRect">
            <a:avLst>
              <a:gd name="adj" fmla="val 1250"/>
            </a:avLst>
          </a:prstGeom>
          <a:solidFill>
            <a:schemeClr val="bg2">
              <a:lumMod val="25000"/>
            </a:schemeClr>
          </a:solidFill>
          <a:ln w="19050">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48" name="Chart 47">
            <a:extLst>
              <a:ext uri="{FF2B5EF4-FFF2-40B4-BE49-F238E27FC236}">
                <a16:creationId xmlns:a16="http://schemas.microsoft.com/office/drawing/2014/main" id="{0F55B054-6B8C-4C42-831E-49C1638EB3DB}"/>
              </a:ext>
            </a:extLst>
          </xdr:cNvPr>
          <xdr:cNvGraphicFramePr>
            <a:graphicFrameLocks/>
          </xdr:cNvGraphicFramePr>
        </xdr:nvGraphicFramePr>
        <xdr:xfrm>
          <a:off x="4465562" y="7905444"/>
          <a:ext cx="5272141" cy="567033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9" name="TextBox 48">
            <a:extLst>
              <a:ext uri="{FF2B5EF4-FFF2-40B4-BE49-F238E27FC236}">
                <a16:creationId xmlns:a16="http://schemas.microsoft.com/office/drawing/2014/main" id="{65E801A9-5B51-47A9-B4D2-BD7B167D8796}"/>
              </a:ext>
            </a:extLst>
          </xdr:cNvPr>
          <xdr:cNvSpPr txBox="1"/>
        </xdr:nvSpPr>
        <xdr:spPr>
          <a:xfrm>
            <a:off x="5001722" y="7120628"/>
            <a:ext cx="3776256" cy="55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Non-NC</a:t>
            </a:r>
            <a:r>
              <a:rPr lang="en-PH" sz="2400" b="1" baseline="0">
                <a:solidFill>
                  <a:schemeClr val="bg2"/>
                </a:solidFill>
              </a:rPr>
              <a:t>R Tax Contribution</a:t>
            </a:r>
            <a:endParaRPr lang="en-PH" sz="2400" b="1">
              <a:solidFill>
                <a:schemeClr val="bg2"/>
              </a:solidFill>
            </a:endParaRPr>
          </a:p>
        </xdr:txBody>
      </xdr:sp>
      <xdr:cxnSp macro="">
        <xdr:nvCxnSpPr>
          <xdr:cNvPr id="50" name="Straight Connector 49">
            <a:extLst>
              <a:ext uri="{FF2B5EF4-FFF2-40B4-BE49-F238E27FC236}">
                <a16:creationId xmlns:a16="http://schemas.microsoft.com/office/drawing/2014/main" id="{26252818-01D3-4CD2-890D-3A834ADC4035}"/>
              </a:ext>
            </a:extLst>
          </xdr:cNvPr>
          <xdr:cNvCxnSpPr/>
        </xdr:nvCxnSpPr>
        <xdr:spPr>
          <a:xfrm>
            <a:off x="4560049" y="7747319"/>
            <a:ext cx="5121845" cy="4516"/>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56" name="Graphic 55" descr="Coins with solid fill">
            <a:extLst>
              <a:ext uri="{FF2B5EF4-FFF2-40B4-BE49-F238E27FC236}">
                <a16:creationId xmlns:a16="http://schemas.microsoft.com/office/drawing/2014/main" id="{AE32C80F-61E6-DFE9-6F2D-C5BD670D09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98303" y="7245095"/>
            <a:ext cx="346844" cy="357824"/>
          </a:xfrm>
          <a:prstGeom prst="rect">
            <a:avLst/>
          </a:prstGeom>
        </xdr:spPr>
      </xdr:pic>
    </xdr:grpSp>
    <xdr:clientData/>
  </xdr:twoCellAnchor>
  <xdr:twoCellAnchor>
    <xdr:from>
      <xdr:col>25</xdr:col>
      <xdr:colOff>555739</xdr:colOff>
      <xdr:row>15</xdr:row>
      <xdr:rowOff>179088</xdr:rowOff>
    </xdr:from>
    <xdr:to>
      <xdr:col>32</xdr:col>
      <xdr:colOff>498599</xdr:colOff>
      <xdr:row>15</xdr:row>
      <xdr:rowOff>183604</xdr:rowOff>
    </xdr:to>
    <xdr:cxnSp macro="">
      <xdr:nvCxnSpPr>
        <xdr:cNvPr id="64" name="Straight Connector 63">
          <a:extLst>
            <a:ext uri="{FF2B5EF4-FFF2-40B4-BE49-F238E27FC236}">
              <a16:creationId xmlns:a16="http://schemas.microsoft.com/office/drawing/2014/main" id="{599013CC-013C-45DA-8E1F-2E6971F1B2FE}"/>
            </a:ext>
          </a:extLst>
        </xdr:cNvPr>
        <xdr:cNvCxnSpPr/>
      </xdr:nvCxnSpPr>
      <xdr:spPr>
        <a:xfrm>
          <a:off x="15866954" y="2956471"/>
          <a:ext cx="4230000" cy="4516"/>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425460</xdr:colOff>
      <xdr:row>37</xdr:row>
      <xdr:rowOff>22957</xdr:rowOff>
    </xdr:from>
    <xdr:to>
      <xdr:col>32</xdr:col>
      <xdr:colOff>575388</xdr:colOff>
      <xdr:row>54</xdr:row>
      <xdr:rowOff>124408</xdr:rowOff>
    </xdr:to>
    <xdr:grpSp>
      <xdr:nvGrpSpPr>
        <xdr:cNvPr id="68" name="Group 67">
          <a:extLst>
            <a:ext uri="{FF2B5EF4-FFF2-40B4-BE49-F238E27FC236}">
              <a16:creationId xmlns:a16="http://schemas.microsoft.com/office/drawing/2014/main" id="{40B6D7D5-1CA6-4CA4-965D-A94875F37D35}"/>
            </a:ext>
          </a:extLst>
        </xdr:cNvPr>
        <xdr:cNvGrpSpPr/>
      </xdr:nvGrpSpPr>
      <xdr:grpSpPr>
        <a:xfrm>
          <a:off x="10065646" y="6579701"/>
          <a:ext cx="9790114" cy="3114009"/>
          <a:chOff x="10153120" y="6921489"/>
          <a:chExt cx="9877587" cy="3271047"/>
        </a:xfrm>
      </xdr:grpSpPr>
      <xdr:sp macro="" textlink="">
        <xdr:nvSpPr>
          <xdr:cNvPr id="12" name="Rectangle: Rounded Corners 11">
            <a:extLst>
              <a:ext uri="{FF2B5EF4-FFF2-40B4-BE49-F238E27FC236}">
                <a16:creationId xmlns:a16="http://schemas.microsoft.com/office/drawing/2014/main" id="{7D376762-E970-45F7-8626-202D00446DC9}"/>
              </a:ext>
            </a:extLst>
          </xdr:cNvPr>
          <xdr:cNvSpPr/>
        </xdr:nvSpPr>
        <xdr:spPr>
          <a:xfrm>
            <a:off x="10153120" y="6921489"/>
            <a:ext cx="9877587" cy="3271047"/>
          </a:xfrm>
          <a:prstGeom prst="roundRect">
            <a:avLst>
              <a:gd name="adj" fmla="val 1250"/>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xmlns:a14="http://schemas.microsoft.com/office/drawing/2010/main">
        <mc:Choice Requires="a14">
          <xdr:pic>
            <xdr:nvPicPr>
              <xdr:cNvPr id="61" name="Picture 60">
                <a:extLst>
                  <a:ext uri="{FF2B5EF4-FFF2-40B4-BE49-F238E27FC236}">
                    <a16:creationId xmlns:a16="http://schemas.microsoft.com/office/drawing/2014/main" id="{8D096638-6D3F-E162-CD34-337347AE2296}"/>
                  </a:ext>
                </a:extLst>
              </xdr:cNvPr>
              <xdr:cNvPicPr>
                <a:picLocks noChangeAspect="1" noChangeArrowheads="1"/>
                <a:extLst>
                  <a:ext uri="{84589F7E-364E-4C9E-8A38-B11213B215E9}">
                    <a14:cameraTool cellRange="pivot!$AH$3:$AZ$15" spid="_x0000_s1054"/>
                  </a:ext>
                </a:extLst>
              </xdr:cNvPicPr>
            </xdr:nvPicPr>
            <xdr:blipFill>
              <a:blip xmlns:r="http://schemas.openxmlformats.org/officeDocument/2006/relationships" r:embed="rId10"/>
              <a:srcRect/>
              <a:stretch>
                <a:fillRect/>
              </a:stretch>
            </xdr:blipFill>
            <xdr:spPr bwMode="auto">
              <a:xfrm>
                <a:off x="10193213" y="7659869"/>
                <a:ext cx="9732006" cy="244667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63" name="TextBox 62">
            <a:extLst>
              <a:ext uri="{FF2B5EF4-FFF2-40B4-BE49-F238E27FC236}">
                <a16:creationId xmlns:a16="http://schemas.microsoft.com/office/drawing/2014/main" id="{80A8F48E-393C-4272-9DF0-CCA3591475B0}"/>
              </a:ext>
            </a:extLst>
          </xdr:cNvPr>
          <xdr:cNvSpPr txBox="1"/>
        </xdr:nvSpPr>
        <xdr:spPr>
          <a:xfrm>
            <a:off x="10745590" y="6959815"/>
            <a:ext cx="3791022" cy="55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Tax</a:t>
            </a:r>
            <a:r>
              <a:rPr lang="en-PH" sz="2400" b="1" baseline="0">
                <a:solidFill>
                  <a:schemeClr val="bg2"/>
                </a:solidFill>
              </a:rPr>
              <a:t> Volume Heatmap</a:t>
            </a:r>
            <a:endParaRPr lang="en-PH" sz="2400" b="1">
              <a:solidFill>
                <a:schemeClr val="bg2"/>
              </a:solidFill>
            </a:endParaRPr>
          </a:p>
        </xdr:txBody>
      </xdr:sp>
      <xdr:cxnSp macro="">
        <xdr:nvCxnSpPr>
          <xdr:cNvPr id="65" name="Straight Connector 64">
            <a:extLst>
              <a:ext uri="{FF2B5EF4-FFF2-40B4-BE49-F238E27FC236}">
                <a16:creationId xmlns:a16="http://schemas.microsoft.com/office/drawing/2014/main" id="{CFF3433F-C58D-4888-98D0-80F3DF43F7AB}"/>
              </a:ext>
            </a:extLst>
          </xdr:cNvPr>
          <xdr:cNvCxnSpPr/>
        </xdr:nvCxnSpPr>
        <xdr:spPr>
          <a:xfrm>
            <a:off x="10256671" y="7516317"/>
            <a:ext cx="9650516" cy="4298"/>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67" name="Graphic 66" descr="Map with pin with solid fill">
            <a:extLst>
              <a:ext uri="{FF2B5EF4-FFF2-40B4-BE49-F238E27FC236}">
                <a16:creationId xmlns:a16="http://schemas.microsoft.com/office/drawing/2014/main" id="{FF709E1B-0707-E69A-44E1-B01863A176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54574" y="6977974"/>
            <a:ext cx="502596" cy="502596"/>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16</xdr:col>
          <xdr:colOff>542192</xdr:colOff>
          <xdr:row>78</xdr:row>
          <xdr:rowOff>43960</xdr:rowOff>
        </xdr:from>
        <xdr:to>
          <xdr:col>16</xdr:col>
          <xdr:colOff>542192</xdr:colOff>
          <xdr:row>78</xdr:row>
          <xdr:rowOff>43960</xdr:rowOff>
        </xdr:to>
        <xdr:pic>
          <xdr:nvPicPr>
            <xdr:cNvPr id="77" name="Picture 76">
              <a:extLst>
                <a:ext uri="{FF2B5EF4-FFF2-40B4-BE49-F238E27FC236}">
                  <a16:creationId xmlns:a16="http://schemas.microsoft.com/office/drawing/2014/main" id="{3DB8C6BC-1E0D-F999-C914-8769F181FE64}"/>
                </a:ext>
              </a:extLst>
            </xdr:cNvPr>
            <xdr:cNvPicPr>
              <a:picLocks noChangeAspect="1" noChangeArrowheads="1"/>
              <a:extLst>
                <a:ext uri="{84589F7E-364E-4C9E-8A38-B11213B215E9}">
                  <a14:cameraTool cellRange="pivot!$AH$19:$AZ$31" spid="_x0000_s1055"/>
                </a:ext>
              </a:extLst>
            </xdr:cNvPicPr>
          </xdr:nvPicPr>
          <xdr:blipFill>
            <a:blip xmlns:r="http://schemas.openxmlformats.org/officeDocument/2006/relationships" r:embed="rId13"/>
            <a:srcRect/>
            <a:stretch>
              <a:fillRect/>
            </a:stretch>
          </xdr:blipFill>
          <xdr:spPr bwMode="auto">
            <a:xfrm>
              <a:off x="10268394" y="1406818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422877</xdr:colOff>
      <xdr:row>55</xdr:row>
      <xdr:rowOff>123696</xdr:rowOff>
    </xdr:from>
    <xdr:to>
      <xdr:col>32</xdr:col>
      <xdr:colOff>572805</xdr:colOff>
      <xdr:row>73</xdr:row>
      <xdr:rowOff>44333</xdr:rowOff>
    </xdr:to>
    <xdr:grpSp>
      <xdr:nvGrpSpPr>
        <xdr:cNvPr id="88" name="Group 87">
          <a:extLst>
            <a:ext uri="{FF2B5EF4-FFF2-40B4-BE49-F238E27FC236}">
              <a16:creationId xmlns:a16="http://schemas.microsoft.com/office/drawing/2014/main" id="{EB2E89B1-B31D-7BC1-B332-31ADE46270E3}"/>
            </a:ext>
          </a:extLst>
        </xdr:cNvPr>
        <xdr:cNvGrpSpPr/>
      </xdr:nvGrpSpPr>
      <xdr:grpSpPr>
        <a:xfrm>
          <a:off x="10063063" y="9870208"/>
          <a:ext cx="9790114" cy="3110404"/>
          <a:chOff x="10163908" y="10277150"/>
          <a:chExt cx="9890959" cy="3243585"/>
        </a:xfrm>
      </xdr:grpSpPr>
      <xdr:sp macro="" textlink="">
        <xdr:nvSpPr>
          <xdr:cNvPr id="70" name="Rectangle: Rounded Corners 69">
            <a:extLst>
              <a:ext uri="{FF2B5EF4-FFF2-40B4-BE49-F238E27FC236}">
                <a16:creationId xmlns:a16="http://schemas.microsoft.com/office/drawing/2014/main" id="{D4DED97C-5C5F-19FE-3A53-A1FF9DFBF3B0}"/>
              </a:ext>
            </a:extLst>
          </xdr:cNvPr>
          <xdr:cNvSpPr/>
        </xdr:nvSpPr>
        <xdr:spPr>
          <a:xfrm>
            <a:off x="10163908" y="10277150"/>
            <a:ext cx="9890959" cy="3243585"/>
          </a:xfrm>
          <a:prstGeom prst="roundRect">
            <a:avLst>
              <a:gd name="adj" fmla="val 1250"/>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2" name="TextBox 71">
            <a:extLst>
              <a:ext uri="{FF2B5EF4-FFF2-40B4-BE49-F238E27FC236}">
                <a16:creationId xmlns:a16="http://schemas.microsoft.com/office/drawing/2014/main" id="{E5A33E54-F2BA-CFB6-CAC0-2BE3A66EB1AC}"/>
              </a:ext>
            </a:extLst>
          </xdr:cNvPr>
          <xdr:cNvSpPr txBox="1"/>
        </xdr:nvSpPr>
        <xdr:spPr>
          <a:xfrm>
            <a:off x="10702459" y="10304702"/>
            <a:ext cx="6406615" cy="545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400" b="1">
                <a:solidFill>
                  <a:schemeClr val="bg2"/>
                </a:solidFill>
              </a:rPr>
              <a:t>Relative</a:t>
            </a:r>
            <a:r>
              <a:rPr lang="en-PH" sz="2400" b="1" baseline="0">
                <a:solidFill>
                  <a:schemeClr val="bg2"/>
                </a:solidFill>
              </a:rPr>
              <a:t> Performance Heatmap</a:t>
            </a:r>
            <a:endParaRPr lang="en-PH" sz="2400" b="1">
              <a:solidFill>
                <a:schemeClr val="bg2"/>
              </a:solidFill>
            </a:endParaRPr>
          </a:p>
        </xdr:txBody>
      </xdr:sp>
      <xdr:cxnSp macro="">
        <xdr:nvCxnSpPr>
          <xdr:cNvPr id="73" name="Straight Connector 72">
            <a:extLst>
              <a:ext uri="{FF2B5EF4-FFF2-40B4-BE49-F238E27FC236}">
                <a16:creationId xmlns:a16="http://schemas.microsoft.com/office/drawing/2014/main" id="{0BD147D8-D4FD-4C50-19AE-3889C5072A57}"/>
              </a:ext>
            </a:extLst>
          </xdr:cNvPr>
          <xdr:cNvCxnSpPr/>
        </xdr:nvCxnSpPr>
        <xdr:spPr>
          <a:xfrm>
            <a:off x="10267599" y="10866984"/>
            <a:ext cx="9663581" cy="4262"/>
          </a:xfrm>
          <a:prstGeom prst="line">
            <a:avLst/>
          </a:prstGeom>
          <a:ln w="38100">
            <a:solidFill>
              <a:schemeClr val="bg2"/>
            </a:solidFill>
          </a:ln>
        </xdr:spPr>
        <xdr:style>
          <a:lnRef idx="1">
            <a:schemeClr val="accent1"/>
          </a:lnRef>
          <a:fillRef idx="0">
            <a:schemeClr val="accent1"/>
          </a:fillRef>
          <a:effectRef idx="0">
            <a:schemeClr val="accent1"/>
          </a:effectRef>
          <a:fontRef idx="minor">
            <a:schemeClr val="tx1"/>
          </a:fontRef>
        </xdr:style>
      </xdr:cxnSp>
      <xdr:pic>
        <xdr:nvPicPr>
          <xdr:cNvPr id="76" name="Graphic 75" descr="Daily calendar with solid fill">
            <a:extLst>
              <a:ext uri="{FF2B5EF4-FFF2-40B4-BE49-F238E27FC236}">
                <a16:creationId xmlns:a16="http://schemas.microsoft.com/office/drawing/2014/main" id="{652D87ED-15FA-344E-0220-8E038BBEF63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0101" y="10355575"/>
            <a:ext cx="415534" cy="423786"/>
          </a:xfrm>
          <a:prstGeom prst="rect">
            <a:avLst/>
          </a:prstGeom>
        </xdr:spPr>
      </xdr:pic>
      <mc:AlternateContent xmlns:mc="http://schemas.openxmlformats.org/markup-compatibility/2006" xmlns:a14="http://schemas.microsoft.com/office/drawing/2010/main">
        <mc:Choice Requires="a14">
          <xdr:pic>
            <xdr:nvPicPr>
              <xdr:cNvPr id="79" name="Picture 78">
                <a:extLst>
                  <a:ext uri="{FF2B5EF4-FFF2-40B4-BE49-F238E27FC236}">
                    <a16:creationId xmlns:a16="http://schemas.microsoft.com/office/drawing/2014/main" id="{354A4D02-193C-BD73-D257-331468A1234A}"/>
                  </a:ext>
                </a:extLst>
              </xdr:cNvPr>
              <xdr:cNvPicPr>
                <a:picLocks noChangeArrowheads="1"/>
                <a:extLst>
                  <a:ext uri="{84589F7E-364E-4C9E-8A38-B11213B215E9}">
                    <a14:cameraTool cellRange="pivot!$AH$19:$AZ$31" spid="_x0000_s1056"/>
                  </a:ext>
                </a:extLst>
              </xdr:cNvPicPr>
            </xdr:nvPicPr>
            <xdr:blipFill>
              <a:blip xmlns:r="http://schemas.openxmlformats.org/officeDocument/2006/relationships" r:embed="rId13"/>
              <a:srcRect/>
              <a:stretch>
                <a:fillRect/>
              </a:stretch>
            </xdr:blipFill>
            <xdr:spPr bwMode="auto">
              <a:xfrm>
                <a:off x="10229051" y="11003193"/>
                <a:ext cx="9745629" cy="238813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242858</xdr:colOff>
      <xdr:row>58</xdr:row>
      <xdr:rowOff>176608</xdr:rowOff>
    </xdr:from>
    <xdr:to>
      <xdr:col>6</xdr:col>
      <xdr:colOff>480933</xdr:colOff>
      <xdr:row>71</xdr:row>
      <xdr:rowOff>100370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80271F9-B72E-4CB5-A131-D2278F98B1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2858" y="10454748"/>
              <a:ext cx="3853145" cy="222748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200544</xdr:colOff>
      <xdr:row>12</xdr:row>
      <xdr:rowOff>99122</xdr:rowOff>
    </xdr:from>
    <xdr:to>
      <xdr:col>6</xdr:col>
      <xdr:colOff>528423</xdr:colOff>
      <xdr:row>22</xdr:row>
      <xdr:rowOff>97334</xdr:rowOff>
    </xdr:to>
    <xdr:grpSp>
      <xdr:nvGrpSpPr>
        <xdr:cNvPr id="100" name="Group 99">
          <a:extLst>
            <a:ext uri="{FF2B5EF4-FFF2-40B4-BE49-F238E27FC236}">
              <a16:creationId xmlns:a16="http://schemas.microsoft.com/office/drawing/2014/main" id="{9B63A3A7-2181-24BA-607B-AFA27E74876D}"/>
            </a:ext>
          </a:extLst>
        </xdr:cNvPr>
        <xdr:cNvGrpSpPr/>
      </xdr:nvGrpSpPr>
      <xdr:grpSpPr>
        <a:xfrm>
          <a:off x="200544" y="2225634"/>
          <a:ext cx="3942949" cy="1770305"/>
          <a:chOff x="200544" y="2182057"/>
          <a:chExt cx="4024390" cy="1781616"/>
        </a:xfrm>
      </xdr:grpSpPr>
      <xdr:sp macro="" textlink="">
        <xdr:nvSpPr>
          <xdr:cNvPr id="92" name="Rectangle: Rounded Corners 91">
            <a:extLst>
              <a:ext uri="{FF2B5EF4-FFF2-40B4-BE49-F238E27FC236}">
                <a16:creationId xmlns:a16="http://schemas.microsoft.com/office/drawing/2014/main" id="{6D6C8113-B75C-40A6-95D0-D9B8A0FAAD60}"/>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8" name="TextBox 97">
            <a:extLst>
              <a:ext uri="{FF2B5EF4-FFF2-40B4-BE49-F238E27FC236}">
                <a16:creationId xmlns:a16="http://schemas.microsoft.com/office/drawing/2014/main" id="{2D292130-5210-545C-AB2B-08C5723BF687}"/>
              </a:ext>
            </a:extLst>
          </xdr:cNvPr>
          <xdr:cNvSpPr txBox="1"/>
        </xdr:nvSpPr>
        <xdr:spPr>
          <a:xfrm>
            <a:off x="616086" y="2286000"/>
            <a:ext cx="3210127"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TAX REVENUE</a:t>
            </a:r>
          </a:p>
        </xdr:txBody>
      </xdr:sp>
      <xdr:sp macro="" textlink="kpi!$B$4">
        <xdr:nvSpPr>
          <xdr:cNvPr id="99" name="TextBox 98">
            <a:extLst>
              <a:ext uri="{FF2B5EF4-FFF2-40B4-BE49-F238E27FC236}">
                <a16:creationId xmlns:a16="http://schemas.microsoft.com/office/drawing/2014/main" id="{E95D4E59-D47E-A90B-5C70-6A28F5430F59}"/>
              </a:ext>
            </a:extLst>
          </xdr:cNvPr>
          <xdr:cNvSpPr txBox="1"/>
        </xdr:nvSpPr>
        <xdr:spPr>
          <a:xfrm>
            <a:off x="210766" y="2837232"/>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E7B84-6EBA-47A0-AFD7-8FBA5623B18D}" type="TxLink">
              <a:rPr lang="en-US" sz="4800" b="1" i="0" u="none" strike="noStrike">
                <a:solidFill>
                  <a:schemeClr val="bg1"/>
                </a:solidFill>
                <a:latin typeface="+mn-lt"/>
                <a:ea typeface="Calibri"/>
                <a:cs typeface="Calibri"/>
              </a:rPr>
              <a:pPr algn="ctr"/>
              <a:t>₱11.39 T</a:t>
            </a:fld>
            <a:endParaRPr lang="en-PH" sz="4800" b="1">
              <a:solidFill>
                <a:schemeClr val="bg1"/>
              </a:solidFill>
              <a:latin typeface="+mn-lt"/>
            </a:endParaRPr>
          </a:p>
        </xdr:txBody>
      </xdr:sp>
    </xdr:grpSp>
    <xdr:clientData/>
  </xdr:twoCellAnchor>
  <xdr:twoCellAnchor>
    <xdr:from>
      <xdr:col>0</xdr:col>
      <xdr:colOff>223242</xdr:colOff>
      <xdr:row>23</xdr:row>
      <xdr:rowOff>154246</xdr:rowOff>
    </xdr:from>
    <xdr:to>
      <xdr:col>6</xdr:col>
      <xdr:colOff>551121</xdr:colOff>
      <xdr:row>33</xdr:row>
      <xdr:rowOff>152458</xdr:rowOff>
    </xdr:to>
    <xdr:grpSp>
      <xdr:nvGrpSpPr>
        <xdr:cNvPr id="101" name="Group 100">
          <a:extLst>
            <a:ext uri="{FF2B5EF4-FFF2-40B4-BE49-F238E27FC236}">
              <a16:creationId xmlns:a16="http://schemas.microsoft.com/office/drawing/2014/main" id="{5336A1B2-6DC3-4B5E-A27B-EDD6103A980D}"/>
            </a:ext>
          </a:extLst>
        </xdr:cNvPr>
        <xdr:cNvGrpSpPr/>
      </xdr:nvGrpSpPr>
      <xdr:grpSpPr>
        <a:xfrm>
          <a:off x="223242" y="4230060"/>
          <a:ext cx="3942949" cy="1770305"/>
          <a:chOff x="200544" y="2182057"/>
          <a:chExt cx="4024390" cy="1781616"/>
        </a:xfrm>
      </xdr:grpSpPr>
      <xdr:sp macro="" textlink="">
        <xdr:nvSpPr>
          <xdr:cNvPr id="102" name="Rectangle: Rounded Corners 101">
            <a:extLst>
              <a:ext uri="{FF2B5EF4-FFF2-40B4-BE49-F238E27FC236}">
                <a16:creationId xmlns:a16="http://schemas.microsoft.com/office/drawing/2014/main" id="{CFAE163D-5EA6-66A3-D7B2-729C222BE23C}"/>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3" name="TextBox 102">
            <a:extLst>
              <a:ext uri="{FF2B5EF4-FFF2-40B4-BE49-F238E27FC236}">
                <a16:creationId xmlns:a16="http://schemas.microsoft.com/office/drawing/2014/main" id="{94DD4FA8-68F1-A959-278B-F09EB3AE1B41}"/>
              </a:ext>
            </a:extLst>
          </xdr:cNvPr>
          <xdr:cNvSpPr txBox="1"/>
        </xdr:nvSpPr>
        <xdr:spPr>
          <a:xfrm>
            <a:off x="204281" y="2286000"/>
            <a:ext cx="3988339"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LATEST</a:t>
            </a:r>
            <a:r>
              <a:rPr lang="en-PH" sz="30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 YoY GROWTH</a:t>
            </a:r>
            <a:endPar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kpi!$E$1">
        <xdr:nvSpPr>
          <xdr:cNvPr id="104" name="TextBox 103">
            <a:extLst>
              <a:ext uri="{FF2B5EF4-FFF2-40B4-BE49-F238E27FC236}">
                <a16:creationId xmlns:a16="http://schemas.microsoft.com/office/drawing/2014/main" id="{04EB8A08-A217-F90A-ED3B-B730E5B5336C}"/>
              </a:ext>
            </a:extLst>
          </xdr:cNvPr>
          <xdr:cNvSpPr txBox="1"/>
        </xdr:nvSpPr>
        <xdr:spPr>
          <a:xfrm>
            <a:off x="210766" y="2950723"/>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667439-26B8-4E8E-B0D7-D76060ABE136}" type="TxLink">
              <a:rPr lang="en-US" sz="4800" b="1" i="0" u="none" strike="noStrike">
                <a:solidFill>
                  <a:schemeClr val="bg1"/>
                </a:solidFill>
                <a:latin typeface="Calibri"/>
                <a:ea typeface="Calibri"/>
                <a:cs typeface="Calibri"/>
              </a:rPr>
              <a:pPr algn="ctr"/>
              <a:t>13.34%</a:t>
            </a:fld>
            <a:endParaRPr lang="en-PH" sz="4800" b="1">
              <a:solidFill>
                <a:schemeClr val="bg1"/>
              </a:solidFill>
              <a:latin typeface="+mn-lt"/>
            </a:endParaRPr>
          </a:p>
        </xdr:txBody>
      </xdr:sp>
    </xdr:grpSp>
    <xdr:clientData/>
  </xdr:twoCellAnchor>
  <xdr:twoCellAnchor>
    <xdr:from>
      <xdr:col>0</xdr:col>
      <xdr:colOff>213515</xdr:colOff>
      <xdr:row>35</xdr:row>
      <xdr:rowOff>11249</xdr:rowOff>
    </xdr:from>
    <xdr:to>
      <xdr:col>6</xdr:col>
      <xdr:colOff>541394</xdr:colOff>
      <xdr:row>45</xdr:row>
      <xdr:rowOff>9460</xdr:rowOff>
    </xdr:to>
    <xdr:grpSp>
      <xdr:nvGrpSpPr>
        <xdr:cNvPr id="105" name="Group 104">
          <a:extLst>
            <a:ext uri="{FF2B5EF4-FFF2-40B4-BE49-F238E27FC236}">
              <a16:creationId xmlns:a16="http://schemas.microsoft.com/office/drawing/2014/main" id="{27E38D28-095C-47A3-BE75-5947F23A67A3}"/>
            </a:ext>
          </a:extLst>
        </xdr:cNvPr>
        <xdr:cNvGrpSpPr/>
      </xdr:nvGrpSpPr>
      <xdr:grpSpPr>
        <a:xfrm>
          <a:off x="213515" y="6213575"/>
          <a:ext cx="3942949" cy="1770304"/>
          <a:chOff x="200544" y="2182057"/>
          <a:chExt cx="4024390" cy="1781616"/>
        </a:xfrm>
      </xdr:grpSpPr>
      <xdr:sp macro="" textlink="">
        <xdr:nvSpPr>
          <xdr:cNvPr id="106" name="Rectangle: Rounded Corners 105">
            <a:extLst>
              <a:ext uri="{FF2B5EF4-FFF2-40B4-BE49-F238E27FC236}">
                <a16:creationId xmlns:a16="http://schemas.microsoft.com/office/drawing/2014/main" id="{50511F09-B7C0-4D23-6471-06E811E723BF}"/>
              </a:ext>
            </a:extLst>
          </xdr:cNvPr>
          <xdr:cNvSpPr/>
        </xdr:nvSpPr>
        <xdr:spPr>
          <a:xfrm>
            <a:off x="200544" y="2182057"/>
            <a:ext cx="4024390" cy="1781616"/>
          </a:xfrm>
          <a:prstGeom prst="roundRect">
            <a:avLst>
              <a:gd name="adj" fmla="val 7921"/>
            </a:avLst>
          </a:prstGeom>
          <a:solidFill>
            <a:schemeClr val="bg2">
              <a:lumMod val="25000"/>
            </a:schemeClr>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7" name="TextBox 106">
            <a:extLst>
              <a:ext uri="{FF2B5EF4-FFF2-40B4-BE49-F238E27FC236}">
                <a16:creationId xmlns:a16="http://schemas.microsoft.com/office/drawing/2014/main" id="{474316E3-12BC-6F3C-A56D-EDD4B167A29E}"/>
              </a:ext>
            </a:extLst>
          </xdr:cNvPr>
          <xdr:cNvSpPr txBox="1"/>
        </xdr:nvSpPr>
        <xdr:spPr>
          <a:xfrm>
            <a:off x="616086" y="2286000"/>
            <a:ext cx="3210127" cy="59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panose="020F0502020204030204" pitchFamily="34" charset="0"/>
                <a:ea typeface="Calibri" panose="020F0502020204030204" pitchFamily="34" charset="0"/>
                <a:cs typeface="Calibri" panose="020F0502020204030204" pitchFamily="34" charset="0"/>
              </a:rPr>
              <a:t>NCR Share</a:t>
            </a:r>
          </a:p>
        </xdr:txBody>
      </xdr:sp>
      <xdr:sp macro="" textlink="kpi!$H$1">
        <xdr:nvSpPr>
          <xdr:cNvPr id="108" name="TextBox 107">
            <a:extLst>
              <a:ext uri="{FF2B5EF4-FFF2-40B4-BE49-F238E27FC236}">
                <a16:creationId xmlns:a16="http://schemas.microsoft.com/office/drawing/2014/main" id="{BF897730-6483-2C0A-702C-23009F35E8A7}"/>
              </a:ext>
            </a:extLst>
          </xdr:cNvPr>
          <xdr:cNvSpPr txBox="1"/>
        </xdr:nvSpPr>
        <xdr:spPr>
          <a:xfrm>
            <a:off x="210766" y="2837232"/>
            <a:ext cx="4004553" cy="875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65B4EE-C8C1-4B36-B750-F485730AC446}" type="TxLink">
              <a:rPr lang="en-US" sz="4800" b="1" i="0" u="none" strike="noStrike">
                <a:solidFill>
                  <a:schemeClr val="bg1"/>
                </a:solidFill>
                <a:latin typeface="Calibri"/>
                <a:ea typeface="Calibri"/>
                <a:cs typeface="Calibri"/>
              </a:rPr>
              <a:pPr algn="ctr"/>
              <a:t>82%</a:t>
            </a:fld>
            <a:endParaRPr lang="en-PH" sz="4800" b="1">
              <a:solidFill>
                <a:schemeClr val="bg1"/>
              </a:solidFill>
              <a:latin typeface="+mn-lt"/>
            </a:endParaRPr>
          </a:p>
        </xdr:txBody>
      </xdr:sp>
    </xdr:grpSp>
    <xdr:clientData/>
  </xdr:twoCellAnchor>
  <xdr:twoCellAnchor>
    <xdr:from>
      <xdr:col>0</xdr:col>
      <xdr:colOff>243191</xdr:colOff>
      <xdr:row>1</xdr:row>
      <xdr:rowOff>69567</xdr:rowOff>
    </xdr:from>
    <xdr:to>
      <xdr:col>24</xdr:col>
      <xdr:colOff>308042</xdr:colOff>
      <xdr:row>7</xdr:row>
      <xdr:rowOff>53354</xdr:rowOff>
    </xdr:to>
    <xdr:sp macro="" textlink="">
      <xdr:nvSpPr>
        <xdr:cNvPr id="109" name="TextBox 108">
          <a:extLst>
            <a:ext uri="{FF2B5EF4-FFF2-40B4-BE49-F238E27FC236}">
              <a16:creationId xmlns:a16="http://schemas.microsoft.com/office/drawing/2014/main" id="{8A8D38E4-1B07-0A6B-D27E-CC3F7856AF0E}"/>
            </a:ext>
          </a:extLst>
        </xdr:cNvPr>
        <xdr:cNvSpPr txBox="1"/>
      </xdr:nvSpPr>
      <xdr:spPr>
        <a:xfrm>
          <a:off x="243191" y="249676"/>
          <a:ext cx="14695251" cy="106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72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TAX REVENUE DASHBOARD</a:t>
          </a:r>
        </a:p>
      </xdr:txBody>
    </xdr:sp>
    <xdr:clientData/>
  </xdr:twoCellAnchor>
  <xdr:twoCellAnchor>
    <xdr:from>
      <xdr:col>0</xdr:col>
      <xdr:colOff>265889</xdr:colOff>
      <xdr:row>6</xdr:row>
      <xdr:rowOff>83127</xdr:rowOff>
    </xdr:from>
    <xdr:to>
      <xdr:col>24</xdr:col>
      <xdr:colOff>330740</xdr:colOff>
      <xdr:row>10</xdr:row>
      <xdr:rowOff>296</xdr:rowOff>
    </xdr:to>
    <xdr:sp macro="" textlink="">
      <xdr:nvSpPr>
        <xdr:cNvPr id="110" name="TextBox 109">
          <a:hlinkClick xmlns:r="http://schemas.openxmlformats.org/officeDocument/2006/relationships" r:id="rId16"/>
          <a:extLst>
            <a:ext uri="{FF2B5EF4-FFF2-40B4-BE49-F238E27FC236}">
              <a16:creationId xmlns:a16="http://schemas.microsoft.com/office/drawing/2014/main" id="{B1EE0763-813A-40E2-BF62-E2AA970BFEA3}"/>
            </a:ext>
          </a:extLst>
        </xdr:cNvPr>
        <xdr:cNvSpPr txBox="1"/>
      </xdr:nvSpPr>
      <xdr:spPr>
        <a:xfrm>
          <a:off x="265889" y="1163782"/>
          <a:ext cx="14695251" cy="637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a:t>
          </a:r>
          <a:r>
            <a:rPr lang="en-PH"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2020</a:t>
          </a:r>
          <a:r>
            <a:rPr lang="en-PH"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- 2024 data from Open Data Portal)</a:t>
          </a:r>
          <a:endParaRPr lang="en-PH"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 Singson" refreshedDate="46136.602970254629" createdVersion="8" refreshedVersion="8" minRefreshableVersion="3" recordCount="6000" xr:uid="{8085C8CB-06B7-440E-84CD-CB7120172B9E}">
  <cacheSource type="worksheet">
    <worksheetSource name="tax_data"/>
  </cacheSource>
  <cacheFields count="10">
    <cacheField name="Index" numFmtId="0">
      <sharedItems containsSemiMixedTypes="0" containsString="0" containsNumber="1" containsInteger="1" minValue="202001" maxValue="202412"/>
    </cacheField>
    <cacheField name="Date" numFmtId="14">
      <sharedItems containsSemiMixedTypes="0" containsNonDate="0" containsDate="1" containsString="0" minDate="2020-01-01T00:00:00" maxDate="2024-12-02T00:00:00" count="6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Year" numFmtId="0">
      <sharedItems containsSemiMixedTypes="0" containsString="0" containsNumber="1" containsInteger="1" minValue="2020" maxValue="2024"/>
    </cacheField>
    <cacheField name="Month" numFmtId="0">
      <sharedItems/>
    </cacheField>
    <cacheField name="Code" numFmtId="0">
      <sharedItems count="18">
        <s v="NCR"/>
        <s v="CAR"/>
        <s v="R-01"/>
        <s v="R-02"/>
        <s v="R-03"/>
        <s v="R-04A"/>
        <s v="R-04B"/>
        <s v="R-05"/>
        <s v="R-06"/>
        <s v="NIR"/>
        <s v="R-07"/>
        <s v="R-08"/>
        <s v="R-09"/>
        <s v="R-10"/>
        <s v="R-11"/>
        <s v="R-12"/>
        <s v="R-13"/>
        <s v="BARMM"/>
      </sharedItems>
    </cacheField>
    <cacheField name="Region Div" numFmtId="0">
      <sharedItems count="2">
        <s v="NCR"/>
        <s v="Others"/>
      </sharedItems>
    </cacheField>
    <cacheField name="Island" numFmtId="0">
      <sharedItems/>
    </cacheField>
    <cacheField name="Tax Collected" numFmtId="0">
      <sharedItems containsSemiMixedTypes="0" containsString="0" containsNumber="1" minValue="4.07" maxValue="220204.11"/>
    </cacheField>
    <cacheField name="Months (Date)" numFmtId="0" databaseField="0">
      <fieldGroup base="1">
        <rangePr groupBy="months" startDate="2020-01-01T00:00:00" endDate="2024-12-02T00:00:00"/>
        <groupItems count="14">
          <s v="&lt;01/01/2020"/>
          <s v="Jan"/>
          <s v="Feb"/>
          <s v="Mar"/>
          <s v="Apr"/>
          <s v="May"/>
          <s v="Jun"/>
          <s v="Jul"/>
          <s v="Aug"/>
          <s v="Sep"/>
          <s v="Oct"/>
          <s v="Nov"/>
          <s v="Dec"/>
          <s v="&gt;02/12/2024"/>
        </groupItems>
      </fieldGroup>
    </cacheField>
    <cacheField name="Years (Date)" numFmtId="0" databaseField="0">
      <fieldGroup base="1">
        <rangePr groupBy="years" startDate="2020-01-01T00:00:00" endDate="2024-12-02T00:00:00"/>
        <groupItems count="7">
          <s v="&lt;01/01/2020"/>
          <s v="2020"/>
          <s v="2021"/>
          <s v="2022"/>
          <s v="2023"/>
          <s v="2024"/>
          <s v="&gt;02/12/2024"/>
        </groupItems>
      </fieldGroup>
    </cacheField>
  </cacheFields>
  <extLst>
    <ext xmlns:x14="http://schemas.microsoft.com/office/spreadsheetml/2009/9/main" uri="{725AE2AE-9491-48be-B2B4-4EB974FC3084}">
      <x14:pivotCacheDefinition pivotCacheId="1538993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n v="202001"/>
    <x v="0"/>
    <n v="2020"/>
    <s v=" January "/>
    <x v="0"/>
    <x v="0"/>
    <s v="Luzon"/>
    <n v="600.79"/>
  </r>
  <r>
    <n v="202002"/>
    <x v="1"/>
    <n v="2020"/>
    <s v=" February "/>
    <x v="0"/>
    <x v="0"/>
    <s v="Luzon"/>
    <n v="435.53"/>
  </r>
  <r>
    <n v="202003"/>
    <x v="2"/>
    <n v="2020"/>
    <s v=" March "/>
    <x v="0"/>
    <x v="0"/>
    <s v="Luzon"/>
    <n v="336.78"/>
  </r>
  <r>
    <n v="202004"/>
    <x v="3"/>
    <n v="2020"/>
    <s v=" April "/>
    <x v="0"/>
    <x v="0"/>
    <s v="Luzon"/>
    <n v="78.150000000000006"/>
  </r>
  <r>
    <n v="202005"/>
    <x v="4"/>
    <n v="2020"/>
    <s v=" May "/>
    <x v="0"/>
    <x v="0"/>
    <s v="Luzon"/>
    <n v="125.8"/>
  </r>
  <r>
    <n v="202006"/>
    <x v="5"/>
    <n v="2020"/>
    <s v=" June "/>
    <x v="0"/>
    <x v="0"/>
    <s v="Luzon"/>
    <n v="804.85"/>
  </r>
  <r>
    <n v="202007"/>
    <x v="6"/>
    <n v="2020"/>
    <s v=" July "/>
    <x v="0"/>
    <x v="0"/>
    <s v="Luzon"/>
    <n v="362.37"/>
  </r>
  <r>
    <n v="202008"/>
    <x v="7"/>
    <n v="2020"/>
    <s v=" August "/>
    <x v="0"/>
    <x v="0"/>
    <s v="Luzon"/>
    <n v="375.56"/>
  </r>
  <r>
    <n v="202009"/>
    <x v="8"/>
    <n v="2020"/>
    <s v=" September "/>
    <x v="0"/>
    <x v="0"/>
    <s v="Luzon"/>
    <n v="351.8"/>
  </r>
  <r>
    <n v="202010"/>
    <x v="9"/>
    <n v="2020"/>
    <s v=" October "/>
    <x v="0"/>
    <x v="0"/>
    <s v="Luzon"/>
    <n v="415.26"/>
  </r>
  <r>
    <n v="202011"/>
    <x v="10"/>
    <n v="2020"/>
    <s v=" November "/>
    <x v="0"/>
    <x v="0"/>
    <s v="Luzon"/>
    <n v="507.85"/>
  </r>
  <r>
    <n v="202012"/>
    <x v="11"/>
    <n v="2020"/>
    <s v=" December "/>
    <x v="0"/>
    <x v="0"/>
    <s v="Luzon"/>
    <n v="455.26"/>
  </r>
  <r>
    <n v="202001"/>
    <x v="0"/>
    <n v="2020"/>
    <s v=" January "/>
    <x v="0"/>
    <x v="0"/>
    <s v="Luzon"/>
    <n v="668.95"/>
  </r>
  <r>
    <n v="202002"/>
    <x v="1"/>
    <n v="2020"/>
    <s v=" February "/>
    <x v="0"/>
    <x v="0"/>
    <s v="Luzon"/>
    <n v="465.9"/>
  </r>
  <r>
    <n v="202003"/>
    <x v="2"/>
    <n v="2020"/>
    <s v=" March "/>
    <x v="0"/>
    <x v="0"/>
    <s v="Luzon"/>
    <n v="392.34"/>
  </r>
  <r>
    <n v="202004"/>
    <x v="3"/>
    <n v="2020"/>
    <s v=" April "/>
    <x v="0"/>
    <x v="0"/>
    <s v="Luzon"/>
    <n v="98.97"/>
  </r>
  <r>
    <n v="202005"/>
    <x v="4"/>
    <n v="2020"/>
    <s v=" May "/>
    <x v="0"/>
    <x v="0"/>
    <s v="Luzon"/>
    <n v="189.8"/>
  </r>
  <r>
    <n v="202006"/>
    <x v="5"/>
    <n v="2020"/>
    <s v=" June "/>
    <x v="0"/>
    <x v="0"/>
    <s v="Luzon"/>
    <n v="1100.24"/>
  </r>
  <r>
    <n v="202007"/>
    <x v="6"/>
    <n v="2020"/>
    <s v=" July "/>
    <x v="0"/>
    <x v="0"/>
    <s v="Luzon"/>
    <n v="442.18"/>
  </r>
  <r>
    <n v="202008"/>
    <x v="7"/>
    <n v="2020"/>
    <s v=" August "/>
    <x v="0"/>
    <x v="0"/>
    <s v="Luzon"/>
    <n v="433.19"/>
  </r>
  <r>
    <n v="202009"/>
    <x v="8"/>
    <n v="2020"/>
    <s v=" September "/>
    <x v="0"/>
    <x v="0"/>
    <s v="Luzon"/>
    <n v="416.8"/>
  </r>
  <r>
    <n v="202010"/>
    <x v="9"/>
    <n v="2020"/>
    <s v=" October "/>
    <x v="0"/>
    <x v="0"/>
    <s v="Luzon"/>
    <n v="499.72"/>
  </r>
  <r>
    <n v="202011"/>
    <x v="10"/>
    <n v="2020"/>
    <s v=" November "/>
    <x v="0"/>
    <x v="0"/>
    <s v="Luzon"/>
    <n v="601.09"/>
  </r>
  <r>
    <n v="202012"/>
    <x v="11"/>
    <n v="2020"/>
    <s v=" December "/>
    <x v="0"/>
    <x v="0"/>
    <s v="Luzon"/>
    <n v="473.99"/>
  </r>
  <r>
    <n v="202001"/>
    <x v="0"/>
    <n v="2020"/>
    <s v=" January "/>
    <x v="0"/>
    <x v="0"/>
    <s v="Luzon"/>
    <n v="10693.43"/>
  </r>
  <r>
    <n v="202002"/>
    <x v="1"/>
    <n v="2020"/>
    <s v=" February "/>
    <x v="0"/>
    <x v="0"/>
    <s v="Luzon"/>
    <n v="8109.89"/>
  </r>
  <r>
    <n v="202003"/>
    <x v="2"/>
    <n v="2020"/>
    <s v=" March "/>
    <x v="0"/>
    <x v="0"/>
    <s v="Luzon"/>
    <n v="7344.66"/>
  </r>
  <r>
    <n v="202004"/>
    <x v="3"/>
    <n v="2020"/>
    <s v=" April "/>
    <x v="0"/>
    <x v="0"/>
    <s v="Luzon"/>
    <n v="3104.96"/>
  </r>
  <r>
    <n v="202005"/>
    <x v="4"/>
    <n v="2020"/>
    <s v=" May "/>
    <x v="0"/>
    <x v="0"/>
    <s v="Luzon"/>
    <n v="4748.8500000000004"/>
  </r>
  <r>
    <n v="202006"/>
    <x v="5"/>
    <n v="2020"/>
    <s v=" June "/>
    <x v="0"/>
    <x v="0"/>
    <s v="Luzon"/>
    <n v="15895.86"/>
  </r>
  <r>
    <n v="202007"/>
    <x v="6"/>
    <n v="2020"/>
    <s v=" July "/>
    <x v="0"/>
    <x v="0"/>
    <s v="Luzon"/>
    <n v="7149.31"/>
  </r>
  <r>
    <n v="202008"/>
    <x v="7"/>
    <n v="2020"/>
    <s v=" August "/>
    <x v="0"/>
    <x v="0"/>
    <s v="Luzon"/>
    <n v="7609.07"/>
  </r>
  <r>
    <n v="202009"/>
    <x v="8"/>
    <n v="2020"/>
    <s v=" September "/>
    <x v="0"/>
    <x v="0"/>
    <s v="Luzon"/>
    <n v="9635.26"/>
  </r>
  <r>
    <n v="202010"/>
    <x v="9"/>
    <n v="2020"/>
    <s v=" October "/>
    <x v="0"/>
    <x v="0"/>
    <s v="Luzon"/>
    <n v="9006.44"/>
  </r>
  <r>
    <n v="202011"/>
    <x v="10"/>
    <n v="2020"/>
    <s v=" November "/>
    <x v="0"/>
    <x v="0"/>
    <s v="Luzon"/>
    <n v="8988.52"/>
  </r>
  <r>
    <n v="202012"/>
    <x v="11"/>
    <n v="2020"/>
    <s v=" December "/>
    <x v="0"/>
    <x v="0"/>
    <s v="Luzon"/>
    <n v="8440.7999999999993"/>
  </r>
  <r>
    <n v="202001"/>
    <x v="0"/>
    <n v="2020"/>
    <s v=" January "/>
    <x v="0"/>
    <x v="0"/>
    <s v="Luzon"/>
    <n v="292.07"/>
  </r>
  <r>
    <n v="202002"/>
    <x v="1"/>
    <n v="2020"/>
    <s v=" February "/>
    <x v="0"/>
    <x v="0"/>
    <s v="Luzon"/>
    <n v="249.84"/>
  </r>
  <r>
    <n v="202003"/>
    <x v="2"/>
    <n v="2020"/>
    <s v=" March "/>
    <x v="0"/>
    <x v="0"/>
    <s v="Luzon"/>
    <n v="204.43"/>
  </r>
  <r>
    <n v="202004"/>
    <x v="3"/>
    <n v="2020"/>
    <s v=" April "/>
    <x v="0"/>
    <x v="0"/>
    <s v="Luzon"/>
    <n v="50.94"/>
  </r>
  <r>
    <n v="202005"/>
    <x v="4"/>
    <n v="2020"/>
    <s v=" May "/>
    <x v="0"/>
    <x v="0"/>
    <s v="Luzon"/>
    <n v="83.01"/>
  </r>
  <r>
    <n v="202006"/>
    <x v="5"/>
    <n v="2020"/>
    <s v=" June "/>
    <x v="0"/>
    <x v="0"/>
    <s v="Luzon"/>
    <n v="505.92"/>
  </r>
  <r>
    <n v="202007"/>
    <x v="6"/>
    <n v="2020"/>
    <s v=" July "/>
    <x v="0"/>
    <x v="0"/>
    <s v="Luzon"/>
    <n v="177.09"/>
  </r>
  <r>
    <n v="202008"/>
    <x v="7"/>
    <n v="2020"/>
    <s v=" August "/>
    <x v="0"/>
    <x v="0"/>
    <s v="Luzon"/>
    <n v="214.58"/>
  </r>
  <r>
    <n v="202009"/>
    <x v="8"/>
    <n v="2020"/>
    <s v=" September "/>
    <x v="0"/>
    <x v="0"/>
    <s v="Luzon"/>
    <n v="198.62"/>
  </r>
  <r>
    <n v="202010"/>
    <x v="9"/>
    <n v="2020"/>
    <s v=" October "/>
    <x v="0"/>
    <x v="0"/>
    <s v="Luzon"/>
    <n v="246.25"/>
  </r>
  <r>
    <n v="202011"/>
    <x v="10"/>
    <n v="2020"/>
    <s v=" November "/>
    <x v="0"/>
    <x v="0"/>
    <s v="Luzon"/>
    <n v="272.14999999999998"/>
  </r>
  <r>
    <n v="202012"/>
    <x v="11"/>
    <n v="2020"/>
    <s v=" December "/>
    <x v="0"/>
    <x v="0"/>
    <s v="Luzon"/>
    <n v="261.19"/>
  </r>
  <r>
    <n v="202001"/>
    <x v="0"/>
    <n v="2020"/>
    <s v=" January "/>
    <x v="0"/>
    <x v="0"/>
    <s v="Luzon"/>
    <n v="2566.0100000000002"/>
  </r>
  <r>
    <n v="202002"/>
    <x v="1"/>
    <n v="2020"/>
    <s v=" February "/>
    <x v="0"/>
    <x v="0"/>
    <s v="Luzon"/>
    <n v="1467.69"/>
  </r>
  <r>
    <n v="202003"/>
    <x v="2"/>
    <n v="2020"/>
    <s v=" March "/>
    <x v="0"/>
    <x v="0"/>
    <s v="Luzon"/>
    <n v="1298.95"/>
  </r>
  <r>
    <n v="202004"/>
    <x v="3"/>
    <n v="2020"/>
    <s v=" April "/>
    <x v="0"/>
    <x v="0"/>
    <s v="Luzon"/>
    <n v="766.44"/>
  </r>
  <r>
    <n v="202005"/>
    <x v="4"/>
    <n v="2020"/>
    <s v=" May "/>
    <x v="0"/>
    <x v="0"/>
    <s v="Luzon"/>
    <n v="729.84"/>
  </r>
  <r>
    <n v="202006"/>
    <x v="5"/>
    <n v="2020"/>
    <s v=" June "/>
    <x v="0"/>
    <x v="0"/>
    <s v="Luzon"/>
    <n v="3009.94"/>
  </r>
  <r>
    <n v="202007"/>
    <x v="6"/>
    <n v="2020"/>
    <s v=" July "/>
    <x v="0"/>
    <x v="0"/>
    <s v="Luzon"/>
    <n v="1198.54"/>
  </r>
  <r>
    <n v="202008"/>
    <x v="7"/>
    <n v="2020"/>
    <s v=" August "/>
    <x v="0"/>
    <x v="0"/>
    <s v="Luzon"/>
    <n v="1880.42"/>
  </r>
  <r>
    <n v="202009"/>
    <x v="8"/>
    <n v="2020"/>
    <s v=" September "/>
    <x v="0"/>
    <x v="0"/>
    <s v="Luzon"/>
    <n v="1081.8800000000001"/>
  </r>
  <r>
    <n v="202010"/>
    <x v="9"/>
    <n v="2020"/>
    <s v=" October "/>
    <x v="0"/>
    <x v="0"/>
    <s v="Luzon"/>
    <n v="1355.87"/>
  </r>
  <r>
    <n v="202011"/>
    <x v="10"/>
    <n v="2020"/>
    <s v=" November "/>
    <x v="0"/>
    <x v="0"/>
    <s v="Luzon"/>
    <n v="1704.07"/>
  </r>
  <r>
    <n v="202012"/>
    <x v="11"/>
    <n v="2020"/>
    <s v=" December "/>
    <x v="0"/>
    <x v="0"/>
    <s v="Luzon"/>
    <n v="1614.24"/>
  </r>
  <r>
    <n v="202001"/>
    <x v="0"/>
    <n v="2020"/>
    <s v=" January "/>
    <x v="0"/>
    <x v="0"/>
    <s v="Luzon"/>
    <n v="4596.33"/>
  </r>
  <r>
    <n v="202002"/>
    <x v="1"/>
    <n v="2020"/>
    <s v=" February "/>
    <x v="0"/>
    <x v="0"/>
    <s v="Luzon"/>
    <n v="2881.31"/>
  </r>
  <r>
    <n v="202003"/>
    <x v="2"/>
    <n v="2020"/>
    <s v=" March "/>
    <x v="0"/>
    <x v="0"/>
    <s v="Luzon"/>
    <n v="2625.2"/>
  </r>
  <r>
    <n v="202004"/>
    <x v="3"/>
    <n v="2020"/>
    <s v=" April "/>
    <x v="0"/>
    <x v="0"/>
    <s v="Luzon"/>
    <n v="993.57"/>
  </r>
  <r>
    <n v="202005"/>
    <x v="4"/>
    <n v="2020"/>
    <s v=" May "/>
    <x v="0"/>
    <x v="0"/>
    <s v="Luzon"/>
    <n v="1856.89"/>
  </r>
  <r>
    <n v="202006"/>
    <x v="5"/>
    <n v="2020"/>
    <s v=" June "/>
    <x v="0"/>
    <x v="0"/>
    <s v="Luzon"/>
    <n v="5618.57"/>
  </r>
  <r>
    <n v="202007"/>
    <x v="6"/>
    <n v="2020"/>
    <s v=" July "/>
    <x v="0"/>
    <x v="0"/>
    <s v="Luzon"/>
    <n v="2815.09"/>
  </r>
  <r>
    <n v="202008"/>
    <x v="7"/>
    <n v="2020"/>
    <s v=" August "/>
    <x v="0"/>
    <x v="0"/>
    <s v="Luzon"/>
    <n v="3003.45"/>
  </r>
  <r>
    <n v="202009"/>
    <x v="8"/>
    <n v="2020"/>
    <s v=" September "/>
    <x v="0"/>
    <x v="0"/>
    <s v="Luzon"/>
    <n v="2870.5"/>
  </r>
  <r>
    <n v="202010"/>
    <x v="9"/>
    <n v="2020"/>
    <s v=" October "/>
    <x v="0"/>
    <x v="0"/>
    <s v="Luzon"/>
    <n v="3182.13"/>
  </r>
  <r>
    <n v="202011"/>
    <x v="10"/>
    <n v="2020"/>
    <s v=" November "/>
    <x v="0"/>
    <x v="0"/>
    <s v="Luzon"/>
    <n v="3980.08"/>
  </r>
  <r>
    <n v="202012"/>
    <x v="11"/>
    <n v="2020"/>
    <s v=" December "/>
    <x v="0"/>
    <x v="0"/>
    <s v="Luzon"/>
    <n v="5903.42"/>
  </r>
  <r>
    <n v="202001"/>
    <x v="0"/>
    <n v="2020"/>
    <s v=" January "/>
    <x v="0"/>
    <x v="0"/>
    <s v="Luzon"/>
    <n v="732.75"/>
  </r>
  <r>
    <n v="202002"/>
    <x v="1"/>
    <n v="2020"/>
    <s v=" February "/>
    <x v="0"/>
    <x v="0"/>
    <s v="Luzon"/>
    <n v="533.85"/>
  </r>
  <r>
    <n v="202003"/>
    <x v="2"/>
    <n v="2020"/>
    <s v=" March "/>
    <x v="0"/>
    <x v="0"/>
    <s v="Luzon"/>
    <n v="412.84"/>
  </r>
  <r>
    <n v="202004"/>
    <x v="3"/>
    <n v="2020"/>
    <s v=" April "/>
    <x v="0"/>
    <x v="0"/>
    <s v="Luzon"/>
    <n v="136.12"/>
  </r>
  <r>
    <n v="202005"/>
    <x v="4"/>
    <n v="2020"/>
    <s v=" May "/>
    <x v="0"/>
    <x v="0"/>
    <s v="Luzon"/>
    <n v="249.48"/>
  </r>
  <r>
    <n v="202006"/>
    <x v="5"/>
    <n v="2020"/>
    <s v=" June "/>
    <x v="0"/>
    <x v="0"/>
    <s v="Luzon"/>
    <n v="997.45"/>
  </r>
  <r>
    <n v="202007"/>
    <x v="6"/>
    <n v="2020"/>
    <s v=" July "/>
    <x v="0"/>
    <x v="0"/>
    <s v="Luzon"/>
    <n v="466.08"/>
  </r>
  <r>
    <n v="202008"/>
    <x v="7"/>
    <n v="2020"/>
    <s v=" August "/>
    <x v="0"/>
    <x v="0"/>
    <s v="Luzon"/>
    <n v="434.29"/>
  </r>
  <r>
    <n v="202009"/>
    <x v="8"/>
    <n v="2020"/>
    <s v=" September "/>
    <x v="0"/>
    <x v="0"/>
    <s v="Luzon"/>
    <n v="448.42"/>
  </r>
  <r>
    <n v="202010"/>
    <x v="9"/>
    <n v="2020"/>
    <s v=" October "/>
    <x v="0"/>
    <x v="0"/>
    <s v="Luzon"/>
    <n v="507.13"/>
  </r>
  <r>
    <n v="202011"/>
    <x v="10"/>
    <n v="2020"/>
    <s v=" November "/>
    <x v="0"/>
    <x v="0"/>
    <s v="Luzon"/>
    <n v="568.83000000000004"/>
  </r>
  <r>
    <n v="202012"/>
    <x v="11"/>
    <n v="2020"/>
    <s v=" December "/>
    <x v="0"/>
    <x v="0"/>
    <s v="Luzon"/>
    <n v="522.42999999999995"/>
  </r>
  <r>
    <n v="202001"/>
    <x v="0"/>
    <n v="2020"/>
    <s v=" January "/>
    <x v="0"/>
    <x v="0"/>
    <s v="Luzon"/>
    <n v="1251.1600000000001"/>
  </r>
  <r>
    <n v="202002"/>
    <x v="1"/>
    <n v="2020"/>
    <s v=" February "/>
    <x v="0"/>
    <x v="0"/>
    <s v="Luzon"/>
    <n v="906.64"/>
  </r>
  <r>
    <n v="202003"/>
    <x v="2"/>
    <n v="2020"/>
    <s v=" March "/>
    <x v="0"/>
    <x v="0"/>
    <s v="Luzon"/>
    <n v="816.82"/>
  </r>
  <r>
    <n v="202004"/>
    <x v="3"/>
    <n v="2020"/>
    <s v=" April "/>
    <x v="0"/>
    <x v="0"/>
    <s v="Luzon"/>
    <n v="401.05"/>
  </r>
  <r>
    <n v="202005"/>
    <x v="4"/>
    <n v="2020"/>
    <s v=" May "/>
    <x v="0"/>
    <x v="0"/>
    <s v="Luzon"/>
    <n v="619.71"/>
  </r>
  <r>
    <n v="202006"/>
    <x v="5"/>
    <n v="2020"/>
    <s v=" June "/>
    <x v="0"/>
    <x v="0"/>
    <s v="Luzon"/>
    <n v="2176.58"/>
  </r>
  <r>
    <n v="202007"/>
    <x v="6"/>
    <n v="2020"/>
    <s v=" July "/>
    <x v="0"/>
    <x v="0"/>
    <s v="Luzon"/>
    <n v="955.8"/>
  </r>
  <r>
    <n v="202008"/>
    <x v="7"/>
    <n v="2020"/>
    <s v=" August "/>
    <x v="0"/>
    <x v="0"/>
    <s v="Luzon"/>
    <n v="989.43"/>
  </r>
  <r>
    <n v="202009"/>
    <x v="8"/>
    <n v="2020"/>
    <s v=" September "/>
    <x v="0"/>
    <x v="0"/>
    <s v="Luzon"/>
    <n v="813.45"/>
  </r>
  <r>
    <n v="202010"/>
    <x v="9"/>
    <n v="2020"/>
    <s v=" October "/>
    <x v="0"/>
    <x v="0"/>
    <s v="Luzon"/>
    <n v="859.56"/>
  </r>
  <r>
    <n v="202011"/>
    <x v="10"/>
    <n v="2020"/>
    <s v=" November "/>
    <x v="0"/>
    <x v="0"/>
    <s v="Luzon"/>
    <n v="1134.96"/>
  </r>
  <r>
    <n v="202012"/>
    <x v="11"/>
    <n v="2020"/>
    <s v=" December "/>
    <x v="0"/>
    <x v="0"/>
    <s v="Luzon"/>
    <n v="1120.01"/>
  </r>
  <r>
    <n v="202001"/>
    <x v="0"/>
    <n v="2020"/>
    <s v=" January "/>
    <x v="0"/>
    <x v="0"/>
    <s v="Luzon"/>
    <n v="1804.03"/>
  </r>
  <r>
    <n v="202002"/>
    <x v="1"/>
    <n v="2020"/>
    <s v=" February "/>
    <x v="0"/>
    <x v="0"/>
    <s v="Luzon"/>
    <n v="1136.99"/>
  </r>
  <r>
    <n v="202003"/>
    <x v="2"/>
    <n v="2020"/>
    <s v=" March "/>
    <x v="0"/>
    <x v="0"/>
    <s v="Luzon"/>
    <n v="849.54"/>
  </r>
  <r>
    <n v="202004"/>
    <x v="3"/>
    <n v="2020"/>
    <s v=" April "/>
    <x v="0"/>
    <x v="0"/>
    <s v="Luzon"/>
    <n v="212.74"/>
  </r>
  <r>
    <n v="202005"/>
    <x v="4"/>
    <n v="2020"/>
    <s v=" May "/>
    <x v="0"/>
    <x v="0"/>
    <s v="Luzon"/>
    <n v="588.91"/>
  </r>
  <r>
    <n v="202006"/>
    <x v="5"/>
    <n v="2020"/>
    <s v=" June "/>
    <x v="0"/>
    <x v="0"/>
    <s v="Luzon"/>
    <n v="2209.0100000000002"/>
  </r>
  <r>
    <n v="202007"/>
    <x v="6"/>
    <n v="2020"/>
    <s v=" July "/>
    <x v="0"/>
    <x v="0"/>
    <s v="Luzon"/>
    <n v="825.28"/>
  </r>
  <r>
    <n v="202008"/>
    <x v="7"/>
    <n v="2020"/>
    <s v=" August "/>
    <x v="0"/>
    <x v="0"/>
    <s v="Luzon"/>
    <n v="947.73"/>
  </r>
  <r>
    <n v="202009"/>
    <x v="8"/>
    <n v="2020"/>
    <s v=" September "/>
    <x v="0"/>
    <x v="0"/>
    <s v="Luzon"/>
    <n v="1012.98"/>
  </r>
  <r>
    <n v="202010"/>
    <x v="9"/>
    <n v="2020"/>
    <s v=" October "/>
    <x v="0"/>
    <x v="0"/>
    <s v="Luzon"/>
    <n v="1137.27"/>
  </r>
  <r>
    <n v="202011"/>
    <x v="10"/>
    <n v="2020"/>
    <s v=" November "/>
    <x v="0"/>
    <x v="0"/>
    <s v="Luzon"/>
    <n v="1210.4000000000001"/>
  </r>
  <r>
    <n v="202012"/>
    <x v="11"/>
    <n v="2020"/>
    <s v=" December "/>
    <x v="0"/>
    <x v="0"/>
    <s v="Luzon"/>
    <n v="1514.68"/>
  </r>
  <r>
    <n v="202001"/>
    <x v="0"/>
    <n v="2020"/>
    <s v=" January "/>
    <x v="0"/>
    <x v="0"/>
    <s v="Luzon"/>
    <n v="1798.91"/>
  </r>
  <r>
    <n v="202002"/>
    <x v="1"/>
    <n v="2020"/>
    <s v=" February "/>
    <x v="0"/>
    <x v="0"/>
    <s v="Luzon"/>
    <n v="1375.6"/>
  </r>
  <r>
    <n v="202003"/>
    <x v="2"/>
    <n v="2020"/>
    <s v=" March "/>
    <x v="0"/>
    <x v="0"/>
    <s v="Luzon"/>
    <n v="1056.27"/>
  </r>
  <r>
    <n v="202004"/>
    <x v="3"/>
    <n v="2020"/>
    <s v=" April "/>
    <x v="0"/>
    <x v="0"/>
    <s v="Luzon"/>
    <n v="304.82"/>
  </r>
  <r>
    <n v="202005"/>
    <x v="4"/>
    <n v="2020"/>
    <s v=" May "/>
    <x v="0"/>
    <x v="0"/>
    <s v="Luzon"/>
    <n v="791.71"/>
  </r>
  <r>
    <n v="202006"/>
    <x v="5"/>
    <n v="2020"/>
    <s v=" June "/>
    <x v="0"/>
    <x v="0"/>
    <s v="Luzon"/>
    <n v="3182.13"/>
  </r>
  <r>
    <n v="202007"/>
    <x v="6"/>
    <n v="2020"/>
    <s v=" July "/>
    <x v="0"/>
    <x v="0"/>
    <s v="Luzon"/>
    <n v="1123.6300000000001"/>
  </r>
  <r>
    <n v="202008"/>
    <x v="7"/>
    <n v="2020"/>
    <s v=" August "/>
    <x v="0"/>
    <x v="0"/>
    <s v="Luzon"/>
    <n v="980.83"/>
  </r>
  <r>
    <n v="202009"/>
    <x v="8"/>
    <n v="2020"/>
    <s v=" September "/>
    <x v="0"/>
    <x v="0"/>
    <s v="Luzon"/>
    <n v="1108.9100000000001"/>
  </r>
  <r>
    <n v="202010"/>
    <x v="9"/>
    <n v="2020"/>
    <s v=" October "/>
    <x v="0"/>
    <x v="0"/>
    <s v="Luzon"/>
    <n v="1065.4100000000001"/>
  </r>
  <r>
    <n v="202011"/>
    <x v="10"/>
    <n v="2020"/>
    <s v=" November "/>
    <x v="0"/>
    <x v="0"/>
    <s v="Luzon"/>
    <n v="1524.4"/>
  </r>
  <r>
    <n v="202012"/>
    <x v="11"/>
    <n v="2020"/>
    <s v=" December "/>
    <x v="0"/>
    <x v="0"/>
    <s v="Luzon"/>
    <n v="1324.25"/>
  </r>
  <r>
    <n v="202001"/>
    <x v="0"/>
    <n v="2020"/>
    <s v=" January "/>
    <x v="0"/>
    <x v="0"/>
    <s v="Luzon"/>
    <n v="4004.09"/>
  </r>
  <r>
    <n v="202002"/>
    <x v="1"/>
    <n v="2020"/>
    <s v=" February "/>
    <x v="0"/>
    <x v="0"/>
    <s v="Luzon"/>
    <n v="2771.35"/>
  </r>
  <r>
    <n v="202003"/>
    <x v="2"/>
    <n v="2020"/>
    <s v=" March "/>
    <x v="0"/>
    <x v="0"/>
    <s v="Luzon"/>
    <n v="2132.17"/>
  </r>
  <r>
    <n v="202004"/>
    <x v="3"/>
    <n v="2020"/>
    <s v=" April "/>
    <x v="0"/>
    <x v="0"/>
    <s v="Luzon"/>
    <n v="979.99"/>
  </r>
  <r>
    <n v="202005"/>
    <x v="4"/>
    <n v="2020"/>
    <s v=" May "/>
    <x v="0"/>
    <x v="0"/>
    <s v="Luzon"/>
    <n v="2039.28"/>
  </r>
  <r>
    <n v="202006"/>
    <x v="5"/>
    <n v="2020"/>
    <s v=" June "/>
    <x v="0"/>
    <x v="0"/>
    <s v="Luzon"/>
    <n v="5927.88"/>
  </r>
  <r>
    <n v="202007"/>
    <x v="6"/>
    <n v="2020"/>
    <s v=" July "/>
    <x v="0"/>
    <x v="0"/>
    <s v="Luzon"/>
    <n v="2553.9899999999998"/>
  </r>
  <r>
    <n v="202008"/>
    <x v="7"/>
    <n v="2020"/>
    <s v=" August "/>
    <x v="0"/>
    <x v="0"/>
    <s v="Luzon"/>
    <n v="3056.65"/>
  </r>
  <r>
    <n v="202009"/>
    <x v="8"/>
    <n v="2020"/>
    <s v=" September "/>
    <x v="0"/>
    <x v="0"/>
    <s v="Luzon"/>
    <n v="2249.4499999999998"/>
  </r>
  <r>
    <n v="202010"/>
    <x v="9"/>
    <n v="2020"/>
    <s v=" October "/>
    <x v="0"/>
    <x v="0"/>
    <s v="Luzon"/>
    <n v="2730.19"/>
  </r>
  <r>
    <n v="202011"/>
    <x v="10"/>
    <n v="2020"/>
    <s v=" November "/>
    <x v="0"/>
    <x v="0"/>
    <s v="Luzon"/>
    <n v="3283.24"/>
  </r>
  <r>
    <n v="202012"/>
    <x v="11"/>
    <n v="2020"/>
    <s v=" December "/>
    <x v="0"/>
    <x v="0"/>
    <s v="Luzon"/>
    <n v="2975.08"/>
  </r>
  <r>
    <n v="202001"/>
    <x v="0"/>
    <n v="2020"/>
    <s v=" January "/>
    <x v="0"/>
    <x v="0"/>
    <s v="Luzon"/>
    <n v="7264.87"/>
  </r>
  <r>
    <n v="202002"/>
    <x v="1"/>
    <n v="2020"/>
    <s v=" February "/>
    <x v="0"/>
    <x v="0"/>
    <s v="Luzon"/>
    <n v="6011.83"/>
  </r>
  <r>
    <n v="202003"/>
    <x v="2"/>
    <n v="2020"/>
    <s v=" March "/>
    <x v="0"/>
    <x v="0"/>
    <s v="Luzon"/>
    <n v="4615.92"/>
  </r>
  <r>
    <n v="202004"/>
    <x v="3"/>
    <n v="2020"/>
    <s v=" April "/>
    <x v="0"/>
    <x v="0"/>
    <s v="Luzon"/>
    <n v="1899.42"/>
  </r>
  <r>
    <n v="202005"/>
    <x v="4"/>
    <n v="2020"/>
    <s v=" May "/>
    <x v="0"/>
    <x v="0"/>
    <s v="Luzon"/>
    <n v="3051.74"/>
  </r>
  <r>
    <n v="202006"/>
    <x v="5"/>
    <n v="2020"/>
    <s v=" June "/>
    <x v="0"/>
    <x v="0"/>
    <s v="Luzon"/>
    <n v="11729.24"/>
  </r>
  <r>
    <n v="202007"/>
    <x v="6"/>
    <n v="2020"/>
    <s v=" July "/>
    <x v="0"/>
    <x v="0"/>
    <s v="Luzon"/>
    <n v="5250.25"/>
  </r>
  <r>
    <n v="202008"/>
    <x v="7"/>
    <n v="2020"/>
    <s v=" August "/>
    <x v="0"/>
    <x v="0"/>
    <s v="Luzon"/>
    <n v="4814.66"/>
  </r>
  <r>
    <n v="202009"/>
    <x v="8"/>
    <n v="2020"/>
    <s v=" September "/>
    <x v="0"/>
    <x v="0"/>
    <s v="Luzon"/>
    <n v="4784"/>
  </r>
  <r>
    <n v="202010"/>
    <x v="9"/>
    <n v="2020"/>
    <s v=" October "/>
    <x v="0"/>
    <x v="0"/>
    <s v="Luzon"/>
    <n v="5426.91"/>
  </r>
  <r>
    <n v="202011"/>
    <x v="10"/>
    <n v="2020"/>
    <s v=" November "/>
    <x v="0"/>
    <x v="0"/>
    <s v="Luzon"/>
    <n v="7382.65"/>
  </r>
  <r>
    <n v="202012"/>
    <x v="11"/>
    <n v="2020"/>
    <s v=" December "/>
    <x v="0"/>
    <x v="0"/>
    <s v="Luzon"/>
    <n v="6153.82"/>
  </r>
  <r>
    <n v="202001"/>
    <x v="0"/>
    <n v="2020"/>
    <s v=" January "/>
    <x v="0"/>
    <x v="0"/>
    <s v="Luzon"/>
    <n v="756.13"/>
  </r>
  <r>
    <n v="202002"/>
    <x v="1"/>
    <n v="2020"/>
    <s v=" February "/>
    <x v="0"/>
    <x v="0"/>
    <s v="Luzon"/>
    <n v="511.45"/>
  </r>
  <r>
    <n v="202003"/>
    <x v="2"/>
    <n v="2020"/>
    <s v=" March "/>
    <x v="0"/>
    <x v="0"/>
    <s v="Luzon"/>
    <n v="346.93"/>
  </r>
  <r>
    <n v="202004"/>
    <x v="3"/>
    <n v="2020"/>
    <s v=" April "/>
    <x v="0"/>
    <x v="0"/>
    <s v="Luzon"/>
    <n v="71.34"/>
  </r>
  <r>
    <n v="202005"/>
    <x v="4"/>
    <n v="2020"/>
    <s v=" May "/>
    <x v="0"/>
    <x v="0"/>
    <s v="Luzon"/>
    <n v="129.44"/>
  </r>
  <r>
    <n v="202006"/>
    <x v="5"/>
    <n v="2020"/>
    <s v=" June "/>
    <x v="0"/>
    <x v="0"/>
    <s v="Luzon"/>
    <n v="896.49"/>
  </r>
  <r>
    <n v="202007"/>
    <x v="6"/>
    <n v="2020"/>
    <s v=" July "/>
    <x v="0"/>
    <x v="0"/>
    <s v="Luzon"/>
    <n v="315.39"/>
  </r>
  <r>
    <n v="202008"/>
    <x v="7"/>
    <n v="2020"/>
    <s v=" August "/>
    <x v="0"/>
    <x v="0"/>
    <s v="Luzon"/>
    <n v="330.35"/>
  </r>
  <r>
    <n v="202009"/>
    <x v="8"/>
    <n v="2020"/>
    <s v=" September "/>
    <x v="0"/>
    <x v="0"/>
    <s v="Luzon"/>
    <n v="500.4"/>
  </r>
  <r>
    <n v="202010"/>
    <x v="9"/>
    <n v="2020"/>
    <s v=" October "/>
    <x v="0"/>
    <x v="0"/>
    <s v="Luzon"/>
    <n v="391.38"/>
  </r>
  <r>
    <n v="202011"/>
    <x v="10"/>
    <n v="2020"/>
    <s v=" November "/>
    <x v="0"/>
    <x v="0"/>
    <s v="Luzon"/>
    <n v="475.16"/>
  </r>
  <r>
    <n v="202012"/>
    <x v="11"/>
    <n v="2020"/>
    <s v=" December "/>
    <x v="0"/>
    <x v="0"/>
    <s v="Luzon"/>
    <n v="493.55"/>
  </r>
  <r>
    <n v="202001"/>
    <x v="0"/>
    <n v="2020"/>
    <s v=" January "/>
    <x v="0"/>
    <x v="0"/>
    <s v="Luzon"/>
    <n v="5345.53"/>
  </r>
  <r>
    <n v="202002"/>
    <x v="1"/>
    <n v="2020"/>
    <s v=" February "/>
    <x v="0"/>
    <x v="0"/>
    <s v="Luzon"/>
    <n v="3882.06"/>
  </r>
  <r>
    <n v="202003"/>
    <x v="2"/>
    <n v="2020"/>
    <s v=" March "/>
    <x v="0"/>
    <x v="0"/>
    <s v="Luzon"/>
    <n v="3369.41"/>
  </r>
  <r>
    <n v="202004"/>
    <x v="3"/>
    <n v="2020"/>
    <s v=" April "/>
    <x v="0"/>
    <x v="0"/>
    <s v="Luzon"/>
    <n v="2308.9899999999998"/>
  </r>
  <r>
    <n v="202005"/>
    <x v="4"/>
    <n v="2020"/>
    <s v=" May "/>
    <x v="0"/>
    <x v="0"/>
    <s v="Luzon"/>
    <n v="2713.29"/>
  </r>
  <r>
    <n v="202006"/>
    <x v="5"/>
    <n v="2020"/>
    <s v=" June "/>
    <x v="0"/>
    <x v="0"/>
    <s v="Luzon"/>
    <n v="8761.3799999999992"/>
  </r>
  <r>
    <n v="202007"/>
    <x v="6"/>
    <n v="2020"/>
    <s v=" July "/>
    <x v="0"/>
    <x v="0"/>
    <s v="Luzon"/>
    <n v="4386.6899999999996"/>
  </r>
  <r>
    <n v="202008"/>
    <x v="7"/>
    <n v="2020"/>
    <s v=" August "/>
    <x v="0"/>
    <x v="0"/>
    <s v="Luzon"/>
    <n v="4341.2299999999996"/>
  </r>
  <r>
    <n v="202009"/>
    <x v="8"/>
    <n v="2020"/>
    <s v=" September "/>
    <x v="0"/>
    <x v="0"/>
    <s v="Luzon"/>
    <n v="3694.04"/>
  </r>
  <r>
    <n v="202010"/>
    <x v="9"/>
    <n v="2020"/>
    <s v=" October "/>
    <x v="0"/>
    <x v="0"/>
    <s v="Luzon"/>
    <n v="4199.8"/>
  </r>
  <r>
    <n v="202011"/>
    <x v="10"/>
    <n v="2020"/>
    <s v=" November "/>
    <x v="0"/>
    <x v="0"/>
    <s v="Luzon"/>
    <n v="5138.01"/>
  </r>
  <r>
    <n v="202012"/>
    <x v="11"/>
    <n v="2020"/>
    <s v=" December "/>
    <x v="0"/>
    <x v="0"/>
    <s v="Luzon"/>
    <n v="4755.74"/>
  </r>
  <r>
    <n v="202001"/>
    <x v="0"/>
    <n v="2020"/>
    <s v=" January "/>
    <x v="0"/>
    <x v="0"/>
    <s v="Luzon"/>
    <n v="513.15"/>
  </r>
  <r>
    <n v="202002"/>
    <x v="1"/>
    <n v="2020"/>
    <s v=" February "/>
    <x v="0"/>
    <x v="0"/>
    <s v="Luzon"/>
    <n v="370.42"/>
  </r>
  <r>
    <n v="202003"/>
    <x v="2"/>
    <n v="2020"/>
    <s v=" March "/>
    <x v="0"/>
    <x v="0"/>
    <s v="Luzon"/>
    <n v="317.27"/>
  </r>
  <r>
    <n v="202004"/>
    <x v="3"/>
    <n v="2020"/>
    <s v=" April "/>
    <x v="0"/>
    <x v="0"/>
    <s v="Luzon"/>
    <n v="55.91"/>
  </r>
  <r>
    <n v="202005"/>
    <x v="4"/>
    <n v="2020"/>
    <s v=" May "/>
    <x v="0"/>
    <x v="0"/>
    <s v="Luzon"/>
    <n v="147.85"/>
  </r>
  <r>
    <n v="202006"/>
    <x v="5"/>
    <n v="2020"/>
    <s v=" June "/>
    <x v="0"/>
    <x v="0"/>
    <s v="Luzon"/>
    <n v="705.93"/>
  </r>
  <r>
    <n v="202007"/>
    <x v="6"/>
    <n v="2020"/>
    <s v=" July "/>
    <x v="0"/>
    <x v="0"/>
    <s v="Luzon"/>
    <n v="362.4"/>
  </r>
  <r>
    <n v="202008"/>
    <x v="7"/>
    <n v="2020"/>
    <s v=" August "/>
    <x v="0"/>
    <x v="0"/>
    <s v="Luzon"/>
    <n v="353.93"/>
  </r>
  <r>
    <n v="202009"/>
    <x v="8"/>
    <n v="2020"/>
    <s v=" September "/>
    <x v="0"/>
    <x v="0"/>
    <s v="Luzon"/>
    <n v="387.98"/>
  </r>
  <r>
    <n v="202010"/>
    <x v="9"/>
    <n v="2020"/>
    <s v=" October "/>
    <x v="0"/>
    <x v="0"/>
    <s v="Luzon"/>
    <n v="460.52"/>
  </r>
  <r>
    <n v="202011"/>
    <x v="10"/>
    <n v="2020"/>
    <s v=" November "/>
    <x v="0"/>
    <x v="0"/>
    <s v="Luzon"/>
    <n v="458.8"/>
  </r>
  <r>
    <n v="202012"/>
    <x v="11"/>
    <n v="2020"/>
    <s v=" December "/>
    <x v="0"/>
    <x v="0"/>
    <s v="Luzon"/>
    <n v="427.31"/>
  </r>
  <r>
    <n v="202001"/>
    <x v="0"/>
    <n v="2020"/>
    <s v=" January "/>
    <x v="0"/>
    <x v="0"/>
    <s v="Luzon"/>
    <n v="112165.47"/>
  </r>
  <r>
    <n v="202002"/>
    <x v="1"/>
    <n v="2020"/>
    <s v=" February "/>
    <x v="0"/>
    <x v="0"/>
    <s v="Luzon"/>
    <n v="85230.03"/>
  </r>
  <r>
    <n v="202003"/>
    <x v="2"/>
    <n v="2020"/>
    <s v=" March "/>
    <x v="0"/>
    <x v="0"/>
    <s v="Luzon"/>
    <n v="81156.77"/>
  </r>
  <r>
    <n v="202004"/>
    <x v="3"/>
    <n v="2020"/>
    <s v=" April "/>
    <x v="0"/>
    <x v="0"/>
    <s v="Luzon"/>
    <n v="64283.45"/>
  </r>
  <r>
    <n v="202005"/>
    <x v="4"/>
    <n v="2020"/>
    <s v=" May "/>
    <x v="0"/>
    <x v="0"/>
    <s v="Luzon"/>
    <n v="76416.39"/>
  </r>
  <r>
    <n v="202006"/>
    <x v="5"/>
    <n v="2020"/>
    <s v=" June "/>
    <x v="0"/>
    <x v="0"/>
    <s v="Luzon"/>
    <n v="174107.7"/>
  </r>
  <r>
    <n v="202007"/>
    <x v="6"/>
    <n v="2020"/>
    <s v=" July "/>
    <x v="0"/>
    <x v="0"/>
    <s v="Luzon"/>
    <n v="100919.39"/>
  </r>
  <r>
    <n v="202008"/>
    <x v="7"/>
    <n v="2020"/>
    <s v=" August "/>
    <x v="0"/>
    <x v="0"/>
    <s v="Luzon"/>
    <n v="126498.52"/>
  </r>
  <r>
    <n v="202009"/>
    <x v="8"/>
    <n v="2020"/>
    <s v=" September "/>
    <x v="0"/>
    <x v="0"/>
    <s v="Luzon"/>
    <n v="86765.77"/>
  </r>
  <r>
    <n v="202010"/>
    <x v="9"/>
    <n v="2020"/>
    <s v=" October "/>
    <x v="0"/>
    <x v="0"/>
    <s v="Luzon"/>
    <n v="92967.94"/>
  </r>
  <r>
    <n v="202011"/>
    <x v="10"/>
    <n v="2020"/>
    <s v=" November "/>
    <x v="0"/>
    <x v="0"/>
    <s v="Luzon"/>
    <n v="123615.42"/>
  </r>
  <r>
    <n v="202012"/>
    <x v="11"/>
    <n v="2020"/>
    <s v=" December "/>
    <x v="0"/>
    <x v="0"/>
    <s v="Luzon"/>
    <n v="95534.96"/>
  </r>
  <r>
    <n v="202001"/>
    <x v="0"/>
    <n v="2020"/>
    <s v=" January "/>
    <x v="1"/>
    <x v="1"/>
    <s v="Luzon"/>
    <n v="56.06"/>
  </r>
  <r>
    <n v="202002"/>
    <x v="1"/>
    <n v="2020"/>
    <s v=" February "/>
    <x v="1"/>
    <x v="1"/>
    <s v="Luzon"/>
    <n v="36.33"/>
  </r>
  <r>
    <n v="202003"/>
    <x v="2"/>
    <n v="2020"/>
    <s v=" March "/>
    <x v="1"/>
    <x v="1"/>
    <s v="Luzon"/>
    <n v="28.19"/>
  </r>
  <r>
    <n v="202004"/>
    <x v="3"/>
    <n v="2020"/>
    <s v=" April "/>
    <x v="1"/>
    <x v="1"/>
    <s v="Luzon"/>
    <n v="23.04"/>
  </r>
  <r>
    <n v="202005"/>
    <x v="4"/>
    <n v="2020"/>
    <s v=" May "/>
    <x v="1"/>
    <x v="1"/>
    <s v="Luzon"/>
    <n v="26.13"/>
  </r>
  <r>
    <n v="202006"/>
    <x v="5"/>
    <n v="2020"/>
    <s v=" June "/>
    <x v="1"/>
    <x v="1"/>
    <s v="Luzon"/>
    <n v="37.61"/>
  </r>
  <r>
    <n v="202007"/>
    <x v="6"/>
    <n v="2020"/>
    <s v=" July "/>
    <x v="1"/>
    <x v="1"/>
    <s v="Luzon"/>
    <n v="43.6"/>
  </r>
  <r>
    <n v="202008"/>
    <x v="7"/>
    <n v="2020"/>
    <s v=" August "/>
    <x v="1"/>
    <x v="1"/>
    <s v="Luzon"/>
    <n v="39.020000000000003"/>
  </r>
  <r>
    <n v="202009"/>
    <x v="8"/>
    <n v="2020"/>
    <s v=" September "/>
    <x v="1"/>
    <x v="1"/>
    <s v="Luzon"/>
    <n v="41.81"/>
  </r>
  <r>
    <n v="202010"/>
    <x v="9"/>
    <n v="2020"/>
    <s v=" October "/>
    <x v="1"/>
    <x v="1"/>
    <s v="Luzon"/>
    <n v="42.72"/>
  </r>
  <r>
    <n v="202011"/>
    <x v="10"/>
    <n v="2020"/>
    <s v=" November "/>
    <x v="1"/>
    <x v="1"/>
    <s v="Luzon"/>
    <n v="38.770000000000003"/>
  </r>
  <r>
    <n v="202012"/>
    <x v="11"/>
    <n v="2020"/>
    <s v=" December "/>
    <x v="1"/>
    <x v="1"/>
    <s v="Luzon"/>
    <n v="36.4"/>
  </r>
  <r>
    <n v="202001"/>
    <x v="0"/>
    <n v="2020"/>
    <s v=" January "/>
    <x v="1"/>
    <x v="1"/>
    <s v="Luzon"/>
    <n v="93.17"/>
  </r>
  <r>
    <n v="202002"/>
    <x v="1"/>
    <n v="2020"/>
    <s v=" February "/>
    <x v="1"/>
    <x v="1"/>
    <s v="Luzon"/>
    <n v="43.84"/>
  </r>
  <r>
    <n v="202003"/>
    <x v="2"/>
    <n v="2020"/>
    <s v=" March "/>
    <x v="1"/>
    <x v="1"/>
    <s v="Luzon"/>
    <n v="43.67"/>
  </r>
  <r>
    <n v="202004"/>
    <x v="3"/>
    <n v="2020"/>
    <s v=" April "/>
    <x v="1"/>
    <x v="1"/>
    <s v="Luzon"/>
    <n v="32.86"/>
  </r>
  <r>
    <n v="202005"/>
    <x v="4"/>
    <n v="2020"/>
    <s v=" May "/>
    <x v="1"/>
    <x v="1"/>
    <s v="Luzon"/>
    <n v="45.17"/>
  </r>
  <r>
    <n v="202006"/>
    <x v="5"/>
    <n v="2020"/>
    <s v=" June "/>
    <x v="1"/>
    <x v="1"/>
    <s v="Luzon"/>
    <n v="55.86"/>
  </r>
  <r>
    <n v="202007"/>
    <x v="6"/>
    <n v="2020"/>
    <s v=" July "/>
    <x v="1"/>
    <x v="1"/>
    <s v="Luzon"/>
    <n v="58.33"/>
  </r>
  <r>
    <n v="202008"/>
    <x v="7"/>
    <n v="2020"/>
    <s v=" August "/>
    <x v="1"/>
    <x v="1"/>
    <s v="Luzon"/>
    <n v="44.46"/>
  </r>
  <r>
    <n v="202009"/>
    <x v="8"/>
    <n v="2020"/>
    <s v=" September "/>
    <x v="1"/>
    <x v="1"/>
    <s v="Luzon"/>
    <n v="49.92"/>
  </r>
  <r>
    <n v="202010"/>
    <x v="9"/>
    <n v="2020"/>
    <s v=" October "/>
    <x v="1"/>
    <x v="1"/>
    <s v="Luzon"/>
    <n v="66.27"/>
  </r>
  <r>
    <n v="202011"/>
    <x v="10"/>
    <n v="2020"/>
    <s v=" November "/>
    <x v="1"/>
    <x v="1"/>
    <s v="Luzon"/>
    <n v="62.83"/>
  </r>
  <r>
    <n v="202012"/>
    <x v="11"/>
    <n v="2020"/>
    <s v=" December "/>
    <x v="1"/>
    <x v="1"/>
    <s v="Luzon"/>
    <n v="62.07"/>
  </r>
  <r>
    <n v="202001"/>
    <x v="0"/>
    <n v="2020"/>
    <s v=" January "/>
    <x v="1"/>
    <x v="1"/>
    <s v="Luzon"/>
    <n v="100.96"/>
  </r>
  <r>
    <n v="202002"/>
    <x v="1"/>
    <n v="2020"/>
    <s v=" February "/>
    <x v="1"/>
    <x v="1"/>
    <s v="Luzon"/>
    <n v="65.28"/>
  </r>
  <r>
    <n v="202003"/>
    <x v="2"/>
    <n v="2020"/>
    <s v=" March "/>
    <x v="1"/>
    <x v="1"/>
    <s v="Luzon"/>
    <n v="58.42"/>
  </r>
  <r>
    <n v="202004"/>
    <x v="3"/>
    <n v="2020"/>
    <s v=" April "/>
    <x v="1"/>
    <x v="1"/>
    <s v="Luzon"/>
    <n v="43.38"/>
  </r>
  <r>
    <n v="202005"/>
    <x v="4"/>
    <n v="2020"/>
    <s v=" May "/>
    <x v="1"/>
    <x v="1"/>
    <s v="Luzon"/>
    <n v="33.74"/>
  </r>
  <r>
    <n v="202006"/>
    <x v="5"/>
    <n v="2020"/>
    <s v=" June "/>
    <x v="1"/>
    <x v="1"/>
    <s v="Luzon"/>
    <n v="88.46"/>
  </r>
  <r>
    <n v="202007"/>
    <x v="6"/>
    <n v="2020"/>
    <s v=" July "/>
    <x v="1"/>
    <x v="1"/>
    <s v="Luzon"/>
    <n v="64.11"/>
  </r>
  <r>
    <n v="202008"/>
    <x v="7"/>
    <n v="2020"/>
    <s v=" August "/>
    <x v="1"/>
    <x v="1"/>
    <s v="Luzon"/>
    <n v="57.38"/>
  </r>
  <r>
    <n v="202009"/>
    <x v="8"/>
    <n v="2020"/>
    <s v=" September "/>
    <x v="1"/>
    <x v="1"/>
    <s v="Luzon"/>
    <n v="66.44"/>
  </r>
  <r>
    <n v="202010"/>
    <x v="9"/>
    <n v="2020"/>
    <s v=" October "/>
    <x v="1"/>
    <x v="1"/>
    <s v="Luzon"/>
    <n v="74.94"/>
  </r>
  <r>
    <n v="202011"/>
    <x v="10"/>
    <n v="2020"/>
    <s v=" November "/>
    <x v="1"/>
    <x v="1"/>
    <s v="Luzon"/>
    <n v="77.55"/>
  </r>
  <r>
    <n v="202012"/>
    <x v="11"/>
    <n v="2020"/>
    <s v=" December "/>
    <x v="1"/>
    <x v="1"/>
    <s v="Luzon"/>
    <n v="87.81"/>
  </r>
  <r>
    <n v="202001"/>
    <x v="0"/>
    <n v="2020"/>
    <s v=" January "/>
    <x v="1"/>
    <x v="1"/>
    <s v="Luzon"/>
    <n v="35.28"/>
  </r>
  <r>
    <n v="202002"/>
    <x v="1"/>
    <n v="2020"/>
    <s v=" February "/>
    <x v="1"/>
    <x v="1"/>
    <s v="Luzon"/>
    <n v="18.690000000000001"/>
  </r>
  <r>
    <n v="202003"/>
    <x v="2"/>
    <n v="2020"/>
    <s v=" March "/>
    <x v="1"/>
    <x v="1"/>
    <s v="Luzon"/>
    <n v="20.16"/>
  </r>
  <r>
    <n v="202004"/>
    <x v="3"/>
    <n v="2020"/>
    <s v=" April "/>
    <x v="1"/>
    <x v="1"/>
    <s v="Luzon"/>
    <n v="9.85"/>
  </r>
  <r>
    <n v="202005"/>
    <x v="4"/>
    <n v="2020"/>
    <s v=" May "/>
    <x v="1"/>
    <x v="1"/>
    <s v="Luzon"/>
    <n v="17.88"/>
  </r>
  <r>
    <n v="202006"/>
    <x v="5"/>
    <n v="2020"/>
    <s v=" June "/>
    <x v="1"/>
    <x v="1"/>
    <s v="Luzon"/>
    <n v="27.25"/>
  </r>
  <r>
    <n v="202007"/>
    <x v="6"/>
    <n v="2020"/>
    <s v=" July "/>
    <x v="1"/>
    <x v="1"/>
    <s v="Luzon"/>
    <n v="26.84"/>
  </r>
  <r>
    <n v="202008"/>
    <x v="7"/>
    <n v="2020"/>
    <s v=" August "/>
    <x v="1"/>
    <x v="1"/>
    <s v="Luzon"/>
    <n v="33"/>
  </r>
  <r>
    <n v="202009"/>
    <x v="8"/>
    <n v="2020"/>
    <s v=" September "/>
    <x v="1"/>
    <x v="1"/>
    <s v="Luzon"/>
    <n v="28.59"/>
  </r>
  <r>
    <n v="202010"/>
    <x v="9"/>
    <n v="2020"/>
    <s v=" October "/>
    <x v="1"/>
    <x v="1"/>
    <s v="Luzon"/>
    <n v="31.34"/>
  </r>
  <r>
    <n v="202011"/>
    <x v="10"/>
    <n v="2020"/>
    <s v=" November "/>
    <x v="1"/>
    <x v="1"/>
    <s v="Luzon"/>
    <n v="34.61"/>
  </r>
  <r>
    <n v="202012"/>
    <x v="11"/>
    <n v="2020"/>
    <s v=" December "/>
    <x v="1"/>
    <x v="1"/>
    <s v="Luzon"/>
    <n v="32.97"/>
  </r>
  <r>
    <n v="202001"/>
    <x v="0"/>
    <n v="2020"/>
    <s v=" January "/>
    <x v="1"/>
    <x v="1"/>
    <s v="Luzon"/>
    <n v="39.880000000000003"/>
  </r>
  <r>
    <n v="202002"/>
    <x v="1"/>
    <n v="2020"/>
    <s v=" February "/>
    <x v="1"/>
    <x v="1"/>
    <s v="Luzon"/>
    <n v="21.12"/>
  </r>
  <r>
    <n v="202003"/>
    <x v="2"/>
    <n v="2020"/>
    <s v=" March "/>
    <x v="1"/>
    <x v="1"/>
    <s v="Luzon"/>
    <n v="19.579999999999998"/>
  </r>
  <r>
    <n v="202004"/>
    <x v="3"/>
    <n v="2020"/>
    <s v=" April "/>
    <x v="1"/>
    <x v="1"/>
    <s v="Luzon"/>
    <n v="15.29"/>
  </r>
  <r>
    <n v="202005"/>
    <x v="4"/>
    <n v="2020"/>
    <s v=" May "/>
    <x v="1"/>
    <x v="1"/>
    <s v="Luzon"/>
    <n v="16.940000000000001"/>
  </r>
  <r>
    <n v="202006"/>
    <x v="5"/>
    <n v="2020"/>
    <s v=" June "/>
    <x v="1"/>
    <x v="1"/>
    <s v="Luzon"/>
    <n v="20.93"/>
  </r>
  <r>
    <n v="202007"/>
    <x v="6"/>
    <n v="2020"/>
    <s v=" July "/>
    <x v="1"/>
    <x v="1"/>
    <s v="Luzon"/>
    <n v="27.7"/>
  </r>
  <r>
    <n v="202008"/>
    <x v="7"/>
    <n v="2020"/>
    <s v=" August "/>
    <x v="1"/>
    <x v="1"/>
    <s v="Luzon"/>
    <n v="17.899999999999999"/>
  </r>
  <r>
    <n v="202009"/>
    <x v="8"/>
    <n v="2020"/>
    <s v=" September "/>
    <x v="1"/>
    <x v="1"/>
    <s v="Luzon"/>
    <n v="27.31"/>
  </r>
  <r>
    <n v="202010"/>
    <x v="9"/>
    <n v="2020"/>
    <s v=" October "/>
    <x v="1"/>
    <x v="1"/>
    <s v="Luzon"/>
    <n v="28.09"/>
  </r>
  <r>
    <n v="202011"/>
    <x v="10"/>
    <n v="2020"/>
    <s v=" November "/>
    <x v="1"/>
    <x v="1"/>
    <s v="Luzon"/>
    <n v="25.56"/>
  </r>
  <r>
    <n v="202012"/>
    <x v="11"/>
    <n v="2020"/>
    <s v=" December "/>
    <x v="1"/>
    <x v="1"/>
    <s v="Luzon"/>
    <n v="22.4"/>
  </r>
  <r>
    <n v="202001"/>
    <x v="0"/>
    <n v="2020"/>
    <s v=" January "/>
    <x v="1"/>
    <x v="1"/>
    <s v="Luzon"/>
    <n v="374.52"/>
  </r>
  <r>
    <n v="202002"/>
    <x v="1"/>
    <n v="2020"/>
    <s v=" February "/>
    <x v="1"/>
    <x v="1"/>
    <s v="Luzon"/>
    <n v="223.85"/>
  </r>
  <r>
    <n v="202003"/>
    <x v="2"/>
    <n v="2020"/>
    <s v=" March "/>
    <x v="1"/>
    <x v="1"/>
    <s v="Luzon"/>
    <n v="179.97"/>
  </r>
  <r>
    <n v="202004"/>
    <x v="3"/>
    <n v="2020"/>
    <s v=" April "/>
    <x v="1"/>
    <x v="1"/>
    <s v="Luzon"/>
    <n v="113.8"/>
  </r>
  <r>
    <n v="202005"/>
    <x v="4"/>
    <n v="2020"/>
    <s v=" May "/>
    <x v="1"/>
    <x v="1"/>
    <s v="Luzon"/>
    <n v="122.77"/>
  </r>
  <r>
    <n v="202006"/>
    <x v="5"/>
    <n v="2020"/>
    <s v=" June "/>
    <x v="1"/>
    <x v="1"/>
    <s v="Luzon"/>
    <n v="340.15"/>
  </r>
  <r>
    <n v="202007"/>
    <x v="6"/>
    <n v="2020"/>
    <s v=" July "/>
    <x v="1"/>
    <x v="1"/>
    <s v="Luzon"/>
    <n v="216.48"/>
  </r>
  <r>
    <n v="202008"/>
    <x v="7"/>
    <n v="2020"/>
    <s v=" August "/>
    <x v="1"/>
    <x v="1"/>
    <s v="Luzon"/>
    <n v="210.98"/>
  </r>
  <r>
    <n v="202009"/>
    <x v="8"/>
    <n v="2020"/>
    <s v=" September "/>
    <x v="1"/>
    <x v="1"/>
    <s v="Luzon"/>
    <n v="196.58"/>
  </r>
  <r>
    <n v="202010"/>
    <x v="9"/>
    <n v="2020"/>
    <s v=" October "/>
    <x v="1"/>
    <x v="1"/>
    <s v="Luzon"/>
    <n v="230.5"/>
  </r>
  <r>
    <n v="202011"/>
    <x v="10"/>
    <n v="2020"/>
    <s v=" November "/>
    <x v="1"/>
    <x v="1"/>
    <s v="Luzon"/>
    <n v="216.95"/>
  </r>
  <r>
    <n v="202012"/>
    <x v="11"/>
    <n v="2020"/>
    <s v=" December "/>
    <x v="1"/>
    <x v="1"/>
    <s v="Luzon"/>
    <n v="232.29"/>
  </r>
  <r>
    <n v="202001"/>
    <x v="0"/>
    <n v="2020"/>
    <s v=" January "/>
    <x v="2"/>
    <x v="1"/>
    <s v="Luzon"/>
    <n v="257.47000000000003"/>
  </r>
  <r>
    <n v="202002"/>
    <x v="1"/>
    <n v="2020"/>
    <s v=" February "/>
    <x v="2"/>
    <x v="1"/>
    <s v="Luzon"/>
    <n v="104.42"/>
  </r>
  <r>
    <n v="202003"/>
    <x v="2"/>
    <n v="2020"/>
    <s v=" March "/>
    <x v="2"/>
    <x v="1"/>
    <s v="Luzon"/>
    <n v="107.73"/>
  </r>
  <r>
    <n v="202004"/>
    <x v="3"/>
    <n v="2020"/>
    <s v=" April "/>
    <x v="2"/>
    <x v="1"/>
    <s v="Luzon"/>
    <n v="58.47"/>
  </r>
  <r>
    <n v="202005"/>
    <x v="4"/>
    <n v="2020"/>
    <s v=" May "/>
    <x v="2"/>
    <x v="1"/>
    <s v="Luzon"/>
    <n v="81.73"/>
  </r>
  <r>
    <n v="202006"/>
    <x v="5"/>
    <n v="2020"/>
    <s v=" June "/>
    <x v="2"/>
    <x v="1"/>
    <s v="Luzon"/>
    <n v="203.08"/>
  </r>
  <r>
    <n v="202007"/>
    <x v="6"/>
    <n v="2020"/>
    <s v=" July "/>
    <x v="2"/>
    <x v="1"/>
    <s v="Luzon"/>
    <n v="135.09"/>
  </r>
  <r>
    <n v="202008"/>
    <x v="7"/>
    <n v="2020"/>
    <s v=" August "/>
    <x v="2"/>
    <x v="1"/>
    <s v="Luzon"/>
    <n v="139.36000000000001"/>
  </r>
  <r>
    <n v="202009"/>
    <x v="8"/>
    <n v="2020"/>
    <s v=" September "/>
    <x v="2"/>
    <x v="1"/>
    <s v="Luzon"/>
    <n v="136.63"/>
  </r>
  <r>
    <n v="202010"/>
    <x v="9"/>
    <n v="2020"/>
    <s v=" October "/>
    <x v="2"/>
    <x v="1"/>
    <s v="Luzon"/>
    <n v="177.34"/>
  </r>
  <r>
    <n v="202011"/>
    <x v="10"/>
    <n v="2020"/>
    <s v=" November "/>
    <x v="2"/>
    <x v="1"/>
    <s v="Luzon"/>
    <n v="170.14"/>
  </r>
  <r>
    <n v="202012"/>
    <x v="11"/>
    <n v="2020"/>
    <s v=" December "/>
    <x v="2"/>
    <x v="1"/>
    <s v="Luzon"/>
    <n v="162.27000000000001"/>
  </r>
  <r>
    <n v="202001"/>
    <x v="0"/>
    <n v="2020"/>
    <s v=" January "/>
    <x v="2"/>
    <x v="1"/>
    <s v="Luzon"/>
    <n v="242.99"/>
  </r>
  <r>
    <n v="202002"/>
    <x v="1"/>
    <n v="2020"/>
    <s v=" February "/>
    <x v="2"/>
    <x v="1"/>
    <s v="Luzon"/>
    <n v="122.86"/>
  </r>
  <r>
    <n v="202003"/>
    <x v="2"/>
    <n v="2020"/>
    <s v=" March "/>
    <x v="2"/>
    <x v="1"/>
    <s v="Luzon"/>
    <n v="120.53"/>
  </r>
  <r>
    <n v="202004"/>
    <x v="3"/>
    <n v="2020"/>
    <s v=" April "/>
    <x v="2"/>
    <x v="1"/>
    <s v="Luzon"/>
    <n v="55.86"/>
  </r>
  <r>
    <n v="202005"/>
    <x v="4"/>
    <n v="2020"/>
    <s v=" May "/>
    <x v="2"/>
    <x v="1"/>
    <s v="Luzon"/>
    <n v="134.53"/>
  </r>
  <r>
    <n v="202006"/>
    <x v="5"/>
    <n v="2020"/>
    <s v=" June "/>
    <x v="2"/>
    <x v="1"/>
    <s v="Luzon"/>
    <n v="227.01"/>
  </r>
  <r>
    <n v="202007"/>
    <x v="6"/>
    <n v="2020"/>
    <s v=" July "/>
    <x v="2"/>
    <x v="1"/>
    <s v="Luzon"/>
    <n v="149.85"/>
  </r>
  <r>
    <n v="202008"/>
    <x v="7"/>
    <n v="2020"/>
    <s v=" August "/>
    <x v="2"/>
    <x v="1"/>
    <s v="Luzon"/>
    <n v="171.22"/>
  </r>
  <r>
    <n v="202009"/>
    <x v="8"/>
    <n v="2020"/>
    <s v=" September "/>
    <x v="2"/>
    <x v="1"/>
    <s v="Luzon"/>
    <n v="135.19999999999999"/>
  </r>
  <r>
    <n v="202010"/>
    <x v="9"/>
    <n v="2020"/>
    <s v=" October "/>
    <x v="2"/>
    <x v="1"/>
    <s v="Luzon"/>
    <n v="175.7"/>
  </r>
  <r>
    <n v="202011"/>
    <x v="10"/>
    <n v="2020"/>
    <s v=" November "/>
    <x v="2"/>
    <x v="1"/>
    <s v="Luzon"/>
    <n v="168.75"/>
  </r>
  <r>
    <n v="202012"/>
    <x v="11"/>
    <n v="2020"/>
    <s v=" December "/>
    <x v="2"/>
    <x v="1"/>
    <s v="Luzon"/>
    <n v="169.81"/>
  </r>
  <r>
    <n v="202001"/>
    <x v="0"/>
    <n v="2020"/>
    <s v=" January "/>
    <x v="2"/>
    <x v="1"/>
    <s v="Luzon"/>
    <n v="320.54000000000002"/>
  </r>
  <r>
    <n v="202002"/>
    <x v="1"/>
    <n v="2020"/>
    <s v=" February "/>
    <x v="2"/>
    <x v="1"/>
    <s v="Luzon"/>
    <n v="181.61"/>
  </r>
  <r>
    <n v="202003"/>
    <x v="2"/>
    <n v="2020"/>
    <s v=" March "/>
    <x v="2"/>
    <x v="1"/>
    <s v="Luzon"/>
    <n v="161.80000000000001"/>
  </r>
  <r>
    <n v="202004"/>
    <x v="3"/>
    <n v="2020"/>
    <s v=" April "/>
    <x v="2"/>
    <x v="1"/>
    <s v="Luzon"/>
    <n v="90.67"/>
  </r>
  <r>
    <n v="202005"/>
    <x v="4"/>
    <n v="2020"/>
    <s v=" May "/>
    <x v="2"/>
    <x v="1"/>
    <s v="Luzon"/>
    <n v="168.94"/>
  </r>
  <r>
    <n v="202006"/>
    <x v="5"/>
    <n v="2020"/>
    <s v=" June "/>
    <x v="2"/>
    <x v="1"/>
    <s v="Luzon"/>
    <n v="357.36"/>
  </r>
  <r>
    <n v="202007"/>
    <x v="6"/>
    <n v="2020"/>
    <s v=" July "/>
    <x v="2"/>
    <x v="1"/>
    <s v="Luzon"/>
    <n v="210.57"/>
  </r>
  <r>
    <n v="202008"/>
    <x v="7"/>
    <n v="2020"/>
    <s v=" August "/>
    <x v="2"/>
    <x v="1"/>
    <s v="Luzon"/>
    <n v="245.74"/>
  </r>
  <r>
    <n v="202009"/>
    <x v="8"/>
    <n v="2020"/>
    <s v=" September "/>
    <x v="2"/>
    <x v="1"/>
    <s v="Luzon"/>
    <n v="203.71"/>
  </r>
  <r>
    <n v="202010"/>
    <x v="9"/>
    <n v="2020"/>
    <s v=" October "/>
    <x v="2"/>
    <x v="1"/>
    <s v="Luzon"/>
    <n v="245.2"/>
  </r>
  <r>
    <n v="202011"/>
    <x v="10"/>
    <n v="2020"/>
    <s v=" November "/>
    <x v="2"/>
    <x v="1"/>
    <s v="Luzon"/>
    <n v="243.49"/>
  </r>
  <r>
    <n v="202012"/>
    <x v="11"/>
    <n v="2020"/>
    <s v=" December "/>
    <x v="2"/>
    <x v="1"/>
    <s v="Luzon"/>
    <n v="234.61"/>
  </r>
  <r>
    <n v="202001"/>
    <x v="0"/>
    <n v="2020"/>
    <s v=" January "/>
    <x v="2"/>
    <x v="1"/>
    <s v="Luzon"/>
    <n v="696.43"/>
  </r>
  <r>
    <n v="202002"/>
    <x v="1"/>
    <n v="2020"/>
    <s v=" February "/>
    <x v="2"/>
    <x v="1"/>
    <s v="Luzon"/>
    <n v="579.4"/>
  </r>
  <r>
    <n v="202003"/>
    <x v="2"/>
    <n v="2020"/>
    <s v=" March "/>
    <x v="2"/>
    <x v="1"/>
    <s v="Luzon"/>
    <n v="487.1"/>
  </r>
  <r>
    <n v="202004"/>
    <x v="3"/>
    <n v="2020"/>
    <s v=" April "/>
    <x v="2"/>
    <x v="1"/>
    <s v="Luzon"/>
    <n v="136.65"/>
  </r>
  <r>
    <n v="202005"/>
    <x v="4"/>
    <n v="2020"/>
    <s v=" May "/>
    <x v="2"/>
    <x v="1"/>
    <s v="Luzon"/>
    <n v="280.41000000000003"/>
  </r>
  <r>
    <n v="202006"/>
    <x v="5"/>
    <n v="2020"/>
    <s v=" June "/>
    <x v="2"/>
    <x v="1"/>
    <s v="Luzon"/>
    <n v="894.1"/>
  </r>
  <r>
    <n v="202007"/>
    <x v="6"/>
    <n v="2020"/>
    <s v=" July "/>
    <x v="2"/>
    <x v="1"/>
    <s v="Luzon"/>
    <n v="602.63"/>
  </r>
  <r>
    <n v="202008"/>
    <x v="7"/>
    <n v="2020"/>
    <s v=" August "/>
    <x v="2"/>
    <x v="1"/>
    <s v="Luzon"/>
    <n v="567.44000000000005"/>
  </r>
  <r>
    <n v="202009"/>
    <x v="8"/>
    <n v="2020"/>
    <s v=" September "/>
    <x v="2"/>
    <x v="1"/>
    <s v="Luzon"/>
    <n v="511.41"/>
  </r>
  <r>
    <n v="202010"/>
    <x v="9"/>
    <n v="2020"/>
    <s v=" October "/>
    <x v="2"/>
    <x v="1"/>
    <s v="Luzon"/>
    <n v="594.54999999999995"/>
  </r>
  <r>
    <n v="202011"/>
    <x v="10"/>
    <n v="2020"/>
    <s v=" November "/>
    <x v="2"/>
    <x v="1"/>
    <s v="Luzon"/>
    <n v="602.28"/>
  </r>
  <r>
    <n v="202012"/>
    <x v="11"/>
    <n v="2020"/>
    <s v=" December "/>
    <x v="2"/>
    <x v="1"/>
    <s v="Luzon"/>
    <n v="582.24"/>
  </r>
  <r>
    <n v="202001"/>
    <x v="0"/>
    <n v="2020"/>
    <s v=" January "/>
    <x v="3"/>
    <x v="1"/>
    <s v="Luzon"/>
    <n v="369.19"/>
  </r>
  <r>
    <n v="202002"/>
    <x v="1"/>
    <n v="2020"/>
    <s v=" February "/>
    <x v="3"/>
    <x v="1"/>
    <s v="Luzon"/>
    <n v="287.93"/>
  </r>
  <r>
    <n v="202003"/>
    <x v="2"/>
    <n v="2020"/>
    <s v=" March "/>
    <x v="3"/>
    <x v="1"/>
    <s v="Luzon"/>
    <n v="270.22000000000003"/>
  </r>
  <r>
    <n v="202004"/>
    <x v="3"/>
    <n v="2020"/>
    <s v=" April "/>
    <x v="3"/>
    <x v="1"/>
    <s v="Luzon"/>
    <n v="181.52"/>
  </r>
  <r>
    <n v="202005"/>
    <x v="4"/>
    <n v="2020"/>
    <s v=" May "/>
    <x v="3"/>
    <x v="1"/>
    <s v="Luzon"/>
    <n v="235.25"/>
  </r>
  <r>
    <n v="202006"/>
    <x v="5"/>
    <n v="2020"/>
    <s v=" June "/>
    <x v="3"/>
    <x v="1"/>
    <s v="Luzon"/>
    <n v="390.03"/>
  </r>
  <r>
    <n v="202007"/>
    <x v="6"/>
    <n v="2020"/>
    <s v=" July "/>
    <x v="3"/>
    <x v="1"/>
    <s v="Luzon"/>
    <n v="311.60000000000002"/>
  </r>
  <r>
    <n v="202008"/>
    <x v="7"/>
    <n v="2020"/>
    <s v=" August "/>
    <x v="3"/>
    <x v="1"/>
    <s v="Luzon"/>
    <n v="277.85000000000002"/>
  </r>
  <r>
    <n v="202009"/>
    <x v="8"/>
    <n v="2020"/>
    <s v=" September "/>
    <x v="3"/>
    <x v="1"/>
    <s v="Luzon"/>
    <n v="250.96"/>
  </r>
  <r>
    <n v="202010"/>
    <x v="9"/>
    <n v="2020"/>
    <s v=" October "/>
    <x v="3"/>
    <x v="1"/>
    <s v="Luzon"/>
    <n v="292.54000000000002"/>
  </r>
  <r>
    <n v="202011"/>
    <x v="10"/>
    <n v="2020"/>
    <s v=" November "/>
    <x v="3"/>
    <x v="1"/>
    <s v="Luzon"/>
    <n v="270.76"/>
  </r>
  <r>
    <n v="202012"/>
    <x v="11"/>
    <n v="2020"/>
    <s v=" December "/>
    <x v="3"/>
    <x v="1"/>
    <s v="Luzon"/>
    <n v="269.32"/>
  </r>
  <r>
    <n v="202001"/>
    <x v="0"/>
    <n v="2020"/>
    <s v=" January "/>
    <x v="3"/>
    <x v="1"/>
    <s v="Luzon"/>
    <n v="441.18"/>
  </r>
  <r>
    <n v="202002"/>
    <x v="1"/>
    <n v="2020"/>
    <s v=" February "/>
    <x v="3"/>
    <x v="1"/>
    <s v="Luzon"/>
    <n v="229.55"/>
  </r>
  <r>
    <n v="202003"/>
    <x v="2"/>
    <n v="2020"/>
    <s v=" March "/>
    <x v="3"/>
    <x v="1"/>
    <s v="Luzon"/>
    <n v="221.02"/>
  </r>
  <r>
    <n v="202004"/>
    <x v="3"/>
    <n v="2020"/>
    <s v=" April "/>
    <x v="3"/>
    <x v="1"/>
    <s v="Luzon"/>
    <n v="120.82"/>
  </r>
  <r>
    <n v="202005"/>
    <x v="4"/>
    <n v="2020"/>
    <s v=" May "/>
    <x v="3"/>
    <x v="1"/>
    <s v="Luzon"/>
    <n v="236.33"/>
  </r>
  <r>
    <n v="202006"/>
    <x v="5"/>
    <n v="2020"/>
    <s v=" June "/>
    <x v="3"/>
    <x v="1"/>
    <s v="Luzon"/>
    <n v="580.1"/>
  </r>
  <r>
    <n v="202007"/>
    <x v="6"/>
    <n v="2020"/>
    <s v=" July "/>
    <x v="3"/>
    <x v="1"/>
    <s v="Luzon"/>
    <n v="321.22000000000003"/>
  </r>
  <r>
    <n v="202008"/>
    <x v="7"/>
    <n v="2020"/>
    <s v=" August "/>
    <x v="3"/>
    <x v="1"/>
    <s v="Luzon"/>
    <n v="316.82"/>
  </r>
  <r>
    <n v="202009"/>
    <x v="8"/>
    <n v="2020"/>
    <s v=" September "/>
    <x v="3"/>
    <x v="1"/>
    <s v="Luzon"/>
    <n v="258.26"/>
  </r>
  <r>
    <n v="202010"/>
    <x v="9"/>
    <n v="2020"/>
    <s v=" October "/>
    <x v="3"/>
    <x v="1"/>
    <s v="Luzon"/>
    <n v="333.5"/>
  </r>
  <r>
    <n v="202011"/>
    <x v="10"/>
    <n v="2020"/>
    <s v=" November "/>
    <x v="3"/>
    <x v="1"/>
    <s v="Luzon"/>
    <n v="298.5"/>
  </r>
  <r>
    <n v="202012"/>
    <x v="11"/>
    <n v="2020"/>
    <s v=" December "/>
    <x v="3"/>
    <x v="1"/>
    <s v="Luzon"/>
    <n v="274.44"/>
  </r>
  <r>
    <n v="202001"/>
    <x v="0"/>
    <n v="2020"/>
    <s v=" January "/>
    <x v="3"/>
    <x v="1"/>
    <s v="Luzon"/>
    <n v="130.71"/>
  </r>
  <r>
    <n v="202002"/>
    <x v="1"/>
    <n v="2020"/>
    <s v=" February "/>
    <x v="3"/>
    <x v="1"/>
    <s v="Luzon"/>
    <n v="67.97"/>
  </r>
  <r>
    <n v="202003"/>
    <x v="2"/>
    <n v="2020"/>
    <s v=" March "/>
    <x v="3"/>
    <x v="1"/>
    <s v="Luzon"/>
    <n v="66.48"/>
  </r>
  <r>
    <n v="202004"/>
    <x v="3"/>
    <n v="2020"/>
    <s v=" April "/>
    <x v="3"/>
    <x v="1"/>
    <s v="Luzon"/>
    <n v="46.9"/>
  </r>
  <r>
    <n v="202005"/>
    <x v="4"/>
    <n v="2020"/>
    <s v=" May "/>
    <x v="3"/>
    <x v="1"/>
    <s v="Luzon"/>
    <n v="58.33"/>
  </r>
  <r>
    <n v="202006"/>
    <x v="5"/>
    <n v="2020"/>
    <s v=" June "/>
    <x v="3"/>
    <x v="1"/>
    <s v="Luzon"/>
    <n v="110.75"/>
  </r>
  <r>
    <n v="202007"/>
    <x v="6"/>
    <n v="2020"/>
    <s v=" July "/>
    <x v="3"/>
    <x v="1"/>
    <s v="Luzon"/>
    <n v="93.28"/>
  </r>
  <r>
    <n v="202008"/>
    <x v="7"/>
    <n v="2020"/>
    <s v=" August "/>
    <x v="3"/>
    <x v="1"/>
    <s v="Luzon"/>
    <n v="79.099999999999994"/>
  </r>
  <r>
    <n v="202009"/>
    <x v="8"/>
    <n v="2020"/>
    <s v=" September "/>
    <x v="3"/>
    <x v="1"/>
    <s v="Luzon"/>
    <n v="65.239999999999995"/>
  </r>
  <r>
    <n v="202010"/>
    <x v="9"/>
    <n v="2020"/>
    <s v=" October "/>
    <x v="3"/>
    <x v="1"/>
    <s v="Luzon"/>
    <n v="83.93"/>
  </r>
  <r>
    <n v="202011"/>
    <x v="10"/>
    <n v="2020"/>
    <s v=" November "/>
    <x v="3"/>
    <x v="1"/>
    <s v="Luzon"/>
    <n v="92.12"/>
  </r>
  <r>
    <n v="202012"/>
    <x v="11"/>
    <n v="2020"/>
    <s v=" December "/>
    <x v="3"/>
    <x v="1"/>
    <s v="Luzon"/>
    <n v="86.13"/>
  </r>
  <r>
    <n v="202001"/>
    <x v="0"/>
    <n v="2020"/>
    <s v=" January "/>
    <x v="3"/>
    <x v="1"/>
    <s v="Luzon"/>
    <n v="37.03"/>
  </r>
  <r>
    <n v="202002"/>
    <x v="1"/>
    <n v="2020"/>
    <s v=" February "/>
    <x v="3"/>
    <x v="1"/>
    <s v="Luzon"/>
    <n v="23.13"/>
  </r>
  <r>
    <n v="202003"/>
    <x v="2"/>
    <n v="2020"/>
    <s v=" March "/>
    <x v="3"/>
    <x v="1"/>
    <s v="Luzon"/>
    <n v="22.18"/>
  </r>
  <r>
    <n v="202004"/>
    <x v="3"/>
    <n v="2020"/>
    <s v=" April "/>
    <x v="3"/>
    <x v="1"/>
    <s v="Luzon"/>
    <n v="14.32"/>
  </r>
  <r>
    <n v="202005"/>
    <x v="4"/>
    <n v="2020"/>
    <s v=" May "/>
    <x v="3"/>
    <x v="1"/>
    <s v="Luzon"/>
    <n v="7.8"/>
  </r>
  <r>
    <n v="202006"/>
    <x v="5"/>
    <n v="2020"/>
    <s v=" June "/>
    <x v="3"/>
    <x v="1"/>
    <s v="Luzon"/>
    <n v="33.92"/>
  </r>
  <r>
    <n v="202007"/>
    <x v="6"/>
    <n v="2020"/>
    <s v=" July "/>
    <x v="3"/>
    <x v="1"/>
    <s v="Luzon"/>
    <n v="26.69"/>
  </r>
  <r>
    <n v="202008"/>
    <x v="7"/>
    <n v="2020"/>
    <s v=" August "/>
    <x v="3"/>
    <x v="1"/>
    <s v="Luzon"/>
    <n v="28.24"/>
  </r>
  <r>
    <n v="202009"/>
    <x v="8"/>
    <n v="2020"/>
    <s v=" September "/>
    <x v="3"/>
    <x v="1"/>
    <s v="Luzon"/>
    <n v="24.12"/>
  </r>
  <r>
    <n v="202010"/>
    <x v="9"/>
    <n v="2020"/>
    <s v=" October "/>
    <x v="3"/>
    <x v="1"/>
    <s v="Luzon"/>
    <n v="32.93"/>
  </r>
  <r>
    <n v="202011"/>
    <x v="10"/>
    <n v="2020"/>
    <s v=" November "/>
    <x v="3"/>
    <x v="1"/>
    <s v="Luzon"/>
    <n v="33.19"/>
  </r>
  <r>
    <n v="202012"/>
    <x v="11"/>
    <n v="2020"/>
    <s v=" December "/>
    <x v="3"/>
    <x v="1"/>
    <s v="Luzon"/>
    <n v="28.57"/>
  </r>
  <r>
    <n v="202001"/>
    <x v="0"/>
    <n v="2020"/>
    <s v=" January "/>
    <x v="4"/>
    <x v="1"/>
    <s v="Luzon"/>
    <n v="37.43"/>
  </r>
  <r>
    <n v="202002"/>
    <x v="1"/>
    <n v="2020"/>
    <s v=" February "/>
    <x v="4"/>
    <x v="1"/>
    <s v="Luzon"/>
    <n v="23.38"/>
  </r>
  <r>
    <n v="202003"/>
    <x v="2"/>
    <n v="2020"/>
    <s v=" March "/>
    <x v="4"/>
    <x v="1"/>
    <s v="Luzon"/>
    <n v="23.64"/>
  </r>
  <r>
    <n v="202004"/>
    <x v="3"/>
    <n v="2020"/>
    <s v=" April "/>
    <x v="4"/>
    <x v="1"/>
    <s v="Luzon"/>
    <n v="15.08"/>
  </r>
  <r>
    <n v="202005"/>
    <x v="4"/>
    <n v="2020"/>
    <s v=" May "/>
    <x v="4"/>
    <x v="1"/>
    <s v="Luzon"/>
    <n v="25.29"/>
  </r>
  <r>
    <n v="202006"/>
    <x v="5"/>
    <n v="2020"/>
    <s v=" June "/>
    <x v="4"/>
    <x v="1"/>
    <s v="Luzon"/>
    <n v="27.54"/>
  </r>
  <r>
    <n v="202007"/>
    <x v="6"/>
    <n v="2020"/>
    <s v=" July "/>
    <x v="4"/>
    <x v="1"/>
    <s v="Luzon"/>
    <n v="27.09"/>
  </r>
  <r>
    <n v="202008"/>
    <x v="7"/>
    <n v="2020"/>
    <s v=" August "/>
    <x v="4"/>
    <x v="1"/>
    <s v="Luzon"/>
    <n v="24.26"/>
  </r>
  <r>
    <n v="202009"/>
    <x v="8"/>
    <n v="2020"/>
    <s v=" September "/>
    <x v="4"/>
    <x v="1"/>
    <s v="Luzon"/>
    <n v="25.7"/>
  </r>
  <r>
    <n v="202010"/>
    <x v="9"/>
    <n v="2020"/>
    <s v=" October "/>
    <x v="4"/>
    <x v="1"/>
    <s v="Luzon"/>
    <n v="32.479999999999997"/>
  </r>
  <r>
    <n v="202011"/>
    <x v="10"/>
    <n v="2020"/>
    <s v=" November "/>
    <x v="4"/>
    <x v="1"/>
    <s v="Luzon"/>
    <n v="35.82"/>
  </r>
  <r>
    <n v="202012"/>
    <x v="11"/>
    <n v="2020"/>
    <s v=" December "/>
    <x v="4"/>
    <x v="1"/>
    <s v="Luzon"/>
    <n v="25.05"/>
  </r>
  <r>
    <n v="202001"/>
    <x v="0"/>
    <n v="2020"/>
    <s v=" January "/>
    <x v="4"/>
    <x v="1"/>
    <s v="Luzon"/>
    <n v="332.33"/>
  </r>
  <r>
    <n v="202002"/>
    <x v="1"/>
    <n v="2020"/>
    <s v=" February "/>
    <x v="4"/>
    <x v="1"/>
    <s v="Luzon"/>
    <n v="291.2"/>
  </r>
  <r>
    <n v="202003"/>
    <x v="2"/>
    <n v="2020"/>
    <s v=" March "/>
    <x v="4"/>
    <x v="1"/>
    <s v="Luzon"/>
    <n v="230.92"/>
  </r>
  <r>
    <n v="202004"/>
    <x v="3"/>
    <n v="2020"/>
    <s v=" April "/>
    <x v="4"/>
    <x v="1"/>
    <s v="Luzon"/>
    <n v="94.93"/>
  </r>
  <r>
    <n v="202005"/>
    <x v="4"/>
    <n v="2020"/>
    <s v=" May "/>
    <x v="4"/>
    <x v="1"/>
    <s v="Luzon"/>
    <n v="123.71"/>
  </r>
  <r>
    <n v="202006"/>
    <x v="5"/>
    <n v="2020"/>
    <s v=" June "/>
    <x v="4"/>
    <x v="1"/>
    <s v="Luzon"/>
    <n v="389.6"/>
  </r>
  <r>
    <n v="202007"/>
    <x v="6"/>
    <n v="2020"/>
    <s v=" July "/>
    <x v="4"/>
    <x v="1"/>
    <s v="Luzon"/>
    <n v="293.25"/>
  </r>
  <r>
    <n v="202008"/>
    <x v="7"/>
    <n v="2020"/>
    <s v=" August "/>
    <x v="4"/>
    <x v="1"/>
    <s v="Luzon"/>
    <n v="264.94"/>
  </r>
  <r>
    <n v="202009"/>
    <x v="8"/>
    <n v="2020"/>
    <s v=" September "/>
    <x v="4"/>
    <x v="1"/>
    <s v="Luzon"/>
    <n v="231.89"/>
  </r>
  <r>
    <n v="202010"/>
    <x v="9"/>
    <n v="2020"/>
    <s v=" October "/>
    <x v="4"/>
    <x v="1"/>
    <s v="Luzon"/>
    <n v="299.43"/>
  </r>
  <r>
    <n v="202011"/>
    <x v="10"/>
    <n v="2020"/>
    <s v=" November "/>
    <x v="4"/>
    <x v="1"/>
    <s v="Luzon"/>
    <n v="310.92"/>
  </r>
  <r>
    <n v="202012"/>
    <x v="11"/>
    <n v="2020"/>
    <s v=" December "/>
    <x v="4"/>
    <x v="1"/>
    <s v="Luzon"/>
    <n v="307.57"/>
  </r>
  <r>
    <n v="202001"/>
    <x v="0"/>
    <n v="2020"/>
    <s v=" January "/>
    <x v="4"/>
    <x v="1"/>
    <s v="Luzon"/>
    <n v="1315.6"/>
  </r>
  <r>
    <n v="202002"/>
    <x v="1"/>
    <n v="2020"/>
    <s v=" February "/>
    <x v="4"/>
    <x v="1"/>
    <s v="Luzon"/>
    <n v="923.55"/>
  </r>
  <r>
    <n v="202003"/>
    <x v="2"/>
    <n v="2020"/>
    <s v=" March "/>
    <x v="4"/>
    <x v="1"/>
    <s v="Luzon"/>
    <n v="848.49"/>
  </r>
  <r>
    <n v="202004"/>
    <x v="3"/>
    <n v="2020"/>
    <s v=" April "/>
    <x v="4"/>
    <x v="1"/>
    <s v="Luzon"/>
    <n v="250.51"/>
  </r>
  <r>
    <n v="202005"/>
    <x v="4"/>
    <n v="2020"/>
    <s v=" May "/>
    <x v="4"/>
    <x v="1"/>
    <s v="Luzon"/>
    <n v="392.61"/>
  </r>
  <r>
    <n v="202006"/>
    <x v="5"/>
    <n v="2020"/>
    <s v=" June "/>
    <x v="4"/>
    <x v="1"/>
    <s v="Luzon"/>
    <n v="1546.99"/>
  </r>
  <r>
    <n v="202007"/>
    <x v="6"/>
    <n v="2020"/>
    <s v=" July "/>
    <x v="4"/>
    <x v="1"/>
    <s v="Luzon"/>
    <n v="883.34"/>
  </r>
  <r>
    <n v="202008"/>
    <x v="7"/>
    <n v="2020"/>
    <s v=" August "/>
    <x v="4"/>
    <x v="1"/>
    <s v="Luzon"/>
    <n v="885.03"/>
  </r>
  <r>
    <n v="202009"/>
    <x v="8"/>
    <n v="2020"/>
    <s v=" September "/>
    <x v="4"/>
    <x v="1"/>
    <s v="Luzon"/>
    <n v="843.15"/>
  </r>
  <r>
    <n v="202010"/>
    <x v="9"/>
    <n v="2020"/>
    <s v=" October "/>
    <x v="4"/>
    <x v="1"/>
    <s v="Luzon"/>
    <n v="1021.15"/>
  </r>
  <r>
    <n v="202011"/>
    <x v="10"/>
    <n v="2020"/>
    <s v=" November "/>
    <x v="4"/>
    <x v="1"/>
    <s v="Luzon"/>
    <n v="1018.89"/>
  </r>
  <r>
    <n v="202012"/>
    <x v="11"/>
    <n v="2020"/>
    <s v=" December "/>
    <x v="4"/>
    <x v="1"/>
    <s v="Luzon"/>
    <n v="1019.68"/>
  </r>
  <r>
    <n v="202001"/>
    <x v="0"/>
    <n v="2020"/>
    <s v=" January "/>
    <x v="4"/>
    <x v="1"/>
    <s v="Luzon"/>
    <n v="470.47"/>
  </r>
  <r>
    <n v="202002"/>
    <x v="1"/>
    <n v="2020"/>
    <s v=" February "/>
    <x v="4"/>
    <x v="1"/>
    <s v="Luzon"/>
    <n v="323.64"/>
  </r>
  <r>
    <n v="202003"/>
    <x v="2"/>
    <n v="2020"/>
    <s v=" March "/>
    <x v="4"/>
    <x v="1"/>
    <s v="Luzon"/>
    <n v="294.75"/>
  </r>
  <r>
    <n v="202004"/>
    <x v="3"/>
    <n v="2020"/>
    <s v=" April "/>
    <x v="4"/>
    <x v="1"/>
    <s v="Luzon"/>
    <n v="137.62"/>
  </r>
  <r>
    <n v="202005"/>
    <x v="4"/>
    <n v="2020"/>
    <s v=" May "/>
    <x v="4"/>
    <x v="1"/>
    <s v="Luzon"/>
    <n v="203.49"/>
  </r>
  <r>
    <n v="202006"/>
    <x v="5"/>
    <n v="2020"/>
    <s v=" June "/>
    <x v="4"/>
    <x v="1"/>
    <s v="Luzon"/>
    <n v="478.14"/>
  </r>
  <r>
    <n v="202007"/>
    <x v="6"/>
    <n v="2020"/>
    <s v=" July "/>
    <x v="4"/>
    <x v="1"/>
    <s v="Luzon"/>
    <n v="371.11"/>
  </r>
  <r>
    <n v="202008"/>
    <x v="7"/>
    <n v="2020"/>
    <s v=" August "/>
    <x v="4"/>
    <x v="1"/>
    <s v="Luzon"/>
    <n v="354.96"/>
  </r>
  <r>
    <n v="202009"/>
    <x v="8"/>
    <n v="2020"/>
    <s v=" September "/>
    <x v="4"/>
    <x v="1"/>
    <s v="Luzon"/>
    <n v="319.99"/>
  </r>
  <r>
    <n v="202010"/>
    <x v="9"/>
    <n v="2020"/>
    <s v=" October "/>
    <x v="4"/>
    <x v="1"/>
    <s v="Luzon"/>
    <n v="408.01"/>
  </r>
  <r>
    <n v="202011"/>
    <x v="10"/>
    <n v="2020"/>
    <s v=" November "/>
    <x v="4"/>
    <x v="1"/>
    <s v="Luzon"/>
    <n v="379.12"/>
  </r>
  <r>
    <n v="202012"/>
    <x v="11"/>
    <n v="2020"/>
    <s v=" December "/>
    <x v="4"/>
    <x v="1"/>
    <s v="Luzon"/>
    <n v="401.2"/>
  </r>
  <r>
    <n v="202001"/>
    <x v="0"/>
    <n v="2020"/>
    <s v=" January "/>
    <x v="4"/>
    <x v="1"/>
    <s v="Luzon"/>
    <n v="1129.77"/>
  </r>
  <r>
    <n v="202002"/>
    <x v="1"/>
    <n v="2020"/>
    <s v=" February "/>
    <x v="4"/>
    <x v="1"/>
    <s v="Luzon"/>
    <n v="837.46"/>
  </r>
  <r>
    <n v="202003"/>
    <x v="2"/>
    <n v="2020"/>
    <s v=" March "/>
    <x v="4"/>
    <x v="1"/>
    <s v="Luzon"/>
    <n v="616.59"/>
  </r>
  <r>
    <n v="202004"/>
    <x v="3"/>
    <n v="2020"/>
    <s v=" April "/>
    <x v="4"/>
    <x v="1"/>
    <s v="Luzon"/>
    <n v="344.46"/>
  </r>
  <r>
    <n v="202005"/>
    <x v="4"/>
    <n v="2020"/>
    <s v=" May "/>
    <x v="4"/>
    <x v="1"/>
    <s v="Luzon"/>
    <n v="452.18"/>
  </r>
  <r>
    <n v="202006"/>
    <x v="5"/>
    <n v="2020"/>
    <s v=" June "/>
    <x v="4"/>
    <x v="1"/>
    <s v="Luzon"/>
    <n v="1557.27"/>
  </r>
  <r>
    <n v="202007"/>
    <x v="6"/>
    <n v="2020"/>
    <s v=" July "/>
    <x v="4"/>
    <x v="1"/>
    <s v="Luzon"/>
    <n v="777.55"/>
  </r>
  <r>
    <n v="202008"/>
    <x v="7"/>
    <n v="2020"/>
    <s v=" August "/>
    <x v="4"/>
    <x v="1"/>
    <s v="Luzon"/>
    <n v="747.51"/>
  </r>
  <r>
    <n v="202009"/>
    <x v="8"/>
    <n v="2020"/>
    <s v=" September "/>
    <x v="4"/>
    <x v="1"/>
    <s v="Luzon"/>
    <n v="688.26"/>
  </r>
  <r>
    <n v="202010"/>
    <x v="9"/>
    <n v="2020"/>
    <s v=" October "/>
    <x v="4"/>
    <x v="1"/>
    <s v="Luzon"/>
    <n v="792.2"/>
  </r>
  <r>
    <n v="202011"/>
    <x v="10"/>
    <n v="2020"/>
    <s v=" November "/>
    <x v="4"/>
    <x v="1"/>
    <s v="Luzon"/>
    <n v="888.07"/>
  </r>
  <r>
    <n v="202012"/>
    <x v="11"/>
    <n v="2020"/>
    <s v=" December "/>
    <x v="4"/>
    <x v="1"/>
    <s v="Luzon"/>
    <n v="784.71"/>
  </r>
  <r>
    <n v="202001"/>
    <x v="0"/>
    <n v="2020"/>
    <s v=" January "/>
    <x v="4"/>
    <x v="1"/>
    <s v="Luzon"/>
    <n v="393.39"/>
  </r>
  <r>
    <n v="202002"/>
    <x v="1"/>
    <n v="2020"/>
    <s v=" February "/>
    <x v="4"/>
    <x v="1"/>
    <s v="Luzon"/>
    <n v="273.01"/>
  </r>
  <r>
    <n v="202003"/>
    <x v="2"/>
    <n v="2020"/>
    <s v=" March "/>
    <x v="4"/>
    <x v="1"/>
    <s v="Luzon"/>
    <n v="209.56"/>
  </r>
  <r>
    <n v="202004"/>
    <x v="3"/>
    <n v="2020"/>
    <s v=" April "/>
    <x v="4"/>
    <x v="1"/>
    <s v="Luzon"/>
    <n v="112.41"/>
  </r>
  <r>
    <n v="202005"/>
    <x v="4"/>
    <n v="2020"/>
    <s v=" May "/>
    <x v="4"/>
    <x v="1"/>
    <s v="Luzon"/>
    <n v="142.5"/>
  </r>
  <r>
    <n v="202006"/>
    <x v="5"/>
    <n v="2020"/>
    <s v=" June "/>
    <x v="4"/>
    <x v="1"/>
    <s v="Luzon"/>
    <n v="469.43"/>
  </r>
  <r>
    <n v="202007"/>
    <x v="6"/>
    <n v="2020"/>
    <s v=" July "/>
    <x v="4"/>
    <x v="1"/>
    <s v="Luzon"/>
    <n v="266.22000000000003"/>
  </r>
  <r>
    <n v="202008"/>
    <x v="7"/>
    <n v="2020"/>
    <s v=" August "/>
    <x v="4"/>
    <x v="1"/>
    <s v="Luzon"/>
    <n v="261.33"/>
  </r>
  <r>
    <n v="202009"/>
    <x v="8"/>
    <n v="2020"/>
    <s v=" September "/>
    <x v="4"/>
    <x v="1"/>
    <s v="Luzon"/>
    <n v="251.33"/>
  </r>
  <r>
    <n v="202010"/>
    <x v="9"/>
    <n v="2020"/>
    <s v=" October "/>
    <x v="4"/>
    <x v="1"/>
    <s v="Luzon"/>
    <n v="292.17"/>
  </r>
  <r>
    <n v="202011"/>
    <x v="10"/>
    <n v="2020"/>
    <s v=" November "/>
    <x v="4"/>
    <x v="1"/>
    <s v="Luzon"/>
    <n v="343.59"/>
  </r>
  <r>
    <n v="202012"/>
    <x v="11"/>
    <n v="2020"/>
    <s v=" December "/>
    <x v="4"/>
    <x v="1"/>
    <s v="Luzon"/>
    <n v="304.93"/>
  </r>
  <r>
    <n v="202001"/>
    <x v="0"/>
    <n v="2020"/>
    <s v=" January "/>
    <x v="4"/>
    <x v="1"/>
    <s v="Luzon"/>
    <n v="192.75"/>
  </r>
  <r>
    <n v="202002"/>
    <x v="1"/>
    <n v="2020"/>
    <s v=" February "/>
    <x v="4"/>
    <x v="1"/>
    <s v="Luzon"/>
    <n v="102.83"/>
  </r>
  <r>
    <n v="202003"/>
    <x v="2"/>
    <n v="2020"/>
    <s v=" March "/>
    <x v="4"/>
    <x v="1"/>
    <s v="Luzon"/>
    <n v="111.47"/>
  </r>
  <r>
    <n v="202004"/>
    <x v="3"/>
    <n v="2020"/>
    <s v=" April "/>
    <x v="4"/>
    <x v="1"/>
    <s v="Luzon"/>
    <n v="74.08"/>
  </r>
  <r>
    <n v="202005"/>
    <x v="4"/>
    <n v="2020"/>
    <s v=" May "/>
    <x v="4"/>
    <x v="1"/>
    <s v="Luzon"/>
    <n v="153.57"/>
  </r>
  <r>
    <n v="202006"/>
    <x v="5"/>
    <n v="2020"/>
    <s v=" June "/>
    <x v="4"/>
    <x v="1"/>
    <s v="Luzon"/>
    <n v="302.89999999999998"/>
  </r>
  <r>
    <n v="202007"/>
    <x v="6"/>
    <n v="2020"/>
    <s v=" July "/>
    <x v="4"/>
    <x v="1"/>
    <s v="Luzon"/>
    <n v="95.33"/>
  </r>
  <r>
    <n v="202008"/>
    <x v="7"/>
    <n v="2020"/>
    <s v=" August "/>
    <x v="4"/>
    <x v="1"/>
    <s v="Luzon"/>
    <n v="133.25"/>
  </r>
  <r>
    <n v="202009"/>
    <x v="8"/>
    <n v="2020"/>
    <s v=" September "/>
    <x v="4"/>
    <x v="1"/>
    <s v="Luzon"/>
    <n v="85.74"/>
  </r>
  <r>
    <n v="202010"/>
    <x v="9"/>
    <n v="2020"/>
    <s v=" October "/>
    <x v="4"/>
    <x v="1"/>
    <s v="Luzon"/>
    <n v="122.17"/>
  </r>
  <r>
    <n v="202011"/>
    <x v="10"/>
    <n v="2020"/>
    <s v=" November "/>
    <x v="4"/>
    <x v="1"/>
    <s v="Luzon"/>
    <n v="143.5"/>
  </r>
  <r>
    <n v="202012"/>
    <x v="11"/>
    <n v="2020"/>
    <s v=" December "/>
    <x v="4"/>
    <x v="1"/>
    <s v="Luzon"/>
    <n v="111.32"/>
  </r>
  <r>
    <n v="202001"/>
    <x v="0"/>
    <n v="2020"/>
    <s v=" January "/>
    <x v="4"/>
    <x v="1"/>
    <s v="Luzon"/>
    <n v="542.28"/>
  </r>
  <r>
    <n v="202002"/>
    <x v="1"/>
    <n v="2020"/>
    <s v=" February "/>
    <x v="4"/>
    <x v="1"/>
    <s v="Luzon"/>
    <n v="499.84"/>
  </r>
  <r>
    <n v="202003"/>
    <x v="2"/>
    <n v="2020"/>
    <s v=" March "/>
    <x v="4"/>
    <x v="1"/>
    <s v="Luzon"/>
    <n v="325.86"/>
  </r>
  <r>
    <n v="202004"/>
    <x v="3"/>
    <n v="2020"/>
    <s v=" April "/>
    <x v="4"/>
    <x v="1"/>
    <s v="Luzon"/>
    <n v="93.19"/>
  </r>
  <r>
    <n v="202005"/>
    <x v="4"/>
    <n v="2020"/>
    <s v=" May "/>
    <x v="4"/>
    <x v="1"/>
    <s v="Luzon"/>
    <n v="143.29"/>
  </r>
  <r>
    <n v="202006"/>
    <x v="5"/>
    <n v="2020"/>
    <s v=" June "/>
    <x v="4"/>
    <x v="1"/>
    <s v="Luzon"/>
    <n v="1213.7"/>
  </r>
  <r>
    <n v="202007"/>
    <x v="6"/>
    <n v="2020"/>
    <s v=" July "/>
    <x v="4"/>
    <x v="1"/>
    <s v="Luzon"/>
    <n v="429.18"/>
  </r>
  <r>
    <n v="202008"/>
    <x v="7"/>
    <n v="2020"/>
    <s v=" August "/>
    <x v="4"/>
    <x v="1"/>
    <s v="Luzon"/>
    <n v="807.49"/>
  </r>
  <r>
    <n v="202009"/>
    <x v="8"/>
    <n v="2020"/>
    <s v=" September "/>
    <x v="4"/>
    <x v="1"/>
    <s v="Luzon"/>
    <n v="342.57"/>
  </r>
  <r>
    <n v="202010"/>
    <x v="9"/>
    <n v="2020"/>
    <s v=" October "/>
    <x v="4"/>
    <x v="1"/>
    <s v="Luzon"/>
    <n v="473.09"/>
  </r>
  <r>
    <n v="202011"/>
    <x v="10"/>
    <n v="2020"/>
    <s v=" November "/>
    <x v="4"/>
    <x v="1"/>
    <s v="Luzon"/>
    <n v="865.72"/>
  </r>
  <r>
    <n v="202012"/>
    <x v="11"/>
    <n v="2020"/>
    <s v=" December "/>
    <x v="4"/>
    <x v="1"/>
    <s v="Luzon"/>
    <n v="415.53"/>
  </r>
  <r>
    <n v="202001"/>
    <x v="0"/>
    <n v="2020"/>
    <s v=" January "/>
    <x v="4"/>
    <x v="1"/>
    <s v="Luzon"/>
    <n v="177.08"/>
  </r>
  <r>
    <n v="202002"/>
    <x v="1"/>
    <n v="2020"/>
    <s v=" February "/>
    <x v="4"/>
    <x v="1"/>
    <s v="Luzon"/>
    <n v="111.09"/>
  </r>
  <r>
    <n v="202003"/>
    <x v="2"/>
    <n v="2020"/>
    <s v=" March "/>
    <x v="4"/>
    <x v="1"/>
    <s v="Luzon"/>
    <n v="100.88"/>
  </r>
  <r>
    <n v="202004"/>
    <x v="3"/>
    <n v="2020"/>
    <s v=" April "/>
    <x v="4"/>
    <x v="1"/>
    <s v="Luzon"/>
    <n v="46.36"/>
  </r>
  <r>
    <n v="202005"/>
    <x v="4"/>
    <n v="2020"/>
    <s v=" May "/>
    <x v="4"/>
    <x v="1"/>
    <s v="Luzon"/>
    <n v="86.88"/>
  </r>
  <r>
    <n v="202006"/>
    <x v="5"/>
    <n v="2020"/>
    <s v=" June "/>
    <x v="4"/>
    <x v="1"/>
    <s v="Luzon"/>
    <n v="256.77"/>
  </r>
  <r>
    <n v="202007"/>
    <x v="6"/>
    <n v="2020"/>
    <s v=" July "/>
    <x v="4"/>
    <x v="1"/>
    <s v="Luzon"/>
    <n v="124.78"/>
  </r>
  <r>
    <n v="202008"/>
    <x v="7"/>
    <n v="2020"/>
    <s v=" August "/>
    <x v="4"/>
    <x v="1"/>
    <s v="Luzon"/>
    <n v="129.97999999999999"/>
  </r>
  <r>
    <n v="202009"/>
    <x v="8"/>
    <n v="2020"/>
    <s v=" September "/>
    <x v="4"/>
    <x v="1"/>
    <s v="Luzon"/>
    <n v="108.6"/>
  </r>
  <r>
    <n v="202010"/>
    <x v="9"/>
    <n v="2020"/>
    <s v=" October "/>
    <x v="4"/>
    <x v="1"/>
    <s v="Luzon"/>
    <n v="146.03"/>
  </r>
  <r>
    <n v="202011"/>
    <x v="10"/>
    <n v="2020"/>
    <s v=" November "/>
    <x v="4"/>
    <x v="1"/>
    <s v="Luzon"/>
    <n v="140.09"/>
  </r>
  <r>
    <n v="202012"/>
    <x v="11"/>
    <n v="2020"/>
    <s v=" December "/>
    <x v="4"/>
    <x v="1"/>
    <s v="Luzon"/>
    <n v="130.54"/>
  </r>
  <r>
    <n v="202001"/>
    <x v="0"/>
    <n v="2020"/>
    <s v=" January "/>
    <x v="5"/>
    <x v="1"/>
    <s v="Luzon"/>
    <n v="1632.05"/>
  </r>
  <r>
    <n v="202002"/>
    <x v="1"/>
    <n v="2020"/>
    <s v=" February "/>
    <x v="5"/>
    <x v="1"/>
    <s v="Luzon"/>
    <n v="1018.53"/>
  </r>
  <r>
    <n v="202003"/>
    <x v="2"/>
    <n v="2020"/>
    <s v=" March "/>
    <x v="5"/>
    <x v="1"/>
    <s v="Luzon"/>
    <n v="767.8"/>
  </r>
  <r>
    <n v="202004"/>
    <x v="3"/>
    <n v="2020"/>
    <s v=" April "/>
    <x v="5"/>
    <x v="1"/>
    <s v="Luzon"/>
    <n v="427.57"/>
  </r>
  <r>
    <n v="202005"/>
    <x v="4"/>
    <n v="2020"/>
    <s v=" May "/>
    <x v="5"/>
    <x v="1"/>
    <s v="Luzon"/>
    <n v="639.98"/>
  </r>
  <r>
    <n v="202006"/>
    <x v="5"/>
    <n v="2020"/>
    <s v=" June "/>
    <x v="5"/>
    <x v="1"/>
    <s v="Luzon"/>
    <n v="1869.18"/>
  </r>
  <r>
    <n v="202007"/>
    <x v="6"/>
    <n v="2020"/>
    <s v=" July "/>
    <x v="5"/>
    <x v="1"/>
    <s v="Luzon"/>
    <n v="1031.76"/>
  </r>
  <r>
    <n v="202008"/>
    <x v="7"/>
    <n v="2020"/>
    <s v=" August "/>
    <x v="5"/>
    <x v="1"/>
    <s v="Luzon"/>
    <n v="930.3"/>
  </r>
  <r>
    <n v="202009"/>
    <x v="8"/>
    <n v="2020"/>
    <s v=" September "/>
    <x v="5"/>
    <x v="1"/>
    <s v="Luzon"/>
    <n v="891.36"/>
  </r>
  <r>
    <n v="202010"/>
    <x v="9"/>
    <n v="2020"/>
    <s v=" October "/>
    <x v="5"/>
    <x v="1"/>
    <s v="Luzon"/>
    <n v="1051.25"/>
  </r>
  <r>
    <n v="202011"/>
    <x v="10"/>
    <n v="2020"/>
    <s v=" November "/>
    <x v="5"/>
    <x v="1"/>
    <s v="Luzon"/>
    <n v="1235.9000000000001"/>
  </r>
  <r>
    <n v="202012"/>
    <x v="11"/>
    <n v="2020"/>
    <s v=" December "/>
    <x v="5"/>
    <x v="1"/>
    <s v="Luzon"/>
    <n v="1268.03"/>
  </r>
  <r>
    <n v="202001"/>
    <x v="0"/>
    <n v="2020"/>
    <s v=" January "/>
    <x v="5"/>
    <x v="1"/>
    <s v="Luzon"/>
    <n v="2211.71"/>
  </r>
  <r>
    <n v="202002"/>
    <x v="1"/>
    <n v="2020"/>
    <s v=" February "/>
    <x v="5"/>
    <x v="1"/>
    <s v="Luzon"/>
    <n v="1377.25"/>
  </r>
  <r>
    <n v="202003"/>
    <x v="2"/>
    <n v="2020"/>
    <s v=" March "/>
    <x v="5"/>
    <x v="1"/>
    <s v="Luzon"/>
    <n v="1081.5"/>
  </r>
  <r>
    <n v="202004"/>
    <x v="3"/>
    <n v="2020"/>
    <s v=" April "/>
    <x v="5"/>
    <x v="1"/>
    <s v="Luzon"/>
    <n v="341.14"/>
  </r>
  <r>
    <n v="202005"/>
    <x v="4"/>
    <n v="2020"/>
    <s v=" May "/>
    <x v="5"/>
    <x v="1"/>
    <s v="Luzon"/>
    <n v="603.88"/>
  </r>
  <r>
    <n v="202006"/>
    <x v="5"/>
    <n v="2020"/>
    <s v=" June "/>
    <x v="5"/>
    <x v="1"/>
    <s v="Luzon"/>
    <n v="2383.04"/>
  </r>
  <r>
    <n v="202007"/>
    <x v="6"/>
    <n v="2020"/>
    <s v=" July "/>
    <x v="5"/>
    <x v="1"/>
    <s v="Luzon"/>
    <n v="1460.7"/>
  </r>
  <r>
    <n v="202008"/>
    <x v="7"/>
    <n v="2020"/>
    <s v=" August "/>
    <x v="5"/>
    <x v="1"/>
    <s v="Luzon"/>
    <n v="1425.01"/>
  </r>
  <r>
    <n v="202009"/>
    <x v="8"/>
    <n v="2020"/>
    <s v=" September "/>
    <x v="5"/>
    <x v="1"/>
    <s v="Luzon"/>
    <n v="1171.3"/>
  </r>
  <r>
    <n v="202010"/>
    <x v="9"/>
    <n v="2020"/>
    <s v=" October "/>
    <x v="5"/>
    <x v="1"/>
    <s v="Luzon"/>
    <n v="1735.15"/>
  </r>
  <r>
    <n v="202011"/>
    <x v="10"/>
    <n v="2020"/>
    <s v=" November "/>
    <x v="5"/>
    <x v="1"/>
    <s v="Luzon"/>
    <n v="1705.96"/>
  </r>
  <r>
    <n v="202012"/>
    <x v="11"/>
    <n v="2020"/>
    <s v=" December "/>
    <x v="5"/>
    <x v="1"/>
    <s v="Luzon"/>
    <n v="1733.76"/>
  </r>
  <r>
    <n v="202001"/>
    <x v="0"/>
    <n v="2020"/>
    <s v=" January "/>
    <x v="5"/>
    <x v="1"/>
    <s v="Luzon"/>
    <n v="2402.5100000000002"/>
  </r>
  <r>
    <n v="202002"/>
    <x v="1"/>
    <n v="2020"/>
    <s v=" February "/>
    <x v="5"/>
    <x v="1"/>
    <s v="Luzon"/>
    <n v="1548.9"/>
  </r>
  <r>
    <n v="202003"/>
    <x v="2"/>
    <n v="2020"/>
    <s v=" March "/>
    <x v="5"/>
    <x v="1"/>
    <s v="Luzon"/>
    <n v="1403.3"/>
  </r>
  <r>
    <n v="202004"/>
    <x v="3"/>
    <n v="2020"/>
    <s v=" April "/>
    <x v="5"/>
    <x v="1"/>
    <s v="Luzon"/>
    <n v="805.88"/>
  </r>
  <r>
    <n v="202005"/>
    <x v="4"/>
    <n v="2020"/>
    <s v=" May "/>
    <x v="5"/>
    <x v="1"/>
    <s v="Luzon"/>
    <n v="1051.3499999999999"/>
  </r>
  <r>
    <n v="202006"/>
    <x v="5"/>
    <n v="2020"/>
    <s v=" June "/>
    <x v="5"/>
    <x v="1"/>
    <s v="Luzon"/>
    <n v="3583.66"/>
  </r>
  <r>
    <n v="202007"/>
    <x v="6"/>
    <n v="2020"/>
    <s v=" July "/>
    <x v="5"/>
    <x v="1"/>
    <s v="Luzon"/>
    <n v="1610.08"/>
  </r>
  <r>
    <n v="202008"/>
    <x v="7"/>
    <n v="2020"/>
    <s v=" August "/>
    <x v="5"/>
    <x v="1"/>
    <s v="Luzon"/>
    <n v="1918.82"/>
  </r>
  <r>
    <n v="202009"/>
    <x v="8"/>
    <n v="2020"/>
    <s v=" September "/>
    <x v="5"/>
    <x v="1"/>
    <s v="Luzon"/>
    <n v="1458.81"/>
  </r>
  <r>
    <n v="202010"/>
    <x v="9"/>
    <n v="2020"/>
    <s v=" October "/>
    <x v="5"/>
    <x v="1"/>
    <s v="Luzon"/>
    <n v="1816.91"/>
  </r>
  <r>
    <n v="202011"/>
    <x v="10"/>
    <n v="2020"/>
    <s v=" November "/>
    <x v="5"/>
    <x v="1"/>
    <s v="Luzon"/>
    <n v="2328.91"/>
  </r>
  <r>
    <n v="202012"/>
    <x v="11"/>
    <n v="2020"/>
    <s v=" December "/>
    <x v="5"/>
    <x v="1"/>
    <s v="Luzon"/>
    <n v="1872.59"/>
  </r>
  <r>
    <n v="202001"/>
    <x v="0"/>
    <n v="2020"/>
    <s v=" January "/>
    <x v="5"/>
    <x v="1"/>
    <s v="Luzon"/>
    <n v="73.06"/>
  </r>
  <r>
    <n v="202002"/>
    <x v="1"/>
    <n v="2020"/>
    <s v=" February "/>
    <x v="5"/>
    <x v="1"/>
    <s v="Luzon"/>
    <n v="36.64"/>
  </r>
  <r>
    <n v="202003"/>
    <x v="2"/>
    <n v="2020"/>
    <s v=" March "/>
    <x v="5"/>
    <x v="1"/>
    <s v="Luzon"/>
    <n v="34.47"/>
  </r>
  <r>
    <n v="202004"/>
    <x v="3"/>
    <n v="2020"/>
    <s v=" April "/>
    <x v="5"/>
    <x v="1"/>
    <s v="Luzon"/>
    <n v="22.43"/>
  </r>
  <r>
    <n v="202005"/>
    <x v="4"/>
    <n v="2020"/>
    <s v=" May "/>
    <x v="5"/>
    <x v="1"/>
    <s v="Luzon"/>
    <n v="30.57"/>
  </r>
  <r>
    <n v="202006"/>
    <x v="5"/>
    <n v="2020"/>
    <s v=" June "/>
    <x v="5"/>
    <x v="1"/>
    <s v="Luzon"/>
    <n v="56.48"/>
  </r>
  <r>
    <n v="202007"/>
    <x v="6"/>
    <n v="2020"/>
    <s v=" July "/>
    <x v="5"/>
    <x v="1"/>
    <s v="Luzon"/>
    <n v="46.46"/>
  </r>
  <r>
    <n v="202008"/>
    <x v="7"/>
    <n v="2020"/>
    <s v=" August "/>
    <x v="5"/>
    <x v="1"/>
    <s v="Luzon"/>
    <n v="35.64"/>
  </r>
  <r>
    <n v="202009"/>
    <x v="8"/>
    <n v="2020"/>
    <s v=" September "/>
    <x v="5"/>
    <x v="1"/>
    <s v="Luzon"/>
    <n v="37.229999999999997"/>
  </r>
  <r>
    <n v="202010"/>
    <x v="9"/>
    <n v="2020"/>
    <s v=" October "/>
    <x v="5"/>
    <x v="1"/>
    <s v="Luzon"/>
    <n v="53"/>
  </r>
  <r>
    <n v="202011"/>
    <x v="10"/>
    <n v="2020"/>
    <s v=" November "/>
    <x v="5"/>
    <x v="1"/>
    <s v="Luzon"/>
    <n v="40.96"/>
  </r>
  <r>
    <n v="202012"/>
    <x v="11"/>
    <n v="2020"/>
    <s v=" December "/>
    <x v="5"/>
    <x v="1"/>
    <s v="Luzon"/>
    <n v="45.83"/>
  </r>
  <r>
    <n v="202001"/>
    <x v="0"/>
    <n v="2020"/>
    <s v=" January "/>
    <x v="5"/>
    <x v="1"/>
    <s v="Luzon"/>
    <n v="546.53"/>
  </r>
  <r>
    <n v="202002"/>
    <x v="1"/>
    <n v="2020"/>
    <s v=" February "/>
    <x v="5"/>
    <x v="1"/>
    <s v="Luzon"/>
    <n v="381.26"/>
  </r>
  <r>
    <n v="202003"/>
    <x v="2"/>
    <n v="2020"/>
    <s v=" March "/>
    <x v="5"/>
    <x v="1"/>
    <s v="Luzon"/>
    <n v="279.66000000000003"/>
  </r>
  <r>
    <n v="202004"/>
    <x v="3"/>
    <n v="2020"/>
    <s v=" April "/>
    <x v="5"/>
    <x v="1"/>
    <s v="Luzon"/>
    <n v="218.96"/>
  </r>
  <r>
    <n v="202005"/>
    <x v="4"/>
    <n v="2020"/>
    <s v=" May "/>
    <x v="5"/>
    <x v="1"/>
    <s v="Luzon"/>
    <n v="161.19999999999999"/>
  </r>
  <r>
    <n v="202006"/>
    <x v="5"/>
    <n v="2020"/>
    <s v=" June "/>
    <x v="5"/>
    <x v="1"/>
    <s v="Luzon"/>
    <n v="585.48"/>
  </r>
  <r>
    <n v="202007"/>
    <x v="6"/>
    <n v="2020"/>
    <s v=" July "/>
    <x v="5"/>
    <x v="1"/>
    <s v="Luzon"/>
    <n v="314.2"/>
  </r>
  <r>
    <n v="202008"/>
    <x v="7"/>
    <n v="2020"/>
    <s v=" August "/>
    <x v="5"/>
    <x v="1"/>
    <s v="Luzon"/>
    <n v="317.82"/>
  </r>
  <r>
    <n v="202009"/>
    <x v="8"/>
    <n v="2020"/>
    <s v=" September "/>
    <x v="5"/>
    <x v="1"/>
    <s v="Luzon"/>
    <n v="298.7"/>
  </r>
  <r>
    <n v="202010"/>
    <x v="9"/>
    <n v="2020"/>
    <s v=" October "/>
    <x v="5"/>
    <x v="1"/>
    <s v="Luzon"/>
    <n v="381.22"/>
  </r>
  <r>
    <n v="202011"/>
    <x v="10"/>
    <n v="2020"/>
    <s v=" November "/>
    <x v="5"/>
    <x v="1"/>
    <s v="Luzon"/>
    <n v="400.47"/>
  </r>
  <r>
    <n v="202012"/>
    <x v="11"/>
    <n v="2020"/>
    <s v=" December "/>
    <x v="5"/>
    <x v="1"/>
    <s v="Luzon"/>
    <n v="421.7"/>
  </r>
  <r>
    <n v="202001"/>
    <x v="0"/>
    <n v="2020"/>
    <s v=" January "/>
    <x v="5"/>
    <x v="1"/>
    <s v="Luzon"/>
    <n v="360.29"/>
  </r>
  <r>
    <n v="202002"/>
    <x v="1"/>
    <n v="2020"/>
    <s v=" February "/>
    <x v="5"/>
    <x v="1"/>
    <s v="Luzon"/>
    <n v="233.54"/>
  </r>
  <r>
    <n v="202003"/>
    <x v="2"/>
    <n v="2020"/>
    <s v=" March "/>
    <x v="5"/>
    <x v="1"/>
    <s v="Luzon"/>
    <n v="215.64"/>
  </r>
  <r>
    <n v="202004"/>
    <x v="3"/>
    <n v="2020"/>
    <s v=" April "/>
    <x v="5"/>
    <x v="1"/>
    <s v="Luzon"/>
    <n v="94.72"/>
  </r>
  <r>
    <n v="202005"/>
    <x v="4"/>
    <n v="2020"/>
    <s v=" May "/>
    <x v="5"/>
    <x v="1"/>
    <s v="Luzon"/>
    <n v="122.58"/>
  </r>
  <r>
    <n v="202006"/>
    <x v="5"/>
    <n v="2020"/>
    <s v=" June "/>
    <x v="5"/>
    <x v="1"/>
    <s v="Luzon"/>
    <n v="359.55"/>
  </r>
  <r>
    <n v="202007"/>
    <x v="6"/>
    <n v="2020"/>
    <s v=" July "/>
    <x v="5"/>
    <x v="1"/>
    <s v="Luzon"/>
    <n v="269.3"/>
  </r>
  <r>
    <n v="202008"/>
    <x v="7"/>
    <n v="2020"/>
    <s v=" August "/>
    <x v="5"/>
    <x v="1"/>
    <s v="Luzon"/>
    <n v="239.9"/>
  </r>
  <r>
    <n v="202009"/>
    <x v="8"/>
    <n v="2020"/>
    <s v=" September "/>
    <x v="5"/>
    <x v="1"/>
    <s v="Luzon"/>
    <n v="234.12"/>
  </r>
  <r>
    <n v="202010"/>
    <x v="9"/>
    <n v="2020"/>
    <s v=" October "/>
    <x v="5"/>
    <x v="1"/>
    <s v="Luzon"/>
    <n v="251.45"/>
  </r>
  <r>
    <n v="202011"/>
    <x v="10"/>
    <n v="2020"/>
    <s v=" November "/>
    <x v="5"/>
    <x v="1"/>
    <s v="Luzon"/>
    <n v="252.74"/>
  </r>
  <r>
    <n v="202012"/>
    <x v="11"/>
    <n v="2020"/>
    <s v=" December "/>
    <x v="5"/>
    <x v="1"/>
    <s v="Luzon"/>
    <n v="239.55"/>
  </r>
  <r>
    <n v="202001"/>
    <x v="0"/>
    <n v="2020"/>
    <s v=" January "/>
    <x v="6"/>
    <x v="1"/>
    <s v="Luzon"/>
    <n v="28.33"/>
  </r>
  <r>
    <n v="202002"/>
    <x v="1"/>
    <n v="2020"/>
    <s v=" February "/>
    <x v="6"/>
    <x v="1"/>
    <s v="Luzon"/>
    <n v="13.76"/>
  </r>
  <r>
    <n v="202003"/>
    <x v="2"/>
    <n v="2020"/>
    <s v=" March "/>
    <x v="6"/>
    <x v="1"/>
    <s v="Luzon"/>
    <n v="15.36"/>
  </r>
  <r>
    <n v="202004"/>
    <x v="3"/>
    <n v="2020"/>
    <s v=" April "/>
    <x v="6"/>
    <x v="1"/>
    <s v="Luzon"/>
    <n v="10.15"/>
  </r>
  <r>
    <n v="202005"/>
    <x v="4"/>
    <n v="2020"/>
    <s v=" May "/>
    <x v="6"/>
    <x v="1"/>
    <s v="Luzon"/>
    <n v="17.09"/>
  </r>
  <r>
    <n v="202006"/>
    <x v="5"/>
    <n v="2020"/>
    <s v=" June "/>
    <x v="6"/>
    <x v="1"/>
    <s v="Luzon"/>
    <n v="19.38"/>
  </r>
  <r>
    <n v="202007"/>
    <x v="6"/>
    <n v="2020"/>
    <s v=" July "/>
    <x v="6"/>
    <x v="1"/>
    <s v="Luzon"/>
    <n v="24.74"/>
  </r>
  <r>
    <n v="202008"/>
    <x v="7"/>
    <n v="2020"/>
    <s v=" August "/>
    <x v="6"/>
    <x v="1"/>
    <s v="Luzon"/>
    <n v="19.440000000000001"/>
  </r>
  <r>
    <n v="202009"/>
    <x v="8"/>
    <n v="2020"/>
    <s v=" September "/>
    <x v="6"/>
    <x v="1"/>
    <s v="Luzon"/>
    <n v="18.84"/>
  </r>
  <r>
    <n v="202010"/>
    <x v="9"/>
    <n v="2020"/>
    <s v=" October "/>
    <x v="6"/>
    <x v="1"/>
    <s v="Luzon"/>
    <n v="20.95"/>
  </r>
  <r>
    <n v="202011"/>
    <x v="10"/>
    <n v="2020"/>
    <s v=" November "/>
    <x v="6"/>
    <x v="1"/>
    <s v="Luzon"/>
    <n v="14.87"/>
  </r>
  <r>
    <n v="202012"/>
    <x v="11"/>
    <n v="2020"/>
    <s v=" December "/>
    <x v="6"/>
    <x v="1"/>
    <s v="Luzon"/>
    <n v="15.65"/>
  </r>
  <r>
    <n v="202001"/>
    <x v="0"/>
    <n v="2020"/>
    <s v=" January "/>
    <x v="6"/>
    <x v="1"/>
    <s v="Luzon"/>
    <n v="55.01"/>
  </r>
  <r>
    <n v="202002"/>
    <x v="1"/>
    <n v="2020"/>
    <s v=" February "/>
    <x v="6"/>
    <x v="1"/>
    <s v="Luzon"/>
    <n v="47.59"/>
  </r>
  <r>
    <n v="202003"/>
    <x v="2"/>
    <n v="2020"/>
    <s v=" March "/>
    <x v="6"/>
    <x v="1"/>
    <s v="Luzon"/>
    <n v="63.23"/>
  </r>
  <r>
    <n v="202004"/>
    <x v="3"/>
    <n v="2020"/>
    <s v=" April "/>
    <x v="6"/>
    <x v="1"/>
    <s v="Luzon"/>
    <n v="30.61"/>
  </r>
  <r>
    <n v="202005"/>
    <x v="4"/>
    <n v="2020"/>
    <s v=" May "/>
    <x v="6"/>
    <x v="1"/>
    <s v="Luzon"/>
    <n v="35.92"/>
  </r>
  <r>
    <n v="202006"/>
    <x v="5"/>
    <n v="2020"/>
    <s v=" June "/>
    <x v="6"/>
    <x v="1"/>
    <s v="Luzon"/>
    <n v="68.290000000000006"/>
  </r>
  <r>
    <n v="202007"/>
    <x v="6"/>
    <n v="2020"/>
    <s v=" July "/>
    <x v="6"/>
    <x v="1"/>
    <s v="Luzon"/>
    <n v="53"/>
  </r>
  <r>
    <n v="202008"/>
    <x v="7"/>
    <n v="2020"/>
    <s v=" August "/>
    <x v="6"/>
    <x v="1"/>
    <s v="Luzon"/>
    <n v="46.48"/>
  </r>
  <r>
    <n v="202009"/>
    <x v="8"/>
    <n v="2020"/>
    <s v=" September "/>
    <x v="6"/>
    <x v="1"/>
    <s v="Luzon"/>
    <n v="48.52"/>
  </r>
  <r>
    <n v="202010"/>
    <x v="9"/>
    <n v="2020"/>
    <s v=" October "/>
    <x v="6"/>
    <x v="1"/>
    <s v="Luzon"/>
    <n v="55.1"/>
  </r>
  <r>
    <n v="202011"/>
    <x v="10"/>
    <n v="2020"/>
    <s v=" November "/>
    <x v="6"/>
    <x v="1"/>
    <s v="Luzon"/>
    <n v="62.06"/>
  </r>
  <r>
    <n v="202012"/>
    <x v="11"/>
    <n v="2020"/>
    <s v=" December "/>
    <x v="6"/>
    <x v="1"/>
    <s v="Luzon"/>
    <n v="52.06"/>
  </r>
  <r>
    <n v="202001"/>
    <x v="0"/>
    <n v="2020"/>
    <s v=" January "/>
    <x v="6"/>
    <x v="1"/>
    <s v="Luzon"/>
    <n v="193.11"/>
  </r>
  <r>
    <n v="202002"/>
    <x v="1"/>
    <n v="2020"/>
    <s v=" February "/>
    <x v="6"/>
    <x v="1"/>
    <s v="Luzon"/>
    <n v="111.71"/>
  </r>
  <r>
    <n v="202003"/>
    <x v="2"/>
    <n v="2020"/>
    <s v=" March "/>
    <x v="6"/>
    <x v="1"/>
    <s v="Luzon"/>
    <n v="107.46"/>
  </r>
  <r>
    <n v="202004"/>
    <x v="3"/>
    <n v="2020"/>
    <s v=" April "/>
    <x v="6"/>
    <x v="1"/>
    <s v="Luzon"/>
    <n v="51.35"/>
  </r>
  <r>
    <n v="202005"/>
    <x v="4"/>
    <n v="2020"/>
    <s v=" May "/>
    <x v="6"/>
    <x v="1"/>
    <s v="Luzon"/>
    <n v="85.77"/>
  </r>
  <r>
    <n v="202006"/>
    <x v="5"/>
    <n v="2020"/>
    <s v=" June "/>
    <x v="6"/>
    <x v="1"/>
    <s v="Luzon"/>
    <n v="198.77"/>
  </r>
  <r>
    <n v="202007"/>
    <x v="6"/>
    <n v="2020"/>
    <s v=" July "/>
    <x v="6"/>
    <x v="1"/>
    <s v="Luzon"/>
    <n v="130.38"/>
  </r>
  <r>
    <n v="202008"/>
    <x v="7"/>
    <n v="2020"/>
    <s v=" August "/>
    <x v="6"/>
    <x v="1"/>
    <s v="Luzon"/>
    <n v="132.85"/>
  </r>
  <r>
    <n v="202009"/>
    <x v="8"/>
    <n v="2020"/>
    <s v=" September "/>
    <x v="6"/>
    <x v="1"/>
    <s v="Luzon"/>
    <n v="115"/>
  </r>
  <r>
    <n v="202010"/>
    <x v="9"/>
    <n v="2020"/>
    <s v=" October "/>
    <x v="6"/>
    <x v="1"/>
    <s v="Luzon"/>
    <n v="139.99"/>
  </r>
  <r>
    <n v="202011"/>
    <x v="10"/>
    <n v="2020"/>
    <s v=" November "/>
    <x v="6"/>
    <x v="1"/>
    <s v="Luzon"/>
    <n v="150.68"/>
  </r>
  <r>
    <n v="202012"/>
    <x v="11"/>
    <n v="2020"/>
    <s v=" December "/>
    <x v="6"/>
    <x v="1"/>
    <s v="Luzon"/>
    <n v="130.71"/>
  </r>
  <r>
    <n v="202001"/>
    <x v="0"/>
    <n v="2020"/>
    <s v=" January "/>
    <x v="6"/>
    <x v="1"/>
    <s v="Luzon"/>
    <n v="369.09"/>
  </r>
  <r>
    <n v="202002"/>
    <x v="1"/>
    <n v="2020"/>
    <s v=" February "/>
    <x v="6"/>
    <x v="1"/>
    <s v="Luzon"/>
    <n v="288.69"/>
  </r>
  <r>
    <n v="202003"/>
    <x v="2"/>
    <n v="2020"/>
    <s v=" March "/>
    <x v="6"/>
    <x v="1"/>
    <s v="Luzon"/>
    <n v="194.39"/>
  </r>
  <r>
    <n v="202004"/>
    <x v="3"/>
    <n v="2020"/>
    <s v=" April "/>
    <x v="6"/>
    <x v="1"/>
    <s v="Luzon"/>
    <n v="124.04"/>
  </r>
  <r>
    <n v="202005"/>
    <x v="4"/>
    <n v="2020"/>
    <s v=" May "/>
    <x v="6"/>
    <x v="1"/>
    <s v="Luzon"/>
    <n v="189.5"/>
  </r>
  <r>
    <n v="202006"/>
    <x v="5"/>
    <n v="2020"/>
    <s v=" June "/>
    <x v="6"/>
    <x v="1"/>
    <s v="Luzon"/>
    <n v="429.69"/>
  </r>
  <r>
    <n v="202007"/>
    <x v="6"/>
    <n v="2020"/>
    <s v=" July "/>
    <x v="6"/>
    <x v="1"/>
    <s v="Luzon"/>
    <n v="228.92"/>
  </r>
  <r>
    <n v="202008"/>
    <x v="7"/>
    <n v="2020"/>
    <s v=" August "/>
    <x v="6"/>
    <x v="1"/>
    <s v="Luzon"/>
    <n v="228.11"/>
  </r>
  <r>
    <n v="202009"/>
    <x v="8"/>
    <n v="2020"/>
    <s v=" September "/>
    <x v="6"/>
    <x v="1"/>
    <s v="Luzon"/>
    <n v="201.59"/>
  </r>
  <r>
    <n v="202010"/>
    <x v="9"/>
    <n v="2020"/>
    <s v=" October "/>
    <x v="6"/>
    <x v="1"/>
    <s v="Luzon"/>
    <n v="263.64999999999998"/>
  </r>
  <r>
    <n v="202011"/>
    <x v="10"/>
    <n v="2020"/>
    <s v=" November "/>
    <x v="6"/>
    <x v="1"/>
    <s v="Luzon"/>
    <n v="304.39999999999998"/>
  </r>
  <r>
    <n v="202012"/>
    <x v="11"/>
    <n v="2020"/>
    <s v=" December "/>
    <x v="6"/>
    <x v="1"/>
    <s v="Luzon"/>
    <n v="269.26"/>
  </r>
  <r>
    <n v="202001"/>
    <x v="0"/>
    <n v="2020"/>
    <s v=" January "/>
    <x v="6"/>
    <x v="1"/>
    <s v="Luzon"/>
    <n v="42.78"/>
  </r>
  <r>
    <n v="202002"/>
    <x v="1"/>
    <n v="2020"/>
    <s v=" February "/>
    <x v="6"/>
    <x v="1"/>
    <s v="Luzon"/>
    <n v="21.89"/>
  </r>
  <r>
    <n v="202003"/>
    <x v="2"/>
    <n v="2020"/>
    <s v=" March "/>
    <x v="6"/>
    <x v="1"/>
    <s v="Luzon"/>
    <n v="25.76"/>
  </r>
  <r>
    <n v="202004"/>
    <x v="3"/>
    <n v="2020"/>
    <s v=" April "/>
    <x v="6"/>
    <x v="1"/>
    <s v="Luzon"/>
    <n v="15.52"/>
  </r>
  <r>
    <n v="202005"/>
    <x v="4"/>
    <n v="2020"/>
    <s v=" May "/>
    <x v="6"/>
    <x v="1"/>
    <s v="Luzon"/>
    <n v="24.72"/>
  </r>
  <r>
    <n v="202006"/>
    <x v="5"/>
    <n v="2020"/>
    <s v=" June "/>
    <x v="6"/>
    <x v="1"/>
    <s v="Luzon"/>
    <n v="38.93"/>
  </r>
  <r>
    <n v="202007"/>
    <x v="6"/>
    <n v="2020"/>
    <s v=" July "/>
    <x v="6"/>
    <x v="1"/>
    <s v="Luzon"/>
    <n v="29.27"/>
  </r>
  <r>
    <n v="202008"/>
    <x v="7"/>
    <n v="2020"/>
    <s v=" August "/>
    <x v="6"/>
    <x v="1"/>
    <s v="Luzon"/>
    <n v="29.02"/>
  </r>
  <r>
    <n v="202009"/>
    <x v="8"/>
    <n v="2020"/>
    <s v=" September "/>
    <x v="6"/>
    <x v="1"/>
    <s v="Luzon"/>
    <n v="27.57"/>
  </r>
  <r>
    <n v="202010"/>
    <x v="9"/>
    <n v="2020"/>
    <s v=" October "/>
    <x v="6"/>
    <x v="1"/>
    <s v="Luzon"/>
    <n v="34.590000000000003"/>
  </r>
  <r>
    <n v="202011"/>
    <x v="10"/>
    <n v="2020"/>
    <s v=" November "/>
    <x v="6"/>
    <x v="1"/>
    <s v="Luzon"/>
    <n v="28.39"/>
  </r>
  <r>
    <n v="202012"/>
    <x v="11"/>
    <n v="2020"/>
    <s v=" December "/>
    <x v="6"/>
    <x v="1"/>
    <s v="Luzon"/>
    <n v="28.1"/>
  </r>
  <r>
    <n v="202001"/>
    <x v="0"/>
    <n v="2020"/>
    <s v=" January "/>
    <x v="7"/>
    <x v="1"/>
    <s v="Luzon"/>
    <n v="401.27"/>
  </r>
  <r>
    <n v="202002"/>
    <x v="1"/>
    <n v="2020"/>
    <s v=" February "/>
    <x v="7"/>
    <x v="1"/>
    <s v="Luzon"/>
    <n v="217.23"/>
  </r>
  <r>
    <n v="202003"/>
    <x v="2"/>
    <n v="2020"/>
    <s v=" March "/>
    <x v="7"/>
    <x v="1"/>
    <s v="Luzon"/>
    <n v="184.7"/>
  </r>
  <r>
    <n v="202004"/>
    <x v="3"/>
    <n v="2020"/>
    <s v=" April "/>
    <x v="7"/>
    <x v="1"/>
    <s v="Luzon"/>
    <n v="102.48"/>
  </r>
  <r>
    <n v="202005"/>
    <x v="4"/>
    <n v="2020"/>
    <s v=" May "/>
    <x v="7"/>
    <x v="1"/>
    <s v="Luzon"/>
    <n v="175.06"/>
  </r>
  <r>
    <n v="202006"/>
    <x v="5"/>
    <n v="2020"/>
    <s v=" June "/>
    <x v="7"/>
    <x v="1"/>
    <s v="Luzon"/>
    <n v="405.98"/>
  </r>
  <r>
    <n v="202007"/>
    <x v="6"/>
    <n v="2020"/>
    <s v=" July "/>
    <x v="7"/>
    <x v="1"/>
    <s v="Luzon"/>
    <n v="256.37"/>
  </r>
  <r>
    <n v="202008"/>
    <x v="7"/>
    <n v="2020"/>
    <s v=" August "/>
    <x v="7"/>
    <x v="1"/>
    <s v="Luzon"/>
    <n v="245.37"/>
  </r>
  <r>
    <n v="202009"/>
    <x v="8"/>
    <n v="2020"/>
    <s v=" September "/>
    <x v="7"/>
    <x v="1"/>
    <s v="Luzon"/>
    <n v="206.6"/>
  </r>
  <r>
    <n v="202010"/>
    <x v="9"/>
    <n v="2020"/>
    <s v=" October "/>
    <x v="7"/>
    <x v="1"/>
    <s v="Luzon"/>
    <n v="281.39999999999998"/>
  </r>
  <r>
    <n v="202011"/>
    <x v="10"/>
    <n v="2020"/>
    <s v=" November "/>
    <x v="7"/>
    <x v="1"/>
    <s v="Luzon"/>
    <n v="233.65"/>
  </r>
  <r>
    <n v="202012"/>
    <x v="11"/>
    <n v="2020"/>
    <s v=" December "/>
    <x v="7"/>
    <x v="1"/>
    <s v="Luzon"/>
    <n v="256.58"/>
  </r>
  <r>
    <n v="202001"/>
    <x v="0"/>
    <n v="2020"/>
    <s v=" January "/>
    <x v="7"/>
    <x v="1"/>
    <s v="Luzon"/>
    <n v="82.55"/>
  </r>
  <r>
    <n v="202002"/>
    <x v="1"/>
    <n v="2020"/>
    <s v=" February "/>
    <x v="7"/>
    <x v="1"/>
    <s v="Luzon"/>
    <n v="57.11"/>
  </r>
  <r>
    <n v="202003"/>
    <x v="2"/>
    <n v="2020"/>
    <s v=" March "/>
    <x v="7"/>
    <x v="1"/>
    <s v="Luzon"/>
    <n v="56"/>
  </r>
  <r>
    <n v="202004"/>
    <x v="3"/>
    <n v="2020"/>
    <s v=" April "/>
    <x v="7"/>
    <x v="1"/>
    <s v="Luzon"/>
    <n v="38.83"/>
  </r>
  <r>
    <n v="202005"/>
    <x v="4"/>
    <n v="2020"/>
    <s v=" May "/>
    <x v="7"/>
    <x v="1"/>
    <s v="Luzon"/>
    <n v="47.6"/>
  </r>
  <r>
    <n v="202006"/>
    <x v="5"/>
    <n v="2020"/>
    <s v=" June "/>
    <x v="7"/>
    <x v="1"/>
    <s v="Luzon"/>
    <n v="99.84"/>
  </r>
  <r>
    <n v="202007"/>
    <x v="6"/>
    <n v="2020"/>
    <s v=" July "/>
    <x v="7"/>
    <x v="1"/>
    <s v="Luzon"/>
    <n v="76.459999999999994"/>
  </r>
  <r>
    <n v="202008"/>
    <x v="7"/>
    <n v="2020"/>
    <s v=" August "/>
    <x v="7"/>
    <x v="1"/>
    <s v="Luzon"/>
    <n v="74.56"/>
  </r>
  <r>
    <n v="202009"/>
    <x v="8"/>
    <n v="2020"/>
    <s v=" September "/>
    <x v="7"/>
    <x v="1"/>
    <s v="Luzon"/>
    <n v="60.5"/>
  </r>
  <r>
    <n v="202010"/>
    <x v="9"/>
    <n v="2020"/>
    <s v=" October "/>
    <x v="7"/>
    <x v="1"/>
    <s v="Luzon"/>
    <n v="68.41"/>
  </r>
  <r>
    <n v="202011"/>
    <x v="10"/>
    <n v="2020"/>
    <s v=" November "/>
    <x v="7"/>
    <x v="1"/>
    <s v="Luzon"/>
    <n v="72.97"/>
  </r>
  <r>
    <n v="202012"/>
    <x v="11"/>
    <n v="2020"/>
    <s v=" December "/>
    <x v="7"/>
    <x v="1"/>
    <s v="Luzon"/>
    <n v="81.150000000000006"/>
  </r>
  <r>
    <n v="202001"/>
    <x v="0"/>
    <n v="2020"/>
    <s v=" January "/>
    <x v="7"/>
    <x v="1"/>
    <s v="Luzon"/>
    <n v="369.11"/>
  </r>
  <r>
    <n v="202002"/>
    <x v="1"/>
    <n v="2020"/>
    <s v=" February "/>
    <x v="7"/>
    <x v="1"/>
    <s v="Luzon"/>
    <n v="224.76"/>
  </r>
  <r>
    <n v="202003"/>
    <x v="2"/>
    <n v="2020"/>
    <s v=" March "/>
    <x v="7"/>
    <x v="1"/>
    <s v="Luzon"/>
    <n v="279.98"/>
  </r>
  <r>
    <n v="202004"/>
    <x v="3"/>
    <n v="2020"/>
    <s v=" April "/>
    <x v="7"/>
    <x v="1"/>
    <s v="Luzon"/>
    <n v="98.69"/>
  </r>
  <r>
    <n v="202005"/>
    <x v="4"/>
    <n v="2020"/>
    <s v=" May "/>
    <x v="7"/>
    <x v="1"/>
    <s v="Luzon"/>
    <n v="143.74"/>
  </r>
  <r>
    <n v="202006"/>
    <x v="5"/>
    <n v="2020"/>
    <s v=" June "/>
    <x v="7"/>
    <x v="1"/>
    <s v="Luzon"/>
    <n v="414.63"/>
  </r>
  <r>
    <n v="202007"/>
    <x v="6"/>
    <n v="2020"/>
    <s v=" July "/>
    <x v="7"/>
    <x v="1"/>
    <s v="Luzon"/>
    <n v="300.58"/>
  </r>
  <r>
    <n v="202008"/>
    <x v="7"/>
    <n v="2020"/>
    <s v=" August "/>
    <x v="7"/>
    <x v="1"/>
    <s v="Luzon"/>
    <n v="295.02999999999997"/>
  </r>
  <r>
    <n v="202009"/>
    <x v="8"/>
    <n v="2020"/>
    <s v=" September "/>
    <x v="7"/>
    <x v="1"/>
    <s v="Luzon"/>
    <n v="222.04"/>
  </r>
  <r>
    <n v="202010"/>
    <x v="9"/>
    <n v="2020"/>
    <s v=" October "/>
    <x v="7"/>
    <x v="1"/>
    <s v="Luzon"/>
    <n v="271.06"/>
  </r>
  <r>
    <n v="202011"/>
    <x v="10"/>
    <n v="2020"/>
    <s v=" November "/>
    <x v="7"/>
    <x v="1"/>
    <s v="Luzon"/>
    <n v="281.81"/>
  </r>
  <r>
    <n v="202012"/>
    <x v="11"/>
    <n v="2020"/>
    <s v=" December "/>
    <x v="7"/>
    <x v="1"/>
    <s v="Luzon"/>
    <n v="264.87"/>
  </r>
  <r>
    <n v="202001"/>
    <x v="0"/>
    <n v="2020"/>
    <s v=" January "/>
    <x v="7"/>
    <x v="1"/>
    <s v="Luzon"/>
    <n v="64.599999999999994"/>
  </r>
  <r>
    <n v="202002"/>
    <x v="1"/>
    <n v="2020"/>
    <s v=" February "/>
    <x v="7"/>
    <x v="1"/>
    <s v="Luzon"/>
    <n v="32.76"/>
  </r>
  <r>
    <n v="202003"/>
    <x v="2"/>
    <n v="2020"/>
    <s v=" March "/>
    <x v="7"/>
    <x v="1"/>
    <s v="Luzon"/>
    <n v="31.82"/>
  </r>
  <r>
    <n v="202004"/>
    <x v="3"/>
    <n v="2020"/>
    <s v=" April "/>
    <x v="7"/>
    <x v="1"/>
    <s v="Luzon"/>
    <n v="28.6"/>
  </r>
  <r>
    <n v="202005"/>
    <x v="4"/>
    <n v="2020"/>
    <s v=" May "/>
    <x v="7"/>
    <x v="1"/>
    <s v="Luzon"/>
    <n v="34.33"/>
  </r>
  <r>
    <n v="202006"/>
    <x v="5"/>
    <n v="2020"/>
    <s v=" June "/>
    <x v="7"/>
    <x v="1"/>
    <s v="Luzon"/>
    <n v="64.349999999999994"/>
  </r>
  <r>
    <n v="202007"/>
    <x v="6"/>
    <n v="2020"/>
    <s v=" July "/>
    <x v="7"/>
    <x v="1"/>
    <s v="Luzon"/>
    <n v="46.4"/>
  </r>
  <r>
    <n v="202008"/>
    <x v="7"/>
    <n v="2020"/>
    <s v=" August "/>
    <x v="7"/>
    <x v="1"/>
    <s v="Luzon"/>
    <n v="40.549999999999997"/>
  </r>
  <r>
    <n v="202009"/>
    <x v="8"/>
    <n v="2020"/>
    <s v=" September "/>
    <x v="7"/>
    <x v="1"/>
    <s v="Luzon"/>
    <n v="41.38"/>
  </r>
  <r>
    <n v="202010"/>
    <x v="9"/>
    <n v="2020"/>
    <s v=" October "/>
    <x v="7"/>
    <x v="1"/>
    <s v="Luzon"/>
    <n v="50.11"/>
  </r>
  <r>
    <n v="202011"/>
    <x v="10"/>
    <n v="2020"/>
    <s v=" November "/>
    <x v="7"/>
    <x v="1"/>
    <s v="Luzon"/>
    <n v="33.11"/>
  </r>
  <r>
    <n v="202012"/>
    <x v="11"/>
    <n v="2020"/>
    <s v=" December "/>
    <x v="7"/>
    <x v="1"/>
    <s v="Luzon"/>
    <n v="38.07"/>
  </r>
  <r>
    <n v="202001"/>
    <x v="0"/>
    <n v="2020"/>
    <s v=" January "/>
    <x v="7"/>
    <x v="1"/>
    <s v="Luzon"/>
    <n v="66.8"/>
  </r>
  <r>
    <n v="202002"/>
    <x v="1"/>
    <n v="2020"/>
    <s v=" February "/>
    <x v="7"/>
    <x v="1"/>
    <s v="Luzon"/>
    <n v="41.53"/>
  </r>
  <r>
    <n v="202003"/>
    <x v="2"/>
    <n v="2020"/>
    <s v=" March "/>
    <x v="7"/>
    <x v="1"/>
    <s v="Luzon"/>
    <n v="44.79"/>
  </r>
  <r>
    <n v="202004"/>
    <x v="3"/>
    <n v="2020"/>
    <s v=" April "/>
    <x v="7"/>
    <x v="1"/>
    <s v="Luzon"/>
    <n v="29.23"/>
  </r>
  <r>
    <n v="202005"/>
    <x v="4"/>
    <n v="2020"/>
    <s v=" May "/>
    <x v="7"/>
    <x v="1"/>
    <s v="Luzon"/>
    <n v="45.46"/>
  </r>
  <r>
    <n v="202006"/>
    <x v="5"/>
    <n v="2020"/>
    <s v=" June "/>
    <x v="7"/>
    <x v="1"/>
    <s v="Luzon"/>
    <n v="71.7"/>
  </r>
  <r>
    <n v="202007"/>
    <x v="6"/>
    <n v="2020"/>
    <s v=" July "/>
    <x v="7"/>
    <x v="1"/>
    <s v="Luzon"/>
    <n v="54.94"/>
  </r>
  <r>
    <n v="202008"/>
    <x v="7"/>
    <n v="2020"/>
    <s v=" August "/>
    <x v="7"/>
    <x v="1"/>
    <s v="Luzon"/>
    <n v="57.84"/>
  </r>
  <r>
    <n v="202009"/>
    <x v="8"/>
    <n v="2020"/>
    <s v=" September "/>
    <x v="7"/>
    <x v="1"/>
    <s v="Luzon"/>
    <n v="63.79"/>
  </r>
  <r>
    <n v="202010"/>
    <x v="9"/>
    <n v="2020"/>
    <s v=" October "/>
    <x v="7"/>
    <x v="1"/>
    <s v="Luzon"/>
    <n v="61.85"/>
  </r>
  <r>
    <n v="202011"/>
    <x v="10"/>
    <n v="2020"/>
    <s v=" November "/>
    <x v="7"/>
    <x v="1"/>
    <s v="Luzon"/>
    <n v="58.05"/>
  </r>
  <r>
    <n v="202012"/>
    <x v="11"/>
    <n v="2020"/>
    <s v=" December "/>
    <x v="7"/>
    <x v="1"/>
    <s v="Luzon"/>
    <n v="63.52"/>
  </r>
  <r>
    <n v="202001"/>
    <x v="0"/>
    <n v="2020"/>
    <s v=" January "/>
    <x v="7"/>
    <x v="1"/>
    <s v="Luzon"/>
    <n v="107.83"/>
  </r>
  <r>
    <n v="202002"/>
    <x v="1"/>
    <n v="2020"/>
    <s v=" February "/>
    <x v="7"/>
    <x v="1"/>
    <s v="Luzon"/>
    <n v="52"/>
  </r>
  <r>
    <n v="202003"/>
    <x v="2"/>
    <n v="2020"/>
    <s v=" March "/>
    <x v="7"/>
    <x v="1"/>
    <s v="Luzon"/>
    <n v="52.04"/>
  </r>
  <r>
    <n v="202004"/>
    <x v="3"/>
    <n v="2020"/>
    <s v=" April "/>
    <x v="7"/>
    <x v="1"/>
    <s v="Luzon"/>
    <n v="40.28"/>
  </r>
  <r>
    <n v="202005"/>
    <x v="4"/>
    <n v="2020"/>
    <s v=" May "/>
    <x v="7"/>
    <x v="1"/>
    <s v="Luzon"/>
    <n v="54.12"/>
  </r>
  <r>
    <n v="202006"/>
    <x v="5"/>
    <n v="2020"/>
    <s v=" June "/>
    <x v="7"/>
    <x v="1"/>
    <s v="Luzon"/>
    <n v="79.819999999999993"/>
  </r>
  <r>
    <n v="202007"/>
    <x v="6"/>
    <n v="2020"/>
    <s v=" July "/>
    <x v="7"/>
    <x v="1"/>
    <s v="Luzon"/>
    <n v="82.92"/>
  </r>
  <r>
    <n v="202008"/>
    <x v="7"/>
    <n v="2020"/>
    <s v=" August "/>
    <x v="7"/>
    <x v="1"/>
    <s v="Luzon"/>
    <n v="68.31"/>
  </r>
  <r>
    <n v="202009"/>
    <x v="8"/>
    <n v="2020"/>
    <s v=" September "/>
    <x v="7"/>
    <x v="1"/>
    <s v="Luzon"/>
    <n v="65.209999999999994"/>
  </r>
  <r>
    <n v="202010"/>
    <x v="9"/>
    <n v="2020"/>
    <s v=" October "/>
    <x v="7"/>
    <x v="1"/>
    <s v="Luzon"/>
    <n v="112.67"/>
  </r>
  <r>
    <n v="202011"/>
    <x v="10"/>
    <n v="2020"/>
    <s v=" November "/>
    <x v="7"/>
    <x v="1"/>
    <s v="Luzon"/>
    <n v="73.34"/>
  </r>
  <r>
    <n v="202012"/>
    <x v="11"/>
    <n v="2020"/>
    <s v=" December "/>
    <x v="7"/>
    <x v="1"/>
    <s v="Luzon"/>
    <n v="78.17"/>
  </r>
  <r>
    <n v="202001"/>
    <x v="0"/>
    <n v="2020"/>
    <s v=" January "/>
    <x v="8"/>
    <x v="1"/>
    <s v="Visayas"/>
    <n v="229.13"/>
  </r>
  <r>
    <n v="202002"/>
    <x v="1"/>
    <n v="2020"/>
    <s v=" February "/>
    <x v="8"/>
    <x v="1"/>
    <s v="Visayas"/>
    <n v="148.01"/>
  </r>
  <r>
    <n v="202003"/>
    <x v="2"/>
    <n v="2020"/>
    <s v=" March "/>
    <x v="8"/>
    <x v="1"/>
    <s v="Visayas"/>
    <n v="132.5"/>
  </r>
  <r>
    <n v="202004"/>
    <x v="3"/>
    <n v="2020"/>
    <s v=" April "/>
    <x v="8"/>
    <x v="1"/>
    <s v="Visayas"/>
    <n v="42.81"/>
  </r>
  <r>
    <n v="202005"/>
    <x v="4"/>
    <n v="2020"/>
    <s v=" May "/>
    <x v="8"/>
    <x v="1"/>
    <s v="Visayas"/>
    <n v="68.83"/>
  </r>
  <r>
    <n v="202006"/>
    <x v="5"/>
    <n v="2020"/>
    <s v=" June "/>
    <x v="8"/>
    <x v="1"/>
    <s v="Visayas"/>
    <n v="231.42"/>
  </r>
  <r>
    <n v="202007"/>
    <x v="6"/>
    <n v="2020"/>
    <s v=" July "/>
    <x v="8"/>
    <x v="1"/>
    <s v="Visayas"/>
    <n v="101.54"/>
  </r>
  <r>
    <n v="202008"/>
    <x v="7"/>
    <n v="2020"/>
    <s v=" August "/>
    <x v="8"/>
    <x v="1"/>
    <s v="Visayas"/>
    <n v="117.65"/>
  </r>
  <r>
    <n v="202009"/>
    <x v="8"/>
    <n v="2020"/>
    <s v=" September "/>
    <x v="8"/>
    <x v="1"/>
    <s v="Visayas"/>
    <n v="148.85"/>
  </r>
  <r>
    <n v="202010"/>
    <x v="9"/>
    <n v="2020"/>
    <s v=" October "/>
    <x v="8"/>
    <x v="1"/>
    <s v="Visayas"/>
    <n v="400.38"/>
  </r>
  <r>
    <n v="202011"/>
    <x v="10"/>
    <n v="2020"/>
    <s v=" November "/>
    <x v="8"/>
    <x v="1"/>
    <s v="Visayas"/>
    <n v="87.25"/>
  </r>
  <r>
    <n v="202012"/>
    <x v="11"/>
    <n v="2020"/>
    <s v=" December "/>
    <x v="8"/>
    <x v="1"/>
    <s v="Visayas"/>
    <n v="119.09"/>
  </r>
  <r>
    <n v="202001"/>
    <x v="0"/>
    <n v="2020"/>
    <s v=" January "/>
    <x v="8"/>
    <x v="1"/>
    <s v="Visayas"/>
    <n v="68.03"/>
  </r>
  <r>
    <n v="202002"/>
    <x v="1"/>
    <n v="2020"/>
    <s v=" February "/>
    <x v="8"/>
    <x v="1"/>
    <s v="Visayas"/>
    <n v="53.96"/>
  </r>
  <r>
    <n v="202003"/>
    <x v="2"/>
    <n v="2020"/>
    <s v=" March "/>
    <x v="8"/>
    <x v="1"/>
    <s v="Visayas"/>
    <n v="33.53"/>
  </r>
  <r>
    <n v="202004"/>
    <x v="3"/>
    <n v="2020"/>
    <s v=" April "/>
    <x v="8"/>
    <x v="1"/>
    <s v="Visayas"/>
    <n v="27.1"/>
  </r>
  <r>
    <n v="202005"/>
    <x v="4"/>
    <n v="2020"/>
    <s v=" May "/>
    <x v="8"/>
    <x v="1"/>
    <s v="Visayas"/>
    <n v="33.270000000000003"/>
  </r>
  <r>
    <n v="202006"/>
    <x v="5"/>
    <n v="2020"/>
    <s v=" June "/>
    <x v="8"/>
    <x v="1"/>
    <s v="Visayas"/>
    <n v="67.36"/>
  </r>
  <r>
    <n v="202007"/>
    <x v="6"/>
    <n v="2020"/>
    <s v=" July "/>
    <x v="8"/>
    <x v="1"/>
    <s v="Visayas"/>
    <n v="57.77"/>
  </r>
  <r>
    <n v="202008"/>
    <x v="7"/>
    <n v="2020"/>
    <s v=" August "/>
    <x v="8"/>
    <x v="1"/>
    <s v="Visayas"/>
    <n v="47.96"/>
  </r>
  <r>
    <n v="202009"/>
    <x v="8"/>
    <n v="2020"/>
    <s v=" September "/>
    <x v="8"/>
    <x v="1"/>
    <s v="Visayas"/>
    <n v="56.6"/>
  </r>
  <r>
    <n v="202010"/>
    <x v="9"/>
    <n v="2020"/>
    <s v=" October "/>
    <x v="8"/>
    <x v="1"/>
    <s v="Visayas"/>
    <n v="56.04"/>
  </r>
  <r>
    <n v="202011"/>
    <x v="10"/>
    <n v="2020"/>
    <s v=" November "/>
    <x v="8"/>
    <x v="1"/>
    <s v="Visayas"/>
    <n v="50.68"/>
  </r>
  <r>
    <n v="202012"/>
    <x v="11"/>
    <n v="2020"/>
    <s v=" December "/>
    <x v="8"/>
    <x v="1"/>
    <s v="Visayas"/>
    <n v="60.39"/>
  </r>
  <r>
    <n v="202001"/>
    <x v="0"/>
    <n v="2020"/>
    <s v=" January "/>
    <x v="8"/>
    <x v="1"/>
    <s v="Visayas"/>
    <n v="142.31"/>
  </r>
  <r>
    <n v="202002"/>
    <x v="1"/>
    <n v="2020"/>
    <s v=" February "/>
    <x v="8"/>
    <x v="1"/>
    <s v="Visayas"/>
    <n v="86.15"/>
  </r>
  <r>
    <n v="202003"/>
    <x v="2"/>
    <n v="2020"/>
    <s v=" March "/>
    <x v="8"/>
    <x v="1"/>
    <s v="Visayas"/>
    <n v="76.540000000000006"/>
  </r>
  <r>
    <n v="202004"/>
    <x v="3"/>
    <n v="2020"/>
    <s v=" April "/>
    <x v="8"/>
    <x v="1"/>
    <s v="Visayas"/>
    <n v="60.01"/>
  </r>
  <r>
    <n v="202005"/>
    <x v="4"/>
    <n v="2020"/>
    <s v=" May "/>
    <x v="8"/>
    <x v="1"/>
    <s v="Visayas"/>
    <n v="66.84"/>
  </r>
  <r>
    <n v="202006"/>
    <x v="5"/>
    <n v="2020"/>
    <s v=" June "/>
    <x v="8"/>
    <x v="1"/>
    <s v="Visayas"/>
    <n v="115.07"/>
  </r>
  <r>
    <n v="202007"/>
    <x v="6"/>
    <n v="2020"/>
    <s v=" July "/>
    <x v="8"/>
    <x v="1"/>
    <s v="Visayas"/>
    <n v="157.19999999999999"/>
  </r>
  <r>
    <n v="202008"/>
    <x v="7"/>
    <n v="2020"/>
    <s v=" August "/>
    <x v="8"/>
    <x v="1"/>
    <s v="Visayas"/>
    <n v="85.27"/>
  </r>
  <r>
    <n v="202009"/>
    <x v="8"/>
    <n v="2020"/>
    <s v=" September "/>
    <x v="8"/>
    <x v="1"/>
    <s v="Visayas"/>
    <n v="77.010000000000005"/>
  </r>
  <r>
    <n v="202010"/>
    <x v="9"/>
    <n v="2020"/>
    <s v=" October "/>
    <x v="8"/>
    <x v="1"/>
    <s v="Visayas"/>
    <n v="107.07"/>
  </r>
  <r>
    <n v="202011"/>
    <x v="10"/>
    <n v="2020"/>
    <s v=" November "/>
    <x v="8"/>
    <x v="1"/>
    <s v="Visayas"/>
    <n v="106.26"/>
  </r>
  <r>
    <n v="202012"/>
    <x v="11"/>
    <n v="2020"/>
    <s v=" December "/>
    <x v="8"/>
    <x v="1"/>
    <s v="Visayas"/>
    <n v="96.79"/>
  </r>
  <r>
    <n v="202001"/>
    <x v="0"/>
    <n v="2020"/>
    <s v=" January "/>
    <x v="8"/>
    <x v="1"/>
    <s v="Visayas"/>
    <n v="118.3"/>
  </r>
  <r>
    <n v="202002"/>
    <x v="1"/>
    <n v="2020"/>
    <s v=" February "/>
    <x v="8"/>
    <x v="1"/>
    <s v="Visayas"/>
    <n v="72.010000000000005"/>
  </r>
  <r>
    <n v="202003"/>
    <x v="2"/>
    <n v="2020"/>
    <s v=" March "/>
    <x v="8"/>
    <x v="1"/>
    <s v="Visayas"/>
    <n v="67.37"/>
  </r>
  <r>
    <n v="202004"/>
    <x v="3"/>
    <n v="2020"/>
    <s v=" April "/>
    <x v="8"/>
    <x v="1"/>
    <s v="Visayas"/>
    <n v="51.64"/>
  </r>
  <r>
    <n v="202005"/>
    <x v="4"/>
    <n v="2020"/>
    <s v=" May "/>
    <x v="8"/>
    <x v="1"/>
    <s v="Visayas"/>
    <n v="56.75"/>
  </r>
  <r>
    <n v="202006"/>
    <x v="5"/>
    <n v="2020"/>
    <s v=" June "/>
    <x v="8"/>
    <x v="1"/>
    <s v="Visayas"/>
    <n v="112.17"/>
  </r>
  <r>
    <n v="202007"/>
    <x v="6"/>
    <n v="2020"/>
    <s v=" July "/>
    <x v="8"/>
    <x v="1"/>
    <s v="Visayas"/>
    <n v="91.97"/>
  </r>
  <r>
    <n v="202008"/>
    <x v="7"/>
    <n v="2020"/>
    <s v=" August "/>
    <x v="8"/>
    <x v="1"/>
    <s v="Visayas"/>
    <n v="88.35"/>
  </r>
  <r>
    <n v="202009"/>
    <x v="8"/>
    <n v="2020"/>
    <s v=" September "/>
    <x v="8"/>
    <x v="1"/>
    <s v="Visayas"/>
    <n v="78.489999999999995"/>
  </r>
  <r>
    <n v="202010"/>
    <x v="9"/>
    <n v="2020"/>
    <s v=" October "/>
    <x v="8"/>
    <x v="1"/>
    <s v="Visayas"/>
    <n v="106.58"/>
  </r>
  <r>
    <n v="202011"/>
    <x v="10"/>
    <n v="2020"/>
    <s v=" November "/>
    <x v="8"/>
    <x v="1"/>
    <s v="Visayas"/>
    <n v="83.57"/>
  </r>
  <r>
    <n v="202012"/>
    <x v="11"/>
    <n v="2020"/>
    <s v=" December "/>
    <x v="8"/>
    <x v="1"/>
    <s v="Visayas"/>
    <n v="102.13"/>
  </r>
  <r>
    <n v="202001"/>
    <x v="0"/>
    <n v="2020"/>
    <s v=" January "/>
    <x v="8"/>
    <x v="1"/>
    <s v="Visayas"/>
    <n v="813.99"/>
  </r>
  <r>
    <n v="202002"/>
    <x v="1"/>
    <n v="2020"/>
    <s v=" February "/>
    <x v="8"/>
    <x v="1"/>
    <s v="Visayas"/>
    <n v="470.6"/>
  </r>
  <r>
    <n v="202003"/>
    <x v="2"/>
    <n v="2020"/>
    <s v=" March "/>
    <x v="8"/>
    <x v="1"/>
    <s v="Visayas"/>
    <n v="420.58"/>
  </r>
  <r>
    <n v="202004"/>
    <x v="3"/>
    <n v="2020"/>
    <s v=" April "/>
    <x v="8"/>
    <x v="1"/>
    <s v="Visayas"/>
    <n v="235.62"/>
  </r>
  <r>
    <n v="202005"/>
    <x v="4"/>
    <n v="2020"/>
    <s v=" May "/>
    <x v="8"/>
    <x v="1"/>
    <s v="Visayas"/>
    <n v="223.18"/>
  </r>
  <r>
    <n v="202006"/>
    <x v="5"/>
    <n v="2020"/>
    <s v=" June "/>
    <x v="8"/>
    <x v="1"/>
    <s v="Visayas"/>
    <n v="836.06"/>
  </r>
  <r>
    <n v="202007"/>
    <x v="6"/>
    <n v="2020"/>
    <s v=" July "/>
    <x v="8"/>
    <x v="1"/>
    <s v="Visayas"/>
    <n v="478.23"/>
  </r>
  <r>
    <n v="202008"/>
    <x v="7"/>
    <n v="2020"/>
    <s v=" August "/>
    <x v="8"/>
    <x v="1"/>
    <s v="Visayas"/>
    <n v="452.69"/>
  </r>
  <r>
    <n v="202009"/>
    <x v="8"/>
    <n v="2020"/>
    <s v=" September "/>
    <x v="8"/>
    <x v="1"/>
    <s v="Visayas"/>
    <n v="368.11"/>
  </r>
  <r>
    <n v="202010"/>
    <x v="9"/>
    <n v="2020"/>
    <s v=" October "/>
    <x v="8"/>
    <x v="1"/>
    <s v="Visayas"/>
    <n v="465.18"/>
  </r>
  <r>
    <n v="202011"/>
    <x v="10"/>
    <n v="2020"/>
    <s v=" November "/>
    <x v="8"/>
    <x v="1"/>
    <s v="Visayas"/>
    <n v="510.16"/>
  </r>
  <r>
    <n v="202012"/>
    <x v="11"/>
    <n v="2020"/>
    <s v=" December "/>
    <x v="8"/>
    <x v="1"/>
    <s v="Visayas"/>
    <n v="488.96"/>
  </r>
  <r>
    <n v="202001"/>
    <x v="0"/>
    <n v="2020"/>
    <s v=" January "/>
    <x v="9"/>
    <x v="1"/>
    <s v="Visayas"/>
    <n v="889.34"/>
  </r>
  <r>
    <n v="202002"/>
    <x v="1"/>
    <n v="2020"/>
    <s v=" February "/>
    <x v="9"/>
    <x v="1"/>
    <s v="Visayas"/>
    <n v="547.51"/>
  </r>
  <r>
    <n v="202003"/>
    <x v="2"/>
    <n v="2020"/>
    <s v=" March "/>
    <x v="9"/>
    <x v="1"/>
    <s v="Visayas"/>
    <n v="568.22"/>
  </r>
  <r>
    <n v="202004"/>
    <x v="3"/>
    <n v="2020"/>
    <s v=" April "/>
    <x v="9"/>
    <x v="1"/>
    <s v="Visayas"/>
    <n v="219"/>
  </r>
  <r>
    <n v="202005"/>
    <x v="4"/>
    <n v="2020"/>
    <s v=" May "/>
    <x v="9"/>
    <x v="1"/>
    <s v="Visayas"/>
    <n v="382.3"/>
  </r>
  <r>
    <n v="202006"/>
    <x v="5"/>
    <n v="2020"/>
    <s v=" June "/>
    <x v="9"/>
    <x v="1"/>
    <s v="Visayas"/>
    <n v="1096.6199999999999"/>
  </r>
  <r>
    <n v="202007"/>
    <x v="6"/>
    <n v="2020"/>
    <s v=" July "/>
    <x v="9"/>
    <x v="1"/>
    <s v="Visayas"/>
    <n v="525.95000000000005"/>
  </r>
  <r>
    <n v="202008"/>
    <x v="7"/>
    <n v="2020"/>
    <s v=" August "/>
    <x v="9"/>
    <x v="1"/>
    <s v="Visayas"/>
    <n v="521.34"/>
  </r>
  <r>
    <n v="202009"/>
    <x v="8"/>
    <n v="2020"/>
    <s v=" September "/>
    <x v="9"/>
    <x v="1"/>
    <s v="Visayas"/>
    <n v="417.05"/>
  </r>
  <r>
    <n v="202010"/>
    <x v="9"/>
    <n v="2020"/>
    <s v=" October "/>
    <x v="9"/>
    <x v="1"/>
    <s v="Visayas"/>
    <n v="903.89"/>
  </r>
  <r>
    <n v="202011"/>
    <x v="10"/>
    <n v="2020"/>
    <s v=" November "/>
    <x v="9"/>
    <x v="1"/>
    <s v="Visayas"/>
    <n v="597.26"/>
  </r>
  <r>
    <n v="202012"/>
    <x v="11"/>
    <n v="2020"/>
    <s v=" December "/>
    <x v="9"/>
    <x v="1"/>
    <s v="Visayas"/>
    <n v="555.52"/>
  </r>
  <r>
    <n v="202001"/>
    <x v="0"/>
    <n v="2020"/>
    <s v=" January "/>
    <x v="9"/>
    <x v="1"/>
    <s v="Visayas"/>
    <n v="250.23"/>
  </r>
  <r>
    <n v="202002"/>
    <x v="1"/>
    <n v="2020"/>
    <s v=" February "/>
    <x v="9"/>
    <x v="1"/>
    <s v="Visayas"/>
    <n v="187.09"/>
  </r>
  <r>
    <n v="202003"/>
    <x v="2"/>
    <n v="2020"/>
    <s v=" March "/>
    <x v="9"/>
    <x v="1"/>
    <s v="Visayas"/>
    <n v="163.54"/>
  </r>
  <r>
    <n v="202004"/>
    <x v="3"/>
    <n v="2020"/>
    <s v=" April "/>
    <x v="9"/>
    <x v="1"/>
    <s v="Visayas"/>
    <n v="104.4"/>
  </r>
  <r>
    <n v="202005"/>
    <x v="4"/>
    <n v="2020"/>
    <s v=" May "/>
    <x v="9"/>
    <x v="1"/>
    <s v="Visayas"/>
    <n v="163.86"/>
  </r>
  <r>
    <n v="202006"/>
    <x v="5"/>
    <n v="2020"/>
    <s v=" June "/>
    <x v="9"/>
    <x v="1"/>
    <s v="Visayas"/>
    <n v="244.38"/>
  </r>
  <r>
    <n v="202007"/>
    <x v="6"/>
    <n v="2020"/>
    <s v=" July "/>
    <x v="9"/>
    <x v="1"/>
    <s v="Visayas"/>
    <n v="203.6"/>
  </r>
  <r>
    <n v="202008"/>
    <x v="7"/>
    <n v="2020"/>
    <s v=" August "/>
    <x v="9"/>
    <x v="1"/>
    <s v="Visayas"/>
    <n v="177"/>
  </r>
  <r>
    <n v="202009"/>
    <x v="8"/>
    <n v="2020"/>
    <s v=" September "/>
    <x v="9"/>
    <x v="1"/>
    <s v="Visayas"/>
    <n v="190.26"/>
  </r>
  <r>
    <n v="202010"/>
    <x v="9"/>
    <n v="2020"/>
    <s v=" October "/>
    <x v="9"/>
    <x v="1"/>
    <s v="Visayas"/>
    <n v="230.93"/>
  </r>
  <r>
    <n v="202011"/>
    <x v="10"/>
    <n v="2020"/>
    <s v=" November "/>
    <x v="9"/>
    <x v="1"/>
    <s v="Visayas"/>
    <n v="194.83"/>
  </r>
  <r>
    <n v="202012"/>
    <x v="11"/>
    <n v="2020"/>
    <s v=" December "/>
    <x v="9"/>
    <x v="1"/>
    <s v="Visayas"/>
    <n v="183.7"/>
  </r>
  <r>
    <n v="202001"/>
    <x v="0"/>
    <n v="2020"/>
    <s v=" January "/>
    <x v="10"/>
    <x v="1"/>
    <s v="Visayas"/>
    <n v="257.29000000000002"/>
  </r>
  <r>
    <n v="202002"/>
    <x v="1"/>
    <n v="2020"/>
    <s v=" February "/>
    <x v="10"/>
    <x v="1"/>
    <s v="Visayas"/>
    <n v="165.33"/>
  </r>
  <r>
    <n v="202003"/>
    <x v="2"/>
    <n v="2020"/>
    <s v=" March "/>
    <x v="10"/>
    <x v="1"/>
    <s v="Visayas"/>
    <n v="149.16999999999999"/>
  </r>
  <r>
    <n v="202004"/>
    <x v="3"/>
    <n v="2020"/>
    <s v=" April "/>
    <x v="10"/>
    <x v="1"/>
    <s v="Visayas"/>
    <n v="145.41"/>
  </r>
  <r>
    <n v="202005"/>
    <x v="4"/>
    <n v="2020"/>
    <s v=" May "/>
    <x v="10"/>
    <x v="1"/>
    <s v="Visayas"/>
    <n v="158.08000000000001"/>
  </r>
  <r>
    <n v="202006"/>
    <x v="5"/>
    <n v="2020"/>
    <s v=" June "/>
    <x v="10"/>
    <x v="1"/>
    <s v="Visayas"/>
    <n v="246.35"/>
  </r>
  <r>
    <n v="202007"/>
    <x v="6"/>
    <n v="2020"/>
    <s v=" July "/>
    <x v="10"/>
    <x v="1"/>
    <s v="Visayas"/>
    <n v="164.87"/>
  </r>
  <r>
    <n v="202008"/>
    <x v="7"/>
    <n v="2020"/>
    <s v=" August "/>
    <x v="10"/>
    <x v="1"/>
    <s v="Visayas"/>
    <n v="180.01"/>
  </r>
  <r>
    <n v="202009"/>
    <x v="8"/>
    <n v="2020"/>
    <s v=" September "/>
    <x v="10"/>
    <x v="1"/>
    <s v="Visayas"/>
    <n v="167.66"/>
  </r>
  <r>
    <n v="202010"/>
    <x v="9"/>
    <n v="2020"/>
    <s v=" October "/>
    <x v="10"/>
    <x v="1"/>
    <s v="Visayas"/>
    <n v="175.73"/>
  </r>
  <r>
    <n v="202011"/>
    <x v="10"/>
    <n v="2020"/>
    <s v=" November "/>
    <x v="10"/>
    <x v="1"/>
    <s v="Visayas"/>
    <n v="203.09"/>
  </r>
  <r>
    <n v="202012"/>
    <x v="11"/>
    <n v="2020"/>
    <s v=" December "/>
    <x v="10"/>
    <x v="1"/>
    <s v="Visayas"/>
    <n v="218.23"/>
  </r>
  <r>
    <n v="202001"/>
    <x v="0"/>
    <n v="2020"/>
    <s v=" January "/>
    <x v="10"/>
    <x v="1"/>
    <s v="Visayas"/>
    <n v="1734.81"/>
  </r>
  <r>
    <n v="202002"/>
    <x v="1"/>
    <n v="2020"/>
    <s v=" February "/>
    <x v="10"/>
    <x v="1"/>
    <s v="Visayas"/>
    <n v="1066.72"/>
  </r>
  <r>
    <n v="202003"/>
    <x v="2"/>
    <n v="2020"/>
    <s v=" March "/>
    <x v="10"/>
    <x v="1"/>
    <s v="Visayas"/>
    <n v="1053.5899999999999"/>
  </r>
  <r>
    <n v="202004"/>
    <x v="3"/>
    <n v="2020"/>
    <s v=" April "/>
    <x v="10"/>
    <x v="1"/>
    <s v="Visayas"/>
    <n v="403.45"/>
  </r>
  <r>
    <n v="202005"/>
    <x v="4"/>
    <n v="2020"/>
    <s v=" May "/>
    <x v="10"/>
    <x v="1"/>
    <s v="Visayas"/>
    <n v="476.74"/>
  </r>
  <r>
    <n v="202006"/>
    <x v="5"/>
    <n v="2020"/>
    <s v=" June "/>
    <x v="10"/>
    <x v="1"/>
    <s v="Visayas"/>
    <n v="1808.89"/>
  </r>
  <r>
    <n v="202007"/>
    <x v="6"/>
    <n v="2020"/>
    <s v=" July "/>
    <x v="10"/>
    <x v="1"/>
    <s v="Visayas"/>
    <n v="732.13"/>
  </r>
  <r>
    <n v="202008"/>
    <x v="7"/>
    <n v="2020"/>
    <s v=" August "/>
    <x v="10"/>
    <x v="1"/>
    <s v="Visayas"/>
    <n v="839.6"/>
  </r>
  <r>
    <n v="202009"/>
    <x v="8"/>
    <n v="2020"/>
    <s v=" September "/>
    <x v="10"/>
    <x v="1"/>
    <s v="Visayas"/>
    <n v="1115.44"/>
  </r>
  <r>
    <n v="202010"/>
    <x v="9"/>
    <n v="2020"/>
    <s v=" October "/>
    <x v="10"/>
    <x v="1"/>
    <s v="Visayas"/>
    <n v="1213"/>
  </r>
  <r>
    <n v="202011"/>
    <x v="10"/>
    <n v="2020"/>
    <s v=" November "/>
    <x v="10"/>
    <x v="1"/>
    <s v="Visayas"/>
    <n v="1182.02"/>
  </r>
  <r>
    <n v="202012"/>
    <x v="11"/>
    <n v="2020"/>
    <s v=" December "/>
    <x v="10"/>
    <x v="1"/>
    <s v="Visayas"/>
    <n v="1322.36"/>
  </r>
  <r>
    <n v="202001"/>
    <x v="0"/>
    <n v="2020"/>
    <s v=" January "/>
    <x v="10"/>
    <x v="1"/>
    <s v="Visayas"/>
    <n v="1983.28"/>
  </r>
  <r>
    <n v="202002"/>
    <x v="1"/>
    <n v="2020"/>
    <s v=" February "/>
    <x v="10"/>
    <x v="1"/>
    <s v="Visayas"/>
    <n v="1196"/>
  </r>
  <r>
    <n v="202003"/>
    <x v="2"/>
    <n v="2020"/>
    <s v=" March "/>
    <x v="10"/>
    <x v="1"/>
    <s v="Visayas"/>
    <n v="982.9"/>
  </r>
  <r>
    <n v="202004"/>
    <x v="3"/>
    <n v="2020"/>
    <s v=" April "/>
    <x v="10"/>
    <x v="1"/>
    <s v="Visayas"/>
    <n v="630.37"/>
  </r>
  <r>
    <n v="202005"/>
    <x v="4"/>
    <n v="2020"/>
    <s v=" May "/>
    <x v="10"/>
    <x v="1"/>
    <s v="Visayas"/>
    <n v="518.29999999999995"/>
  </r>
  <r>
    <n v="202006"/>
    <x v="5"/>
    <n v="2020"/>
    <s v=" June "/>
    <x v="10"/>
    <x v="1"/>
    <s v="Visayas"/>
    <n v="2206.98"/>
  </r>
  <r>
    <n v="202007"/>
    <x v="6"/>
    <n v="2020"/>
    <s v=" July "/>
    <x v="10"/>
    <x v="1"/>
    <s v="Visayas"/>
    <n v="799.64"/>
  </r>
  <r>
    <n v="202008"/>
    <x v="7"/>
    <n v="2020"/>
    <s v=" August "/>
    <x v="10"/>
    <x v="1"/>
    <s v="Visayas"/>
    <n v="999.43"/>
  </r>
  <r>
    <n v="202009"/>
    <x v="8"/>
    <n v="2020"/>
    <s v=" September "/>
    <x v="10"/>
    <x v="1"/>
    <s v="Visayas"/>
    <n v="916.8"/>
  </r>
  <r>
    <n v="202010"/>
    <x v="9"/>
    <n v="2020"/>
    <s v=" October "/>
    <x v="10"/>
    <x v="1"/>
    <s v="Visayas"/>
    <n v="1204.02"/>
  </r>
  <r>
    <n v="202011"/>
    <x v="10"/>
    <n v="2020"/>
    <s v=" November "/>
    <x v="10"/>
    <x v="1"/>
    <s v="Visayas"/>
    <n v="1349.66"/>
  </r>
  <r>
    <n v="202012"/>
    <x v="11"/>
    <n v="2020"/>
    <s v=" December "/>
    <x v="10"/>
    <x v="1"/>
    <s v="Visayas"/>
    <n v="1085.8800000000001"/>
  </r>
  <r>
    <n v="202001"/>
    <x v="0"/>
    <n v="2020"/>
    <s v=" January "/>
    <x v="10"/>
    <x v="1"/>
    <s v="Visayas"/>
    <n v="3207.92"/>
  </r>
  <r>
    <n v="202002"/>
    <x v="1"/>
    <n v="2020"/>
    <s v=" February "/>
    <x v="10"/>
    <x v="1"/>
    <s v="Visayas"/>
    <n v="1885.22"/>
  </r>
  <r>
    <n v="202003"/>
    <x v="2"/>
    <n v="2020"/>
    <s v=" March "/>
    <x v="10"/>
    <x v="1"/>
    <s v="Visayas"/>
    <n v="1766.83"/>
  </r>
  <r>
    <n v="202004"/>
    <x v="3"/>
    <n v="2020"/>
    <s v=" April "/>
    <x v="10"/>
    <x v="1"/>
    <s v="Visayas"/>
    <n v="2156.59"/>
  </r>
  <r>
    <n v="202005"/>
    <x v="4"/>
    <n v="2020"/>
    <s v=" May "/>
    <x v="10"/>
    <x v="1"/>
    <s v="Visayas"/>
    <n v="1953.7"/>
  </r>
  <r>
    <n v="202006"/>
    <x v="5"/>
    <n v="2020"/>
    <s v=" June "/>
    <x v="10"/>
    <x v="1"/>
    <s v="Visayas"/>
    <n v="5227.12"/>
  </r>
  <r>
    <n v="202007"/>
    <x v="6"/>
    <n v="2020"/>
    <s v=" July "/>
    <x v="10"/>
    <x v="1"/>
    <s v="Visayas"/>
    <n v="1785"/>
  </r>
  <r>
    <n v="202008"/>
    <x v="7"/>
    <n v="2020"/>
    <s v=" August "/>
    <x v="10"/>
    <x v="1"/>
    <s v="Visayas"/>
    <n v="2622.91"/>
  </r>
  <r>
    <n v="202009"/>
    <x v="8"/>
    <n v="2020"/>
    <s v=" September "/>
    <x v="10"/>
    <x v="1"/>
    <s v="Visayas"/>
    <n v="1562.16"/>
  </r>
  <r>
    <n v="202010"/>
    <x v="9"/>
    <n v="2020"/>
    <s v=" October "/>
    <x v="10"/>
    <x v="1"/>
    <s v="Visayas"/>
    <n v="1995.34"/>
  </r>
  <r>
    <n v="202011"/>
    <x v="10"/>
    <n v="2020"/>
    <s v=" November "/>
    <x v="10"/>
    <x v="1"/>
    <s v="Visayas"/>
    <n v="3100.47"/>
  </r>
  <r>
    <n v="202012"/>
    <x v="11"/>
    <n v="2020"/>
    <s v=" December "/>
    <x v="10"/>
    <x v="1"/>
    <s v="Visayas"/>
    <n v="1897.85"/>
  </r>
  <r>
    <n v="202001"/>
    <x v="0"/>
    <n v="2020"/>
    <s v=" January "/>
    <x v="11"/>
    <x v="1"/>
    <s v="Visayas"/>
    <n v="48.96"/>
  </r>
  <r>
    <n v="202002"/>
    <x v="1"/>
    <n v="2020"/>
    <s v=" February "/>
    <x v="11"/>
    <x v="1"/>
    <s v="Visayas"/>
    <n v="33.31"/>
  </r>
  <r>
    <n v="202003"/>
    <x v="2"/>
    <n v="2020"/>
    <s v=" March "/>
    <x v="11"/>
    <x v="1"/>
    <s v="Visayas"/>
    <n v="34.78"/>
  </r>
  <r>
    <n v="202004"/>
    <x v="3"/>
    <n v="2020"/>
    <s v=" April "/>
    <x v="11"/>
    <x v="1"/>
    <s v="Visayas"/>
    <n v="34.869999999999997"/>
  </r>
  <r>
    <n v="202005"/>
    <x v="4"/>
    <n v="2020"/>
    <s v=" May "/>
    <x v="11"/>
    <x v="1"/>
    <s v="Visayas"/>
    <n v="43.53"/>
  </r>
  <r>
    <n v="202006"/>
    <x v="5"/>
    <n v="2020"/>
    <s v=" June "/>
    <x v="11"/>
    <x v="1"/>
    <s v="Visayas"/>
    <n v="57.7"/>
  </r>
  <r>
    <n v="202007"/>
    <x v="6"/>
    <n v="2020"/>
    <s v=" July "/>
    <x v="11"/>
    <x v="1"/>
    <s v="Visayas"/>
    <n v="50.34"/>
  </r>
  <r>
    <n v="202008"/>
    <x v="7"/>
    <n v="2020"/>
    <s v=" August "/>
    <x v="11"/>
    <x v="1"/>
    <s v="Visayas"/>
    <n v="44.12"/>
  </r>
  <r>
    <n v="202009"/>
    <x v="8"/>
    <n v="2020"/>
    <s v=" September "/>
    <x v="11"/>
    <x v="1"/>
    <s v="Visayas"/>
    <n v="50.55"/>
  </r>
  <r>
    <n v="202010"/>
    <x v="9"/>
    <n v="2020"/>
    <s v=" October "/>
    <x v="11"/>
    <x v="1"/>
    <s v="Visayas"/>
    <n v="44.25"/>
  </r>
  <r>
    <n v="202011"/>
    <x v="10"/>
    <n v="2020"/>
    <s v=" November "/>
    <x v="11"/>
    <x v="1"/>
    <s v="Visayas"/>
    <n v="55.89"/>
  </r>
  <r>
    <n v="202012"/>
    <x v="11"/>
    <n v="2020"/>
    <s v=" December "/>
    <x v="11"/>
    <x v="1"/>
    <s v="Visayas"/>
    <n v="49.21"/>
  </r>
  <r>
    <n v="202001"/>
    <x v="0"/>
    <n v="2020"/>
    <s v=" January "/>
    <x v="11"/>
    <x v="1"/>
    <s v="Visayas"/>
    <n v="147.12"/>
  </r>
  <r>
    <n v="202002"/>
    <x v="1"/>
    <n v="2020"/>
    <s v=" February "/>
    <x v="11"/>
    <x v="1"/>
    <s v="Visayas"/>
    <n v="116.06"/>
  </r>
  <r>
    <n v="202003"/>
    <x v="2"/>
    <n v="2020"/>
    <s v=" March "/>
    <x v="11"/>
    <x v="1"/>
    <s v="Visayas"/>
    <n v="94.13"/>
  </r>
  <r>
    <n v="202004"/>
    <x v="3"/>
    <n v="2020"/>
    <s v=" April "/>
    <x v="11"/>
    <x v="1"/>
    <s v="Visayas"/>
    <n v="81.489999999999995"/>
  </r>
  <r>
    <n v="202005"/>
    <x v="4"/>
    <n v="2020"/>
    <s v=" May "/>
    <x v="11"/>
    <x v="1"/>
    <s v="Visayas"/>
    <n v="93.4"/>
  </r>
  <r>
    <n v="202006"/>
    <x v="5"/>
    <n v="2020"/>
    <s v=" June "/>
    <x v="11"/>
    <x v="1"/>
    <s v="Visayas"/>
    <n v="192.43"/>
  </r>
  <r>
    <n v="202007"/>
    <x v="6"/>
    <n v="2020"/>
    <s v=" July "/>
    <x v="11"/>
    <x v="1"/>
    <s v="Visayas"/>
    <n v="114.06"/>
  </r>
  <r>
    <n v="202008"/>
    <x v="7"/>
    <n v="2020"/>
    <s v=" August "/>
    <x v="11"/>
    <x v="1"/>
    <s v="Visayas"/>
    <n v="108.69"/>
  </r>
  <r>
    <n v="202009"/>
    <x v="8"/>
    <n v="2020"/>
    <s v=" September "/>
    <x v="11"/>
    <x v="1"/>
    <s v="Visayas"/>
    <n v="92.05"/>
  </r>
  <r>
    <n v="202010"/>
    <x v="9"/>
    <n v="2020"/>
    <s v=" October "/>
    <x v="11"/>
    <x v="1"/>
    <s v="Visayas"/>
    <n v="141.47"/>
  </r>
  <r>
    <n v="202011"/>
    <x v="10"/>
    <n v="2020"/>
    <s v=" November "/>
    <x v="11"/>
    <x v="1"/>
    <s v="Visayas"/>
    <n v="129.41"/>
  </r>
  <r>
    <n v="202012"/>
    <x v="11"/>
    <n v="2020"/>
    <s v=" December "/>
    <x v="11"/>
    <x v="1"/>
    <s v="Visayas"/>
    <n v="122.15"/>
  </r>
  <r>
    <n v="202001"/>
    <x v="0"/>
    <n v="2020"/>
    <s v=" January "/>
    <x v="11"/>
    <x v="1"/>
    <s v="Visayas"/>
    <n v="57.28"/>
  </r>
  <r>
    <n v="202002"/>
    <x v="1"/>
    <n v="2020"/>
    <s v=" February "/>
    <x v="11"/>
    <x v="1"/>
    <s v="Visayas"/>
    <n v="52.75"/>
  </r>
  <r>
    <n v="202003"/>
    <x v="2"/>
    <n v="2020"/>
    <s v=" March "/>
    <x v="11"/>
    <x v="1"/>
    <s v="Visayas"/>
    <n v="40.57"/>
  </r>
  <r>
    <n v="202004"/>
    <x v="3"/>
    <n v="2020"/>
    <s v=" April "/>
    <x v="11"/>
    <x v="1"/>
    <s v="Visayas"/>
    <n v="46.86"/>
  </r>
  <r>
    <n v="202005"/>
    <x v="4"/>
    <n v="2020"/>
    <s v=" May "/>
    <x v="11"/>
    <x v="1"/>
    <s v="Visayas"/>
    <n v="41.66"/>
  </r>
  <r>
    <n v="202006"/>
    <x v="5"/>
    <n v="2020"/>
    <s v=" June "/>
    <x v="11"/>
    <x v="1"/>
    <s v="Visayas"/>
    <n v="60.3"/>
  </r>
  <r>
    <n v="202007"/>
    <x v="6"/>
    <n v="2020"/>
    <s v=" July "/>
    <x v="11"/>
    <x v="1"/>
    <s v="Visayas"/>
    <n v="46.01"/>
  </r>
  <r>
    <n v="202008"/>
    <x v="7"/>
    <n v="2020"/>
    <s v=" August "/>
    <x v="11"/>
    <x v="1"/>
    <s v="Visayas"/>
    <n v="57.52"/>
  </r>
  <r>
    <n v="202009"/>
    <x v="8"/>
    <n v="2020"/>
    <s v=" September "/>
    <x v="11"/>
    <x v="1"/>
    <s v="Visayas"/>
    <n v="43.87"/>
  </r>
  <r>
    <n v="202010"/>
    <x v="9"/>
    <n v="2020"/>
    <s v=" October "/>
    <x v="11"/>
    <x v="1"/>
    <s v="Visayas"/>
    <n v="54.75"/>
  </r>
  <r>
    <n v="202011"/>
    <x v="10"/>
    <n v="2020"/>
    <s v=" November "/>
    <x v="11"/>
    <x v="1"/>
    <s v="Visayas"/>
    <n v="46.27"/>
  </r>
  <r>
    <n v="202012"/>
    <x v="11"/>
    <n v="2020"/>
    <s v=" December "/>
    <x v="11"/>
    <x v="1"/>
    <s v="Visayas"/>
    <n v="55.69"/>
  </r>
  <r>
    <n v="202001"/>
    <x v="0"/>
    <n v="2020"/>
    <s v=" January "/>
    <x v="11"/>
    <x v="1"/>
    <s v="Visayas"/>
    <n v="95.07"/>
  </r>
  <r>
    <n v="202002"/>
    <x v="1"/>
    <n v="2020"/>
    <s v=" February "/>
    <x v="11"/>
    <x v="1"/>
    <s v="Visayas"/>
    <n v="61.66"/>
  </r>
  <r>
    <n v="202003"/>
    <x v="2"/>
    <n v="2020"/>
    <s v=" March "/>
    <x v="11"/>
    <x v="1"/>
    <s v="Visayas"/>
    <n v="59.77"/>
  </r>
  <r>
    <n v="202004"/>
    <x v="3"/>
    <n v="2020"/>
    <s v=" April "/>
    <x v="11"/>
    <x v="1"/>
    <s v="Visayas"/>
    <n v="47.22"/>
  </r>
  <r>
    <n v="202005"/>
    <x v="4"/>
    <n v="2020"/>
    <s v=" May "/>
    <x v="11"/>
    <x v="1"/>
    <s v="Visayas"/>
    <n v="52.8"/>
  </r>
  <r>
    <n v="202006"/>
    <x v="5"/>
    <n v="2020"/>
    <s v=" June "/>
    <x v="11"/>
    <x v="1"/>
    <s v="Visayas"/>
    <n v="111.18"/>
  </r>
  <r>
    <n v="202007"/>
    <x v="6"/>
    <n v="2020"/>
    <s v=" July "/>
    <x v="11"/>
    <x v="1"/>
    <s v="Visayas"/>
    <n v="81.239999999999995"/>
  </r>
  <r>
    <n v="202008"/>
    <x v="7"/>
    <n v="2020"/>
    <s v=" August "/>
    <x v="11"/>
    <x v="1"/>
    <s v="Visayas"/>
    <n v="61.56"/>
  </r>
  <r>
    <n v="202009"/>
    <x v="8"/>
    <n v="2020"/>
    <s v=" September "/>
    <x v="11"/>
    <x v="1"/>
    <s v="Visayas"/>
    <n v="62.05"/>
  </r>
  <r>
    <n v="202010"/>
    <x v="9"/>
    <n v="2020"/>
    <s v=" October "/>
    <x v="11"/>
    <x v="1"/>
    <s v="Visayas"/>
    <n v="75.59"/>
  </r>
  <r>
    <n v="202011"/>
    <x v="10"/>
    <n v="2020"/>
    <s v=" November "/>
    <x v="11"/>
    <x v="1"/>
    <s v="Visayas"/>
    <n v="78.72"/>
  </r>
  <r>
    <n v="202012"/>
    <x v="11"/>
    <n v="2020"/>
    <s v=" December "/>
    <x v="11"/>
    <x v="1"/>
    <s v="Visayas"/>
    <n v="84.8"/>
  </r>
  <r>
    <n v="202001"/>
    <x v="0"/>
    <n v="2020"/>
    <s v=" January "/>
    <x v="11"/>
    <x v="1"/>
    <s v="Visayas"/>
    <n v="63.06"/>
  </r>
  <r>
    <n v="202002"/>
    <x v="1"/>
    <n v="2020"/>
    <s v=" February "/>
    <x v="11"/>
    <x v="1"/>
    <s v="Visayas"/>
    <n v="36.64"/>
  </r>
  <r>
    <n v="202003"/>
    <x v="2"/>
    <n v="2020"/>
    <s v=" March "/>
    <x v="11"/>
    <x v="1"/>
    <s v="Visayas"/>
    <n v="28.24"/>
  </r>
  <r>
    <n v="202004"/>
    <x v="3"/>
    <n v="2020"/>
    <s v=" April "/>
    <x v="11"/>
    <x v="1"/>
    <s v="Visayas"/>
    <n v="43.65"/>
  </r>
  <r>
    <n v="202005"/>
    <x v="4"/>
    <n v="2020"/>
    <s v=" May "/>
    <x v="11"/>
    <x v="1"/>
    <s v="Visayas"/>
    <n v="44.19"/>
  </r>
  <r>
    <n v="202006"/>
    <x v="5"/>
    <n v="2020"/>
    <s v=" June "/>
    <x v="11"/>
    <x v="1"/>
    <s v="Visayas"/>
    <n v="55.29"/>
  </r>
  <r>
    <n v="202007"/>
    <x v="6"/>
    <n v="2020"/>
    <s v=" July "/>
    <x v="11"/>
    <x v="1"/>
    <s v="Visayas"/>
    <n v="51.38"/>
  </r>
  <r>
    <n v="202008"/>
    <x v="7"/>
    <n v="2020"/>
    <s v=" August "/>
    <x v="11"/>
    <x v="1"/>
    <s v="Visayas"/>
    <n v="52.79"/>
  </r>
  <r>
    <n v="202009"/>
    <x v="8"/>
    <n v="2020"/>
    <s v=" September "/>
    <x v="11"/>
    <x v="1"/>
    <s v="Visayas"/>
    <n v="42.38"/>
  </r>
  <r>
    <n v="202010"/>
    <x v="9"/>
    <n v="2020"/>
    <s v=" October "/>
    <x v="11"/>
    <x v="1"/>
    <s v="Visayas"/>
    <n v="56.9"/>
  </r>
  <r>
    <n v="202011"/>
    <x v="10"/>
    <n v="2020"/>
    <s v=" November "/>
    <x v="11"/>
    <x v="1"/>
    <s v="Visayas"/>
    <n v="48.75"/>
  </r>
  <r>
    <n v="202012"/>
    <x v="11"/>
    <n v="2020"/>
    <s v=" December "/>
    <x v="11"/>
    <x v="1"/>
    <s v="Visayas"/>
    <n v="38.869999999999997"/>
  </r>
  <r>
    <n v="202001"/>
    <x v="0"/>
    <n v="2020"/>
    <s v=" January "/>
    <x v="11"/>
    <x v="1"/>
    <s v="Visayas"/>
    <n v="338.52"/>
  </r>
  <r>
    <n v="202002"/>
    <x v="1"/>
    <n v="2020"/>
    <s v=" February "/>
    <x v="11"/>
    <x v="1"/>
    <s v="Visayas"/>
    <n v="204.12"/>
  </r>
  <r>
    <n v="202003"/>
    <x v="2"/>
    <n v="2020"/>
    <s v=" March "/>
    <x v="11"/>
    <x v="1"/>
    <s v="Visayas"/>
    <n v="192.3"/>
  </r>
  <r>
    <n v="202004"/>
    <x v="3"/>
    <n v="2020"/>
    <s v=" April "/>
    <x v="11"/>
    <x v="1"/>
    <s v="Visayas"/>
    <n v="143.34"/>
  </r>
  <r>
    <n v="202005"/>
    <x v="4"/>
    <n v="2020"/>
    <s v=" May "/>
    <x v="11"/>
    <x v="1"/>
    <s v="Visayas"/>
    <n v="175.94"/>
  </r>
  <r>
    <n v="202006"/>
    <x v="5"/>
    <n v="2020"/>
    <s v=" June "/>
    <x v="11"/>
    <x v="1"/>
    <s v="Visayas"/>
    <n v="308.41000000000003"/>
  </r>
  <r>
    <n v="202007"/>
    <x v="6"/>
    <n v="2020"/>
    <s v=" July "/>
    <x v="11"/>
    <x v="1"/>
    <s v="Visayas"/>
    <n v="236.81"/>
  </r>
  <r>
    <n v="202008"/>
    <x v="7"/>
    <n v="2020"/>
    <s v=" August "/>
    <x v="11"/>
    <x v="1"/>
    <s v="Visayas"/>
    <n v="228.3"/>
  </r>
  <r>
    <n v="202009"/>
    <x v="8"/>
    <n v="2020"/>
    <s v=" September "/>
    <x v="11"/>
    <x v="1"/>
    <s v="Visayas"/>
    <n v="213.86"/>
  </r>
  <r>
    <n v="202010"/>
    <x v="9"/>
    <n v="2020"/>
    <s v=" October "/>
    <x v="11"/>
    <x v="1"/>
    <s v="Visayas"/>
    <n v="273.60000000000002"/>
  </r>
  <r>
    <n v="202011"/>
    <x v="10"/>
    <n v="2020"/>
    <s v=" November "/>
    <x v="11"/>
    <x v="1"/>
    <s v="Visayas"/>
    <n v="230.63"/>
  </r>
  <r>
    <n v="202012"/>
    <x v="11"/>
    <n v="2020"/>
    <s v=" December "/>
    <x v="11"/>
    <x v="1"/>
    <s v="Visayas"/>
    <n v="250.86"/>
  </r>
  <r>
    <n v="202001"/>
    <x v="0"/>
    <n v="2020"/>
    <s v=" January "/>
    <x v="12"/>
    <x v="1"/>
    <s v="Mindanao"/>
    <n v="193.58"/>
  </r>
  <r>
    <n v="202002"/>
    <x v="1"/>
    <n v="2020"/>
    <s v=" February "/>
    <x v="12"/>
    <x v="1"/>
    <s v="Mindanao"/>
    <n v="115.91"/>
  </r>
  <r>
    <n v="202003"/>
    <x v="2"/>
    <n v="2020"/>
    <s v=" March "/>
    <x v="12"/>
    <x v="1"/>
    <s v="Mindanao"/>
    <n v="105.32"/>
  </r>
  <r>
    <n v="202004"/>
    <x v="3"/>
    <n v="2020"/>
    <s v=" April "/>
    <x v="12"/>
    <x v="1"/>
    <s v="Mindanao"/>
    <n v="97.05"/>
  </r>
  <r>
    <n v="202005"/>
    <x v="4"/>
    <n v="2020"/>
    <s v=" May "/>
    <x v="12"/>
    <x v="1"/>
    <s v="Mindanao"/>
    <n v="111.35"/>
  </r>
  <r>
    <n v="202006"/>
    <x v="5"/>
    <n v="2020"/>
    <s v=" June "/>
    <x v="12"/>
    <x v="1"/>
    <s v="Mindanao"/>
    <n v="149.72999999999999"/>
  </r>
  <r>
    <n v="202007"/>
    <x v="6"/>
    <n v="2020"/>
    <s v=" July "/>
    <x v="12"/>
    <x v="1"/>
    <s v="Mindanao"/>
    <n v="141.03"/>
  </r>
  <r>
    <n v="202008"/>
    <x v="7"/>
    <n v="2020"/>
    <s v=" August "/>
    <x v="12"/>
    <x v="1"/>
    <s v="Mindanao"/>
    <n v="119.61"/>
  </r>
  <r>
    <n v="202009"/>
    <x v="8"/>
    <n v="2020"/>
    <s v=" September "/>
    <x v="12"/>
    <x v="1"/>
    <s v="Mindanao"/>
    <n v="107.17"/>
  </r>
  <r>
    <n v="202010"/>
    <x v="9"/>
    <n v="2020"/>
    <s v=" October "/>
    <x v="12"/>
    <x v="1"/>
    <s v="Mindanao"/>
    <n v="147.09"/>
  </r>
  <r>
    <n v="202011"/>
    <x v="10"/>
    <n v="2020"/>
    <s v=" November "/>
    <x v="12"/>
    <x v="1"/>
    <s v="Mindanao"/>
    <n v="125.12"/>
  </r>
  <r>
    <n v="202012"/>
    <x v="11"/>
    <n v="2020"/>
    <s v=" December "/>
    <x v="12"/>
    <x v="1"/>
    <s v="Mindanao"/>
    <n v="121.27"/>
  </r>
  <r>
    <n v="202001"/>
    <x v="0"/>
    <n v="2020"/>
    <s v=" January "/>
    <x v="12"/>
    <x v="1"/>
    <s v="Mindanao"/>
    <n v="156.51"/>
  </r>
  <r>
    <n v="202002"/>
    <x v="1"/>
    <n v="2020"/>
    <s v=" February "/>
    <x v="12"/>
    <x v="1"/>
    <s v="Mindanao"/>
    <n v="80.41"/>
  </r>
  <r>
    <n v="202003"/>
    <x v="2"/>
    <n v="2020"/>
    <s v=" March "/>
    <x v="12"/>
    <x v="1"/>
    <s v="Mindanao"/>
    <n v="97.63"/>
  </r>
  <r>
    <n v="202004"/>
    <x v="3"/>
    <n v="2020"/>
    <s v=" April "/>
    <x v="12"/>
    <x v="1"/>
    <s v="Mindanao"/>
    <n v="64.459999999999994"/>
  </r>
  <r>
    <n v="202005"/>
    <x v="4"/>
    <n v="2020"/>
    <s v=" May "/>
    <x v="12"/>
    <x v="1"/>
    <s v="Mindanao"/>
    <n v="80.48"/>
  </r>
  <r>
    <n v="202006"/>
    <x v="5"/>
    <n v="2020"/>
    <s v=" June "/>
    <x v="12"/>
    <x v="1"/>
    <s v="Mindanao"/>
    <n v="116.88"/>
  </r>
  <r>
    <n v="202007"/>
    <x v="6"/>
    <n v="2020"/>
    <s v=" July "/>
    <x v="12"/>
    <x v="1"/>
    <s v="Mindanao"/>
    <n v="113.73"/>
  </r>
  <r>
    <n v="202008"/>
    <x v="7"/>
    <n v="2020"/>
    <s v=" August "/>
    <x v="12"/>
    <x v="1"/>
    <s v="Mindanao"/>
    <n v="95.83"/>
  </r>
  <r>
    <n v="202009"/>
    <x v="8"/>
    <n v="2020"/>
    <s v=" September "/>
    <x v="12"/>
    <x v="1"/>
    <s v="Mindanao"/>
    <n v="88.12"/>
  </r>
  <r>
    <n v="202010"/>
    <x v="9"/>
    <n v="2020"/>
    <s v=" October "/>
    <x v="12"/>
    <x v="1"/>
    <s v="Mindanao"/>
    <n v="113.4"/>
  </r>
  <r>
    <n v="202011"/>
    <x v="10"/>
    <n v="2020"/>
    <s v=" November "/>
    <x v="12"/>
    <x v="1"/>
    <s v="Mindanao"/>
    <n v="104.41"/>
  </r>
  <r>
    <n v="202012"/>
    <x v="11"/>
    <n v="2020"/>
    <s v=" December "/>
    <x v="12"/>
    <x v="1"/>
    <s v="Mindanao"/>
    <n v="112.48"/>
  </r>
  <r>
    <n v="202001"/>
    <x v="0"/>
    <n v="2020"/>
    <s v=" January "/>
    <x v="12"/>
    <x v="1"/>
    <s v="Mindanao"/>
    <n v="56.88"/>
  </r>
  <r>
    <n v="202002"/>
    <x v="1"/>
    <n v="2020"/>
    <s v=" February "/>
    <x v="12"/>
    <x v="1"/>
    <s v="Mindanao"/>
    <n v="33.97"/>
  </r>
  <r>
    <n v="202003"/>
    <x v="2"/>
    <n v="2020"/>
    <s v=" March "/>
    <x v="12"/>
    <x v="1"/>
    <s v="Mindanao"/>
    <n v="33.159999999999997"/>
  </r>
  <r>
    <n v="202004"/>
    <x v="3"/>
    <n v="2020"/>
    <s v=" April "/>
    <x v="12"/>
    <x v="1"/>
    <s v="Mindanao"/>
    <n v="24.69"/>
  </r>
  <r>
    <n v="202005"/>
    <x v="4"/>
    <n v="2020"/>
    <s v=" May "/>
    <x v="12"/>
    <x v="1"/>
    <s v="Mindanao"/>
    <n v="38.15"/>
  </r>
  <r>
    <n v="202006"/>
    <x v="5"/>
    <n v="2020"/>
    <s v=" June "/>
    <x v="12"/>
    <x v="1"/>
    <s v="Mindanao"/>
    <n v="42.8"/>
  </r>
  <r>
    <n v="202007"/>
    <x v="6"/>
    <n v="2020"/>
    <s v=" July "/>
    <x v="12"/>
    <x v="1"/>
    <s v="Mindanao"/>
    <n v="47.47"/>
  </r>
  <r>
    <n v="202008"/>
    <x v="7"/>
    <n v="2020"/>
    <s v=" August "/>
    <x v="12"/>
    <x v="1"/>
    <s v="Mindanao"/>
    <n v="43.74"/>
  </r>
  <r>
    <n v="202009"/>
    <x v="8"/>
    <n v="2020"/>
    <s v=" September "/>
    <x v="12"/>
    <x v="1"/>
    <s v="Mindanao"/>
    <n v="39.67"/>
  </r>
  <r>
    <n v="202010"/>
    <x v="9"/>
    <n v="2020"/>
    <s v=" October "/>
    <x v="12"/>
    <x v="1"/>
    <s v="Mindanao"/>
    <n v="44.34"/>
  </r>
  <r>
    <n v="202011"/>
    <x v="10"/>
    <n v="2020"/>
    <s v=" November "/>
    <x v="12"/>
    <x v="1"/>
    <s v="Mindanao"/>
    <n v="33.97"/>
  </r>
  <r>
    <n v="202012"/>
    <x v="11"/>
    <n v="2020"/>
    <s v=" December "/>
    <x v="12"/>
    <x v="1"/>
    <s v="Mindanao"/>
    <n v="38.69"/>
  </r>
  <r>
    <n v="202001"/>
    <x v="0"/>
    <n v="2020"/>
    <s v=" January "/>
    <x v="12"/>
    <x v="1"/>
    <s v="Mindanao"/>
    <n v="283.12"/>
  </r>
  <r>
    <n v="202002"/>
    <x v="1"/>
    <n v="2020"/>
    <s v=" February "/>
    <x v="12"/>
    <x v="1"/>
    <s v="Mindanao"/>
    <n v="179.87"/>
  </r>
  <r>
    <n v="202003"/>
    <x v="2"/>
    <n v="2020"/>
    <s v=" March "/>
    <x v="12"/>
    <x v="1"/>
    <s v="Mindanao"/>
    <n v="150.94"/>
  </r>
  <r>
    <n v="202004"/>
    <x v="3"/>
    <n v="2020"/>
    <s v=" April "/>
    <x v="12"/>
    <x v="1"/>
    <s v="Mindanao"/>
    <n v="94.89"/>
  </r>
  <r>
    <n v="202005"/>
    <x v="4"/>
    <n v="2020"/>
    <s v=" May "/>
    <x v="12"/>
    <x v="1"/>
    <s v="Mindanao"/>
    <n v="115.94"/>
  </r>
  <r>
    <n v="202006"/>
    <x v="5"/>
    <n v="2020"/>
    <s v=" June "/>
    <x v="12"/>
    <x v="1"/>
    <s v="Mindanao"/>
    <n v="287.16000000000003"/>
  </r>
  <r>
    <n v="202007"/>
    <x v="6"/>
    <n v="2020"/>
    <s v=" July "/>
    <x v="12"/>
    <x v="1"/>
    <s v="Mindanao"/>
    <n v="183.88"/>
  </r>
  <r>
    <n v="202008"/>
    <x v="7"/>
    <n v="2020"/>
    <s v=" August "/>
    <x v="12"/>
    <x v="1"/>
    <s v="Mindanao"/>
    <n v="186.49"/>
  </r>
  <r>
    <n v="202009"/>
    <x v="8"/>
    <n v="2020"/>
    <s v=" September "/>
    <x v="12"/>
    <x v="1"/>
    <s v="Mindanao"/>
    <n v="188.63"/>
  </r>
  <r>
    <n v="202010"/>
    <x v="9"/>
    <n v="2020"/>
    <s v=" October "/>
    <x v="12"/>
    <x v="1"/>
    <s v="Mindanao"/>
    <n v="210.23"/>
  </r>
  <r>
    <n v="202011"/>
    <x v="10"/>
    <n v="2020"/>
    <s v=" November "/>
    <x v="12"/>
    <x v="1"/>
    <s v="Mindanao"/>
    <n v="219.68"/>
  </r>
  <r>
    <n v="202012"/>
    <x v="11"/>
    <n v="2020"/>
    <s v=" December "/>
    <x v="12"/>
    <x v="1"/>
    <s v="Mindanao"/>
    <n v="219.79"/>
  </r>
  <r>
    <n v="202001"/>
    <x v="0"/>
    <n v="2020"/>
    <s v=" January "/>
    <x v="13"/>
    <x v="1"/>
    <s v="Mindanao"/>
    <n v="246.39"/>
  </r>
  <r>
    <n v="202002"/>
    <x v="1"/>
    <n v="2020"/>
    <s v=" February "/>
    <x v="13"/>
    <x v="1"/>
    <s v="Mindanao"/>
    <n v="121.16"/>
  </r>
  <r>
    <n v="202003"/>
    <x v="2"/>
    <n v="2020"/>
    <s v=" March "/>
    <x v="13"/>
    <x v="1"/>
    <s v="Mindanao"/>
    <n v="134.11000000000001"/>
  </r>
  <r>
    <n v="202004"/>
    <x v="3"/>
    <n v="2020"/>
    <s v=" April "/>
    <x v="13"/>
    <x v="1"/>
    <s v="Mindanao"/>
    <n v="104.72"/>
  </r>
  <r>
    <n v="202005"/>
    <x v="4"/>
    <n v="2020"/>
    <s v=" May "/>
    <x v="13"/>
    <x v="1"/>
    <s v="Mindanao"/>
    <n v="153.93"/>
  </r>
  <r>
    <n v="202006"/>
    <x v="5"/>
    <n v="2020"/>
    <s v=" June "/>
    <x v="13"/>
    <x v="1"/>
    <s v="Mindanao"/>
    <n v="203.04"/>
  </r>
  <r>
    <n v="202007"/>
    <x v="6"/>
    <n v="2020"/>
    <s v=" July "/>
    <x v="13"/>
    <x v="1"/>
    <s v="Mindanao"/>
    <n v="155.07"/>
  </r>
  <r>
    <n v="202008"/>
    <x v="7"/>
    <n v="2020"/>
    <s v=" August "/>
    <x v="13"/>
    <x v="1"/>
    <s v="Mindanao"/>
    <n v="165.7"/>
  </r>
  <r>
    <n v="202009"/>
    <x v="8"/>
    <n v="2020"/>
    <s v=" September "/>
    <x v="13"/>
    <x v="1"/>
    <s v="Mindanao"/>
    <n v="161.46"/>
  </r>
  <r>
    <n v="202010"/>
    <x v="9"/>
    <n v="2020"/>
    <s v=" October "/>
    <x v="13"/>
    <x v="1"/>
    <s v="Mindanao"/>
    <n v="194.66"/>
  </r>
  <r>
    <n v="202011"/>
    <x v="10"/>
    <n v="2020"/>
    <s v=" November "/>
    <x v="13"/>
    <x v="1"/>
    <s v="Mindanao"/>
    <n v="186.99"/>
  </r>
  <r>
    <n v="202012"/>
    <x v="11"/>
    <n v="2020"/>
    <s v=" December "/>
    <x v="13"/>
    <x v="1"/>
    <s v="Mindanao"/>
    <n v="210.8"/>
  </r>
  <r>
    <n v="202001"/>
    <x v="0"/>
    <n v="2020"/>
    <s v=" January "/>
    <x v="13"/>
    <x v="1"/>
    <s v="Mindanao"/>
    <n v="156.66999999999999"/>
  </r>
  <r>
    <n v="202002"/>
    <x v="1"/>
    <n v="2020"/>
    <s v=" February "/>
    <x v="13"/>
    <x v="1"/>
    <s v="Mindanao"/>
    <n v="116.16"/>
  </r>
  <r>
    <n v="202003"/>
    <x v="2"/>
    <n v="2020"/>
    <s v=" March "/>
    <x v="13"/>
    <x v="1"/>
    <s v="Mindanao"/>
    <n v="98.32"/>
  </r>
  <r>
    <n v="202004"/>
    <x v="3"/>
    <n v="2020"/>
    <s v=" April "/>
    <x v="13"/>
    <x v="1"/>
    <s v="Mindanao"/>
    <n v="84.99"/>
  </r>
  <r>
    <n v="202005"/>
    <x v="4"/>
    <n v="2020"/>
    <s v=" May "/>
    <x v="13"/>
    <x v="1"/>
    <s v="Mindanao"/>
    <n v="94.26"/>
  </r>
  <r>
    <n v="202006"/>
    <x v="5"/>
    <n v="2020"/>
    <s v=" June "/>
    <x v="13"/>
    <x v="1"/>
    <s v="Mindanao"/>
    <n v="156.05000000000001"/>
  </r>
  <r>
    <n v="202007"/>
    <x v="6"/>
    <n v="2020"/>
    <s v=" July "/>
    <x v="13"/>
    <x v="1"/>
    <s v="Mindanao"/>
    <n v="146.91999999999999"/>
  </r>
  <r>
    <n v="202008"/>
    <x v="7"/>
    <n v="2020"/>
    <s v=" August "/>
    <x v="13"/>
    <x v="1"/>
    <s v="Mindanao"/>
    <n v="155.94999999999999"/>
  </r>
  <r>
    <n v="202009"/>
    <x v="8"/>
    <n v="2020"/>
    <s v=" September "/>
    <x v="13"/>
    <x v="1"/>
    <s v="Mindanao"/>
    <n v="104.2"/>
  </r>
  <r>
    <n v="202010"/>
    <x v="9"/>
    <n v="2020"/>
    <s v=" October "/>
    <x v="13"/>
    <x v="1"/>
    <s v="Mindanao"/>
    <n v="122.96"/>
  </r>
  <r>
    <n v="202011"/>
    <x v="10"/>
    <n v="2020"/>
    <s v=" November "/>
    <x v="13"/>
    <x v="1"/>
    <s v="Mindanao"/>
    <n v="125.77"/>
  </r>
  <r>
    <n v="202012"/>
    <x v="11"/>
    <n v="2020"/>
    <s v=" December "/>
    <x v="13"/>
    <x v="1"/>
    <s v="Mindanao"/>
    <n v="128.44"/>
  </r>
  <r>
    <n v="202001"/>
    <x v="0"/>
    <n v="2020"/>
    <s v=" January "/>
    <x v="13"/>
    <x v="1"/>
    <s v="Mindanao"/>
    <n v="139.56"/>
  </r>
  <r>
    <n v="202002"/>
    <x v="1"/>
    <n v="2020"/>
    <s v=" February "/>
    <x v="13"/>
    <x v="1"/>
    <s v="Mindanao"/>
    <n v="74.33"/>
  </r>
  <r>
    <n v="202003"/>
    <x v="2"/>
    <n v="2020"/>
    <s v=" March "/>
    <x v="13"/>
    <x v="1"/>
    <s v="Mindanao"/>
    <n v="67.63"/>
  </r>
  <r>
    <n v="202004"/>
    <x v="3"/>
    <n v="2020"/>
    <s v=" April "/>
    <x v="13"/>
    <x v="1"/>
    <s v="Mindanao"/>
    <n v="62.51"/>
  </r>
  <r>
    <n v="202005"/>
    <x v="4"/>
    <n v="2020"/>
    <s v=" May "/>
    <x v="13"/>
    <x v="1"/>
    <s v="Mindanao"/>
    <n v="68.180000000000007"/>
  </r>
  <r>
    <n v="202006"/>
    <x v="5"/>
    <n v="2020"/>
    <s v=" June "/>
    <x v="13"/>
    <x v="1"/>
    <s v="Mindanao"/>
    <n v="109.31"/>
  </r>
  <r>
    <n v="202007"/>
    <x v="6"/>
    <n v="2020"/>
    <s v=" July "/>
    <x v="13"/>
    <x v="1"/>
    <s v="Mindanao"/>
    <n v="95.29"/>
  </r>
  <r>
    <n v="202008"/>
    <x v="7"/>
    <n v="2020"/>
    <s v=" August "/>
    <x v="13"/>
    <x v="1"/>
    <s v="Mindanao"/>
    <n v="91.81"/>
  </r>
  <r>
    <n v="202009"/>
    <x v="8"/>
    <n v="2020"/>
    <s v=" September "/>
    <x v="13"/>
    <x v="1"/>
    <s v="Mindanao"/>
    <n v="77.2"/>
  </r>
  <r>
    <n v="202010"/>
    <x v="9"/>
    <n v="2020"/>
    <s v=" October "/>
    <x v="13"/>
    <x v="1"/>
    <s v="Mindanao"/>
    <n v="94.87"/>
  </r>
  <r>
    <n v="202011"/>
    <x v="10"/>
    <n v="2020"/>
    <s v=" November "/>
    <x v="13"/>
    <x v="1"/>
    <s v="Mindanao"/>
    <n v="103.66"/>
  </r>
  <r>
    <n v="202012"/>
    <x v="11"/>
    <n v="2020"/>
    <s v=" December "/>
    <x v="13"/>
    <x v="1"/>
    <s v="Mindanao"/>
    <n v="109.46"/>
  </r>
  <r>
    <n v="202001"/>
    <x v="0"/>
    <n v="2020"/>
    <s v=" January "/>
    <x v="13"/>
    <x v="1"/>
    <s v="Mindanao"/>
    <n v="46.73"/>
  </r>
  <r>
    <n v="202002"/>
    <x v="1"/>
    <n v="2020"/>
    <s v=" February "/>
    <x v="13"/>
    <x v="1"/>
    <s v="Mindanao"/>
    <n v="38.56"/>
  </r>
  <r>
    <n v="202003"/>
    <x v="2"/>
    <n v="2020"/>
    <s v=" March "/>
    <x v="13"/>
    <x v="1"/>
    <s v="Mindanao"/>
    <n v="40.840000000000003"/>
  </r>
  <r>
    <n v="202004"/>
    <x v="3"/>
    <n v="2020"/>
    <s v=" April "/>
    <x v="13"/>
    <x v="1"/>
    <s v="Mindanao"/>
    <n v="24.38"/>
  </r>
  <r>
    <n v="202005"/>
    <x v="4"/>
    <n v="2020"/>
    <s v=" May "/>
    <x v="13"/>
    <x v="1"/>
    <s v="Mindanao"/>
    <n v="41.65"/>
  </r>
  <r>
    <n v="202006"/>
    <x v="5"/>
    <n v="2020"/>
    <s v=" June "/>
    <x v="13"/>
    <x v="1"/>
    <s v="Mindanao"/>
    <n v="47.92"/>
  </r>
  <r>
    <n v="202007"/>
    <x v="6"/>
    <n v="2020"/>
    <s v=" July "/>
    <x v="13"/>
    <x v="1"/>
    <s v="Mindanao"/>
    <n v="40.26"/>
  </r>
  <r>
    <n v="202008"/>
    <x v="7"/>
    <n v="2020"/>
    <s v=" August "/>
    <x v="13"/>
    <x v="1"/>
    <s v="Mindanao"/>
    <n v="46.23"/>
  </r>
  <r>
    <n v="202009"/>
    <x v="8"/>
    <n v="2020"/>
    <s v=" September "/>
    <x v="13"/>
    <x v="1"/>
    <s v="Mindanao"/>
    <n v="38.630000000000003"/>
  </r>
  <r>
    <n v="202010"/>
    <x v="9"/>
    <n v="2020"/>
    <s v=" October "/>
    <x v="13"/>
    <x v="1"/>
    <s v="Mindanao"/>
    <n v="50.38"/>
  </r>
  <r>
    <n v="202011"/>
    <x v="10"/>
    <n v="2020"/>
    <s v=" November "/>
    <x v="13"/>
    <x v="1"/>
    <s v="Mindanao"/>
    <n v="57.56"/>
  </r>
  <r>
    <n v="202012"/>
    <x v="11"/>
    <n v="2020"/>
    <s v=" December "/>
    <x v="13"/>
    <x v="1"/>
    <s v="Mindanao"/>
    <n v="54.27"/>
  </r>
  <r>
    <n v="202001"/>
    <x v="0"/>
    <n v="2020"/>
    <s v=" January "/>
    <x v="13"/>
    <x v="1"/>
    <s v="Mindanao"/>
    <n v="735.71"/>
  </r>
  <r>
    <n v="202002"/>
    <x v="1"/>
    <n v="2020"/>
    <s v=" February "/>
    <x v="13"/>
    <x v="1"/>
    <s v="Mindanao"/>
    <n v="482.87"/>
  </r>
  <r>
    <n v="202003"/>
    <x v="2"/>
    <n v="2020"/>
    <s v=" March "/>
    <x v="13"/>
    <x v="1"/>
    <s v="Mindanao"/>
    <n v="383.73"/>
  </r>
  <r>
    <n v="202004"/>
    <x v="3"/>
    <n v="2020"/>
    <s v=" April "/>
    <x v="13"/>
    <x v="1"/>
    <s v="Mindanao"/>
    <n v="274.83999999999997"/>
  </r>
  <r>
    <n v="202005"/>
    <x v="4"/>
    <n v="2020"/>
    <s v=" May "/>
    <x v="13"/>
    <x v="1"/>
    <s v="Mindanao"/>
    <n v="270.27"/>
  </r>
  <r>
    <n v="202006"/>
    <x v="5"/>
    <n v="2020"/>
    <s v=" June "/>
    <x v="13"/>
    <x v="1"/>
    <s v="Mindanao"/>
    <n v="573.9"/>
  </r>
  <r>
    <n v="202007"/>
    <x v="6"/>
    <n v="2020"/>
    <s v=" July "/>
    <x v="13"/>
    <x v="1"/>
    <s v="Mindanao"/>
    <n v="442.6"/>
  </r>
  <r>
    <n v="202008"/>
    <x v="7"/>
    <n v="2020"/>
    <s v=" August "/>
    <x v="13"/>
    <x v="1"/>
    <s v="Mindanao"/>
    <n v="427"/>
  </r>
  <r>
    <n v="202009"/>
    <x v="8"/>
    <n v="2020"/>
    <s v=" September "/>
    <x v="13"/>
    <x v="1"/>
    <s v="Mindanao"/>
    <n v="387.47"/>
  </r>
  <r>
    <n v="202010"/>
    <x v="9"/>
    <n v="2020"/>
    <s v=" October "/>
    <x v="13"/>
    <x v="1"/>
    <s v="Mindanao"/>
    <n v="442.44"/>
  </r>
  <r>
    <n v="202011"/>
    <x v="10"/>
    <n v="2020"/>
    <s v=" November "/>
    <x v="13"/>
    <x v="1"/>
    <s v="Mindanao"/>
    <n v="424.11"/>
  </r>
  <r>
    <n v="202012"/>
    <x v="11"/>
    <n v="2020"/>
    <s v=" December "/>
    <x v="13"/>
    <x v="1"/>
    <s v="Mindanao"/>
    <n v="449.29"/>
  </r>
  <r>
    <n v="202001"/>
    <x v="0"/>
    <n v="2020"/>
    <s v=" January "/>
    <x v="14"/>
    <x v="1"/>
    <s v="Mindanao"/>
    <n v="335.39"/>
  </r>
  <r>
    <n v="202002"/>
    <x v="1"/>
    <n v="2020"/>
    <s v=" February "/>
    <x v="14"/>
    <x v="1"/>
    <s v="Mindanao"/>
    <n v="198.52"/>
  </r>
  <r>
    <n v="202003"/>
    <x v="2"/>
    <n v="2020"/>
    <s v=" March "/>
    <x v="14"/>
    <x v="1"/>
    <s v="Mindanao"/>
    <n v="212.01"/>
  </r>
  <r>
    <n v="202004"/>
    <x v="3"/>
    <n v="2020"/>
    <s v=" April "/>
    <x v="14"/>
    <x v="1"/>
    <s v="Mindanao"/>
    <n v="136.78"/>
  </r>
  <r>
    <n v="202005"/>
    <x v="4"/>
    <n v="2020"/>
    <s v=" May "/>
    <x v="14"/>
    <x v="1"/>
    <s v="Mindanao"/>
    <n v="168.22"/>
  </r>
  <r>
    <n v="202006"/>
    <x v="5"/>
    <n v="2020"/>
    <s v=" June "/>
    <x v="14"/>
    <x v="1"/>
    <s v="Mindanao"/>
    <n v="373.3"/>
  </r>
  <r>
    <n v="202007"/>
    <x v="6"/>
    <n v="2020"/>
    <s v=" July "/>
    <x v="14"/>
    <x v="1"/>
    <s v="Mindanao"/>
    <n v="233.53"/>
  </r>
  <r>
    <n v="202008"/>
    <x v="7"/>
    <n v="2020"/>
    <s v=" August "/>
    <x v="14"/>
    <x v="1"/>
    <s v="Mindanao"/>
    <n v="263.18"/>
  </r>
  <r>
    <n v="202009"/>
    <x v="8"/>
    <n v="2020"/>
    <s v=" September "/>
    <x v="14"/>
    <x v="1"/>
    <s v="Mindanao"/>
    <n v="213.22"/>
  </r>
  <r>
    <n v="202010"/>
    <x v="9"/>
    <n v="2020"/>
    <s v=" October "/>
    <x v="14"/>
    <x v="1"/>
    <s v="Mindanao"/>
    <n v="291.52999999999997"/>
  </r>
  <r>
    <n v="202011"/>
    <x v="10"/>
    <n v="2020"/>
    <s v=" November "/>
    <x v="14"/>
    <x v="1"/>
    <s v="Mindanao"/>
    <n v="265.14999999999998"/>
  </r>
  <r>
    <n v="202012"/>
    <x v="11"/>
    <n v="2020"/>
    <s v=" December "/>
    <x v="14"/>
    <x v="1"/>
    <s v="Mindanao"/>
    <n v="283.3"/>
  </r>
  <r>
    <n v="202001"/>
    <x v="0"/>
    <n v="2020"/>
    <s v=" January "/>
    <x v="14"/>
    <x v="1"/>
    <s v="Mindanao"/>
    <n v="162.43"/>
  </r>
  <r>
    <n v="202002"/>
    <x v="1"/>
    <n v="2020"/>
    <s v=" February "/>
    <x v="14"/>
    <x v="1"/>
    <s v="Mindanao"/>
    <n v="80.56"/>
  </r>
  <r>
    <n v="202003"/>
    <x v="2"/>
    <n v="2020"/>
    <s v=" March "/>
    <x v="14"/>
    <x v="1"/>
    <s v="Mindanao"/>
    <n v="65.290000000000006"/>
  </r>
  <r>
    <n v="202004"/>
    <x v="3"/>
    <n v="2020"/>
    <s v=" April "/>
    <x v="14"/>
    <x v="1"/>
    <s v="Mindanao"/>
    <n v="45.93"/>
  </r>
  <r>
    <n v="202005"/>
    <x v="4"/>
    <n v="2020"/>
    <s v=" May "/>
    <x v="14"/>
    <x v="1"/>
    <s v="Mindanao"/>
    <n v="62.31"/>
  </r>
  <r>
    <n v="202006"/>
    <x v="5"/>
    <n v="2020"/>
    <s v=" June "/>
    <x v="14"/>
    <x v="1"/>
    <s v="Mindanao"/>
    <n v="95.68"/>
  </r>
  <r>
    <n v="202007"/>
    <x v="6"/>
    <n v="2020"/>
    <s v=" July "/>
    <x v="14"/>
    <x v="1"/>
    <s v="Mindanao"/>
    <n v="94.18"/>
  </r>
  <r>
    <n v="202008"/>
    <x v="7"/>
    <n v="2020"/>
    <s v=" August "/>
    <x v="14"/>
    <x v="1"/>
    <s v="Mindanao"/>
    <n v="92.24"/>
  </r>
  <r>
    <n v="202009"/>
    <x v="8"/>
    <n v="2020"/>
    <s v=" September "/>
    <x v="14"/>
    <x v="1"/>
    <s v="Mindanao"/>
    <n v="85.21"/>
  </r>
  <r>
    <n v="202010"/>
    <x v="9"/>
    <n v="2020"/>
    <s v=" October "/>
    <x v="14"/>
    <x v="1"/>
    <s v="Mindanao"/>
    <n v="83.94"/>
  </r>
  <r>
    <n v="202011"/>
    <x v="10"/>
    <n v="2020"/>
    <s v=" November "/>
    <x v="14"/>
    <x v="1"/>
    <s v="Mindanao"/>
    <n v="112.9"/>
  </r>
  <r>
    <n v="202012"/>
    <x v="11"/>
    <n v="2020"/>
    <s v=" December "/>
    <x v="14"/>
    <x v="1"/>
    <s v="Mindanao"/>
    <n v="84.31"/>
  </r>
  <r>
    <n v="202001"/>
    <x v="0"/>
    <n v="2020"/>
    <s v=" January "/>
    <x v="14"/>
    <x v="1"/>
    <s v="Mindanao"/>
    <n v="74.680000000000007"/>
  </r>
  <r>
    <n v="202002"/>
    <x v="1"/>
    <n v="2020"/>
    <s v=" February "/>
    <x v="14"/>
    <x v="1"/>
    <s v="Mindanao"/>
    <n v="41.59"/>
  </r>
  <r>
    <n v="202003"/>
    <x v="2"/>
    <n v="2020"/>
    <s v=" March "/>
    <x v="14"/>
    <x v="1"/>
    <s v="Mindanao"/>
    <n v="50.05"/>
  </r>
  <r>
    <n v="202004"/>
    <x v="3"/>
    <n v="2020"/>
    <s v=" April "/>
    <x v="14"/>
    <x v="1"/>
    <s v="Mindanao"/>
    <n v="42.41"/>
  </r>
  <r>
    <n v="202005"/>
    <x v="4"/>
    <n v="2020"/>
    <s v=" May "/>
    <x v="14"/>
    <x v="1"/>
    <s v="Mindanao"/>
    <n v="46.47"/>
  </r>
  <r>
    <n v="202006"/>
    <x v="5"/>
    <n v="2020"/>
    <s v=" June "/>
    <x v="14"/>
    <x v="1"/>
    <s v="Mindanao"/>
    <n v="64.69"/>
  </r>
  <r>
    <n v="202007"/>
    <x v="6"/>
    <n v="2020"/>
    <s v=" July "/>
    <x v="14"/>
    <x v="1"/>
    <s v="Mindanao"/>
    <n v="49.66"/>
  </r>
  <r>
    <n v="202008"/>
    <x v="7"/>
    <n v="2020"/>
    <s v=" August "/>
    <x v="14"/>
    <x v="1"/>
    <s v="Mindanao"/>
    <n v="50.84"/>
  </r>
  <r>
    <n v="202009"/>
    <x v="8"/>
    <n v="2020"/>
    <s v=" September "/>
    <x v="14"/>
    <x v="1"/>
    <s v="Mindanao"/>
    <n v="54.18"/>
  </r>
  <r>
    <n v="202010"/>
    <x v="9"/>
    <n v="2020"/>
    <s v=" October "/>
    <x v="14"/>
    <x v="1"/>
    <s v="Mindanao"/>
    <n v="65.23"/>
  </r>
  <r>
    <n v="202011"/>
    <x v="10"/>
    <n v="2020"/>
    <s v=" November "/>
    <x v="14"/>
    <x v="1"/>
    <s v="Mindanao"/>
    <n v="50.42"/>
  </r>
  <r>
    <n v="202012"/>
    <x v="11"/>
    <n v="2020"/>
    <s v=" December "/>
    <x v="14"/>
    <x v="1"/>
    <s v="Mindanao"/>
    <n v="53.34"/>
  </r>
  <r>
    <n v="202001"/>
    <x v="0"/>
    <n v="2020"/>
    <s v=" January "/>
    <x v="14"/>
    <x v="1"/>
    <s v="Mindanao"/>
    <n v="1257.52"/>
  </r>
  <r>
    <n v="202002"/>
    <x v="1"/>
    <n v="2020"/>
    <s v=" February "/>
    <x v="14"/>
    <x v="1"/>
    <s v="Mindanao"/>
    <n v="860.36"/>
  </r>
  <r>
    <n v="202003"/>
    <x v="2"/>
    <n v="2020"/>
    <s v=" March "/>
    <x v="14"/>
    <x v="1"/>
    <s v="Mindanao"/>
    <n v="844.75"/>
  </r>
  <r>
    <n v="202004"/>
    <x v="3"/>
    <n v="2020"/>
    <s v=" April "/>
    <x v="14"/>
    <x v="1"/>
    <s v="Mindanao"/>
    <n v="325.44"/>
  </r>
  <r>
    <n v="202005"/>
    <x v="4"/>
    <n v="2020"/>
    <s v=" May "/>
    <x v="14"/>
    <x v="1"/>
    <s v="Mindanao"/>
    <n v="471.36"/>
  </r>
  <r>
    <n v="202006"/>
    <x v="5"/>
    <n v="2020"/>
    <s v=" June "/>
    <x v="14"/>
    <x v="1"/>
    <s v="Mindanao"/>
    <n v="1786"/>
  </r>
  <r>
    <n v="202007"/>
    <x v="6"/>
    <n v="2020"/>
    <s v=" July "/>
    <x v="14"/>
    <x v="1"/>
    <s v="Mindanao"/>
    <n v="819.14"/>
  </r>
  <r>
    <n v="202008"/>
    <x v="7"/>
    <n v="2020"/>
    <s v=" August "/>
    <x v="14"/>
    <x v="1"/>
    <s v="Mindanao"/>
    <n v="895.69"/>
  </r>
  <r>
    <n v="202009"/>
    <x v="8"/>
    <n v="2020"/>
    <s v=" September "/>
    <x v="14"/>
    <x v="1"/>
    <s v="Mindanao"/>
    <n v="760.36"/>
  </r>
  <r>
    <n v="202010"/>
    <x v="9"/>
    <n v="2020"/>
    <s v=" October "/>
    <x v="14"/>
    <x v="1"/>
    <s v="Mindanao"/>
    <n v="1118.5899999999999"/>
  </r>
  <r>
    <n v="202011"/>
    <x v="10"/>
    <n v="2020"/>
    <s v=" November "/>
    <x v="14"/>
    <x v="1"/>
    <s v="Mindanao"/>
    <n v="1022.95"/>
  </r>
  <r>
    <n v="202012"/>
    <x v="11"/>
    <n v="2020"/>
    <s v=" December "/>
    <x v="14"/>
    <x v="1"/>
    <s v="Mindanao"/>
    <n v="922.54"/>
  </r>
  <r>
    <n v="202001"/>
    <x v="0"/>
    <n v="2020"/>
    <s v=" January "/>
    <x v="14"/>
    <x v="1"/>
    <s v="Mindanao"/>
    <n v="1794.28"/>
  </r>
  <r>
    <n v="202002"/>
    <x v="1"/>
    <n v="2020"/>
    <s v=" February "/>
    <x v="14"/>
    <x v="1"/>
    <s v="Mindanao"/>
    <n v="920.82"/>
  </r>
  <r>
    <n v="202003"/>
    <x v="2"/>
    <n v="2020"/>
    <s v=" March "/>
    <x v="14"/>
    <x v="1"/>
    <s v="Mindanao"/>
    <n v="928.01"/>
  </r>
  <r>
    <n v="202004"/>
    <x v="3"/>
    <n v="2020"/>
    <s v=" April "/>
    <x v="14"/>
    <x v="1"/>
    <s v="Mindanao"/>
    <n v="823.09"/>
  </r>
  <r>
    <n v="202005"/>
    <x v="4"/>
    <n v="2020"/>
    <s v=" May "/>
    <x v="14"/>
    <x v="1"/>
    <s v="Mindanao"/>
    <n v="898.57"/>
  </r>
  <r>
    <n v="202006"/>
    <x v="5"/>
    <n v="2020"/>
    <s v=" June "/>
    <x v="14"/>
    <x v="1"/>
    <s v="Mindanao"/>
    <n v="2625.55"/>
  </r>
  <r>
    <n v="202007"/>
    <x v="6"/>
    <n v="2020"/>
    <s v=" July "/>
    <x v="14"/>
    <x v="1"/>
    <s v="Mindanao"/>
    <n v="1530.73"/>
  </r>
  <r>
    <n v="202008"/>
    <x v="7"/>
    <n v="2020"/>
    <s v=" August "/>
    <x v="14"/>
    <x v="1"/>
    <s v="Mindanao"/>
    <n v="1300.6500000000001"/>
  </r>
  <r>
    <n v="202009"/>
    <x v="8"/>
    <n v="2020"/>
    <s v=" September "/>
    <x v="14"/>
    <x v="1"/>
    <s v="Mindanao"/>
    <n v="1437.32"/>
  </r>
  <r>
    <n v="202010"/>
    <x v="9"/>
    <n v="2020"/>
    <s v=" October "/>
    <x v="14"/>
    <x v="1"/>
    <s v="Mindanao"/>
    <n v="1115.1400000000001"/>
  </r>
  <r>
    <n v="202011"/>
    <x v="10"/>
    <n v="2020"/>
    <s v=" November "/>
    <x v="14"/>
    <x v="1"/>
    <s v="Mindanao"/>
    <n v="1697.46"/>
  </r>
  <r>
    <n v="202012"/>
    <x v="11"/>
    <n v="2020"/>
    <s v=" December "/>
    <x v="14"/>
    <x v="1"/>
    <s v="Mindanao"/>
    <n v="1022.2"/>
  </r>
  <r>
    <n v="202001"/>
    <x v="0"/>
    <n v="2020"/>
    <s v=" January "/>
    <x v="15"/>
    <x v="1"/>
    <s v="Mindanao"/>
    <n v="153.05000000000001"/>
  </r>
  <r>
    <n v="202002"/>
    <x v="1"/>
    <n v="2020"/>
    <s v=" February "/>
    <x v="15"/>
    <x v="1"/>
    <s v="Mindanao"/>
    <n v="89.68"/>
  </r>
  <r>
    <n v="202003"/>
    <x v="2"/>
    <n v="2020"/>
    <s v=" March "/>
    <x v="15"/>
    <x v="1"/>
    <s v="Mindanao"/>
    <n v="98.52"/>
  </r>
  <r>
    <n v="202004"/>
    <x v="3"/>
    <n v="2020"/>
    <s v=" April "/>
    <x v="15"/>
    <x v="1"/>
    <s v="Mindanao"/>
    <n v="62.01"/>
  </r>
  <r>
    <n v="202005"/>
    <x v="4"/>
    <n v="2020"/>
    <s v=" May "/>
    <x v="15"/>
    <x v="1"/>
    <s v="Mindanao"/>
    <n v="98.12"/>
  </r>
  <r>
    <n v="202006"/>
    <x v="5"/>
    <n v="2020"/>
    <s v=" June "/>
    <x v="15"/>
    <x v="1"/>
    <s v="Mindanao"/>
    <n v="141.37"/>
  </r>
  <r>
    <n v="202007"/>
    <x v="6"/>
    <n v="2020"/>
    <s v=" July "/>
    <x v="15"/>
    <x v="1"/>
    <s v="Mindanao"/>
    <n v="125.5"/>
  </r>
  <r>
    <n v="202008"/>
    <x v="7"/>
    <n v="2020"/>
    <s v=" August "/>
    <x v="15"/>
    <x v="1"/>
    <s v="Mindanao"/>
    <n v="122.26"/>
  </r>
  <r>
    <n v="202009"/>
    <x v="8"/>
    <n v="2020"/>
    <s v=" September "/>
    <x v="15"/>
    <x v="1"/>
    <s v="Mindanao"/>
    <n v="99.22"/>
  </r>
  <r>
    <n v="202010"/>
    <x v="9"/>
    <n v="2020"/>
    <s v=" October "/>
    <x v="15"/>
    <x v="1"/>
    <s v="Mindanao"/>
    <n v="121.8"/>
  </r>
  <r>
    <n v="202011"/>
    <x v="10"/>
    <n v="2020"/>
    <s v=" November "/>
    <x v="15"/>
    <x v="1"/>
    <s v="Mindanao"/>
    <n v="120.64"/>
  </r>
  <r>
    <n v="202012"/>
    <x v="11"/>
    <n v="2020"/>
    <s v=" December "/>
    <x v="15"/>
    <x v="1"/>
    <s v="Mindanao"/>
    <n v="121.83"/>
  </r>
  <r>
    <n v="202001"/>
    <x v="0"/>
    <n v="2020"/>
    <s v=" January "/>
    <x v="15"/>
    <x v="1"/>
    <s v="Mindanao"/>
    <n v="286.14999999999998"/>
  </r>
  <r>
    <n v="202002"/>
    <x v="1"/>
    <n v="2020"/>
    <s v=" February "/>
    <x v="15"/>
    <x v="1"/>
    <s v="Mindanao"/>
    <n v="177.14"/>
  </r>
  <r>
    <n v="202003"/>
    <x v="2"/>
    <n v="2020"/>
    <s v=" March "/>
    <x v="15"/>
    <x v="1"/>
    <s v="Mindanao"/>
    <n v="188.89"/>
  </r>
  <r>
    <n v="202004"/>
    <x v="3"/>
    <n v="2020"/>
    <s v=" April "/>
    <x v="15"/>
    <x v="1"/>
    <s v="Mindanao"/>
    <n v="106.96"/>
  </r>
  <r>
    <n v="202005"/>
    <x v="4"/>
    <n v="2020"/>
    <s v=" May "/>
    <x v="15"/>
    <x v="1"/>
    <s v="Mindanao"/>
    <n v="156.29"/>
  </r>
  <r>
    <n v="202006"/>
    <x v="5"/>
    <n v="2020"/>
    <s v=" June "/>
    <x v="15"/>
    <x v="1"/>
    <s v="Mindanao"/>
    <n v="381.37"/>
  </r>
  <r>
    <n v="202007"/>
    <x v="6"/>
    <n v="2020"/>
    <s v=" July "/>
    <x v="15"/>
    <x v="1"/>
    <s v="Mindanao"/>
    <n v="219.12"/>
  </r>
  <r>
    <n v="202008"/>
    <x v="7"/>
    <n v="2020"/>
    <s v=" August "/>
    <x v="15"/>
    <x v="1"/>
    <s v="Mindanao"/>
    <n v="216.27"/>
  </r>
  <r>
    <n v="202009"/>
    <x v="8"/>
    <n v="2020"/>
    <s v=" September "/>
    <x v="15"/>
    <x v="1"/>
    <s v="Mindanao"/>
    <n v="200.51"/>
  </r>
  <r>
    <n v="202010"/>
    <x v="9"/>
    <n v="2020"/>
    <s v=" October "/>
    <x v="15"/>
    <x v="1"/>
    <s v="Mindanao"/>
    <n v="209.59"/>
  </r>
  <r>
    <n v="202011"/>
    <x v="10"/>
    <n v="2020"/>
    <s v=" November "/>
    <x v="15"/>
    <x v="1"/>
    <s v="Mindanao"/>
    <n v="210.31"/>
  </r>
  <r>
    <n v="202012"/>
    <x v="11"/>
    <n v="2020"/>
    <s v=" December "/>
    <x v="15"/>
    <x v="1"/>
    <s v="Mindanao"/>
    <n v="242.35"/>
  </r>
  <r>
    <n v="202001"/>
    <x v="0"/>
    <n v="2020"/>
    <s v=" January "/>
    <x v="15"/>
    <x v="1"/>
    <s v="Mindanao"/>
    <n v="169.34"/>
  </r>
  <r>
    <n v="202002"/>
    <x v="1"/>
    <n v="2020"/>
    <s v=" February "/>
    <x v="15"/>
    <x v="1"/>
    <s v="Mindanao"/>
    <n v="100.72"/>
  </r>
  <r>
    <n v="202003"/>
    <x v="2"/>
    <n v="2020"/>
    <s v=" March "/>
    <x v="15"/>
    <x v="1"/>
    <s v="Mindanao"/>
    <n v="115.53"/>
  </r>
  <r>
    <n v="202004"/>
    <x v="3"/>
    <n v="2020"/>
    <s v=" April "/>
    <x v="15"/>
    <x v="1"/>
    <s v="Mindanao"/>
    <n v="86.73"/>
  </r>
  <r>
    <n v="202005"/>
    <x v="4"/>
    <n v="2020"/>
    <s v=" May "/>
    <x v="15"/>
    <x v="1"/>
    <s v="Mindanao"/>
    <n v="86.34"/>
  </r>
  <r>
    <n v="202006"/>
    <x v="5"/>
    <n v="2020"/>
    <s v=" June "/>
    <x v="15"/>
    <x v="1"/>
    <s v="Mindanao"/>
    <n v="187.38"/>
  </r>
  <r>
    <n v="202007"/>
    <x v="6"/>
    <n v="2020"/>
    <s v=" July "/>
    <x v="15"/>
    <x v="1"/>
    <s v="Mindanao"/>
    <n v="129.77000000000001"/>
  </r>
  <r>
    <n v="202008"/>
    <x v="7"/>
    <n v="2020"/>
    <s v=" August "/>
    <x v="15"/>
    <x v="1"/>
    <s v="Mindanao"/>
    <n v="141.75"/>
  </r>
  <r>
    <n v="202009"/>
    <x v="8"/>
    <n v="2020"/>
    <s v=" September "/>
    <x v="15"/>
    <x v="1"/>
    <s v="Mindanao"/>
    <n v="113.16"/>
  </r>
  <r>
    <n v="202010"/>
    <x v="9"/>
    <n v="2020"/>
    <s v=" October "/>
    <x v="15"/>
    <x v="1"/>
    <s v="Mindanao"/>
    <n v="146.96"/>
  </r>
  <r>
    <n v="202011"/>
    <x v="10"/>
    <n v="2020"/>
    <s v=" November "/>
    <x v="15"/>
    <x v="1"/>
    <s v="Mindanao"/>
    <n v="138.19"/>
  </r>
  <r>
    <n v="202012"/>
    <x v="11"/>
    <n v="2020"/>
    <s v=" December "/>
    <x v="15"/>
    <x v="1"/>
    <s v="Mindanao"/>
    <n v="140.15"/>
  </r>
  <r>
    <n v="202001"/>
    <x v="0"/>
    <n v="2020"/>
    <s v=" January "/>
    <x v="15"/>
    <x v="1"/>
    <s v="Mindanao"/>
    <n v="88.81"/>
  </r>
  <r>
    <n v="202002"/>
    <x v="1"/>
    <n v="2020"/>
    <s v=" February "/>
    <x v="15"/>
    <x v="1"/>
    <s v="Mindanao"/>
    <n v="63.75"/>
  </r>
  <r>
    <n v="202003"/>
    <x v="2"/>
    <n v="2020"/>
    <s v=" March "/>
    <x v="15"/>
    <x v="1"/>
    <s v="Mindanao"/>
    <n v="60.15"/>
  </r>
  <r>
    <n v="202004"/>
    <x v="3"/>
    <n v="2020"/>
    <s v=" April "/>
    <x v="15"/>
    <x v="1"/>
    <s v="Mindanao"/>
    <n v="33.53"/>
  </r>
  <r>
    <n v="202005"/>
    <x v="4"/>
    <n v="2020"/>
    <s v=" May "/>
    <x v="15"/>
    <x v="1"/>
    <s v="Mindanao"/>
    <n v="48.18"/>
  </r>
  <r>
    <n v="202006"/>
    <x v="5"/>
    <n v="2020"/>
    <s v=" June "/>
    <x v="15"/>
    <x v="1"/>
    <s v="Mindanao"/>
    <n v="126.11"/>
  </r>
  <r>
    <n v="202007"/>
    <x v="6"/>
    <n v="2020"/>
    <s v=" July "/>
    <x v="15"/>
    <x v="1"/>
    <s v="Mindanao"/>
    <n v="98.57"/>
  </r>
  <r>
    <n v="202008"/>
    <x v="7"/>
    <n v="2020"/>
    <s v=" August "/>
    <x v="15"/>
    <x v="1"/>
    <s v="Mindanao"/>
    <n v="95.87"/>
  </r>
  <r>
    <n v="202009"/>
    <x v="8"/>
    <n v="2020"/>
    <s v=" September "/>
    <x v="15"/>
    <x v="1"/>
    <s v="Mindanao"/>
    <n v="90.7"/>
  </r>
  <r>
    <n v="202010"/>
    <x v="9"/>
    <n v="2020"/>
    <s v=" October "/>
    <x v="15"/>
    <x v="1"/>
    <s v="Mindanao"/>
    <n v="83.85"/>
  </r>
  <r>
    <n v="202011"/>
    <x v="10"/>
    <n v="2020"/>
    <s v=" November "/>
    <x v="15"/>
    <x v="1"/>
    <s v="Mindanao"/>
    <n v="116.08"/>
  </r>
  <r>
    <n v="202012"/>
    <x v="11"/>
    <n v="2020"/>
    <s v=" December "/>
    <x v="15"/>
    <x v="1"/>
    <s v="Mindanao"/>
    <n v="64.75"/>
  </r>
  <r>
    <n v="202001"/>
    <x v="0"/>
    <n v="2020"/>
    <s v=" January "/>
    <x v="16"/>
    <x v="1"/>
    <s v="Mindanao"/>
    <n v="236.15"/>
  </r>
  <r>
    <n v="202002"/>
    <x v="1"/>
    <n v="2020"/>
    <s v=" February "/>
    <x v="16"/>
    <x v="1"/>
    <s v="Mindanao"/>
    <n v="150.78"/>
  </r>
  <r>
    <n v="202003"/>
    <x v="2"/>
    <n v="2020"/>
    <s v=" March "/>
    <x v="16"/>
    <x v="1"/>
    <s v="Mindanao"/>
    <n v="162.27000000000001"/>
  </r>
  <r>
    <n v="202004"/>
    <x v="3"/>
    <n v="2020"/>
    <s v=" April "/>
    <x v="16"/>
    <x v="1"/>
    <s v="Mindanao"/>
    <n v="106.8"/>
  </r>
  <r>
    <n v="202005"/>
    <x v="4"/>
    <n v="2020"/>
    <s v=" May "/>
    <x v="16"/>
    <x v="1"/>
    <s v="Mindanao"/>
    <n v="117.95"/>
  </r>
  <r>
    <n v="202006"/>
    <x v="5"/>
    <n v="2020"/>
    <s v=" June "/>
    <x v="16"/>
    <x v="1"/>
    <s v="Mindanao"/>
    <n v="268.3"/>
  </r>
  <r>
    <n v="202007"/>
    <x v="6"/>
    <n v="2020"/>
    <s v=" July "/>
    <x v="16"/>
    <x v="1"/>
    <s v="Mindanao"/>
    <n v="166.07"/>
  </r>
  <r>
    <n v="202008"/>
    <x v="7"/>
    <n v="2020"/>
    <s v=" August "/>
    <x v="16"/>
    <x v="1"/>
    <s v="Mindanao"/>
    <n v="152.88"/>
  </r>
  <r>
    <n v="202009"/>
    <x v="8"/>
    <n v="2020"/>
    <s v=" September "/>
    <x v="16"/>
    <x v="1"/>
    <s v="Mindanao"/>
    <n v="168.08"/>
  </r>
  <r>
    <n v="202010"/>
    <x v="9"/>
    <n v="2020"/>
    <s v=" October "/>
    <x v="16"/>
    <x v="1"/>
    <s v="Mindanao"/>
    <n v="194.43"/>
  </r>
  <r>
    <n v="202011"/>
    <x v="10"/>
    <n v="2020"/>
    <s v=" November "/>
    <x v="16"/>
    <x v="1"/>
    <s v="Mindanao"/>
    <n v="190.61"/>
  </r>
  <r>
    <n v="202012"/>
    <x v="11"/>
    <n v="2020"/>
    <s v=" December "/>
    <x v="16"/>
    <x v="1"/>
    <s v="Mindanao"/>
    <n v="180.08"/>
  </r>
  <r>
    <n v="202001"/>
    <x v="0"/>
    <n v="2020"/>
    <s v=" January "/>
    <x v="16"/>
    <x v="1"/>
    <s v="Mindanao"/>
    <n v="103.63"/>
  </r>
  <r>
    <n v="202002"/>
    <x v="1"/>
    <n v="2020"/>
    <s v=" February "/>
    <x v="16"/>
    <x v="1"/>
    <s v="Mindanao"/>
    <n v="61.78"/>
  </r>
  <r>
    <n v="202003"/>
    <x v="2"/>
    <n v="2020"/>
    <s v=" March "/>
    <x v="16"/>
    <x v="1"/>
    <s v="Mindanao"/>
    <n v="58.79"/>
  </r>
  <r>
    <n v="202004"/>
    <x v="3"/>
    <n v="2020"/>
    <s v=" April "/>
    <x v="16"/>
    <x v="1"/>
    <s v="Mindanao"/>
    <n v="56.23"/>
  </r>
  <r>
    <n v="202005"/>
    <x v="4"/>
    <n v="2020"/>
    <s v=" May "/>
    <x v="16"/>
    <x v="1"/>
    <s v="Mindanao"/>
    <n v="78.790000000000006"/>
  </r>
  <r>
    <n v="202006"/>
    <x v="5"/>
    <n v="2020"/>
    <s v=" June "/>
    <x v="16"/>
    <x v="1"/>
    <s v="Mindanao"/>
    <n v="86.77"/>
  </r>
  <r>
    <n v="202007"/>
    <x v="6"/>
    <n v="2020"/>
    <s v=" July "/>
    <x v="16"/>
    <x v="1"/>
    <s v="Mindanao"/>
    <n v="68.48"/>
  </r>
  <r>
    <n v="202008"/>
    <x v="7"/>
    <n v="2020"/>
    <s v=" August "/>
    <x v="16"/>
    <x v="1"/>
    <s v="Mindanao"/>
    <n v="87.55"/>
  </r>
  <r>
    <n v="202009"/>
    <x v="8"/>
    <n v="2020"/>
    <s v=" September "/>
    <x v="16"/>
    <x v="1"/>
    <s v="Mindanao"/>
    <n v="78.64"/>
  </r>
  <r>
    <n v="202010"/>
    <x v="9"/>
    <n v="2020"/>
    <s v=" October "/>
    <x v="16"/>
    <x v="1"/>
    <s v="Mindanao"/>
    <n v="76.72"/>
  </r>
  <r>
    <n v="202011"/>
    <x v="10"/>
    <n v="2020"/>
    <s v=" November "/>
    <x v="16"/>
    <x v="1"/>
    <s v="Mindanao"/>
    <n v="84.69"/>
  </r>
  <r>
    <n v="202012"/>
    <x v="11"/>
    <n v="2020"/>
    <s v=" December "/>
    <x v="16"/>
    <x v="1"/>
    <s v="Mindanao"/>
    <n v="76.959999999999994"/>
  </r>
  <r>
    <n v="202001"/>
    <x v="0"/>
    <n v="2020"/>
    <s v=" January "/>
    <x v="16"/>
    <x v="1"/>
    <s v="Mindanao"/>
    <n v="142.22999999999999"/>
  </r>
  <r>
    <n v="202002"/>
    <x v="1"/>
    <n v="2020"/>
    <s v=" February "/>
    <x v="16"/>
    <x v="1"/>
    <s v="Mindanao"/>
    <n v="83.83"/>
  </r>
  <r>
    <n v="202003"/>
    <x v="2"/>
    <n v="2020"/>
    <s v=" March "/>
    <x v="16"/>
    <x v="1"/>
    <s v="Mindanao"/>
    <n v="75.89"/>
  </r>
  <r>
    <n v="202004"/>
    <x v="3"/>
    <n v="2020"/>
    <s v=" April "/>
    <x v="16"/>
    <x v="1"/>
    <s v="Mindanao"/>
    <n v="59.44"/>
  </r>
  <r>
    <n v="202005"/>
    <x v="4"/>
    <n v="2020"/>
    <s v=" May "/>
    <x v="16"/>
    <x v="1"/>
    <s v="Mindanao"/>
    <n v="64.16"/>
  </r>
  <r>
    <n v="202006"/>
    <x v="5"/>
    <n v="2020"/>
    <s v=" June "/>
    <x v="16"/>
    <x v="1"/>
    <s v="Mindanao"/>
    <n v="133.13"/>
  </r>
  <r>
    <n v="202007"/>
    <x v="6"/>
    <n v="2020"/>
    <s v=" July "/>
    <x v="16"/>
    <x v="1"/>
    <s v="Mindanao"/>
    <n v="97.49"/>
  </r>
  <r>
    <n v="202008"/>
    <x v="7"/>
    <n v="2020"/>
    <s v=" August "/>
    <x v="16"/>
    <x v="1"/>
    <s v="Mindanao"/>
    <n v="85.05"/>
  </r>
  <r>
    <n v="202009"/>
    <x v="8"/>
    <n v="2020"/>
    <s v=" September "/>
    <x v="16"/>
    <x v="1"/>
    <s v="Mindanao"/>
    <n v="79.180000000000007"/>
  </r>
  <r>
    <n v="202010"/>
    <x v="9"/>
    <n v="2020"/>
    <s v=" October "/>
    <x v="16"/>
    <x v="1"/>
    <s v="Mindanao"/>
    <n v="85.54"/>
  </r>
  <r>
    <n v="202011"/>
    <x v="10"/>
    <n v="2020"/>
    <s v=" November "/>
    <x v="16"/>
    <x v="1"/>
    <s v="Mindanao"/>
    <n v="85.43"/>
  </r>
  <r>
    <n v="202012"/>
    <x v="11"/>
    <n v="2020"/>
    <s v=" December "/>
    <x v="16"/>
    <x v="1"/>
    <s v="Mindanao"/>
    <n v="85.08"/>
  </r>
  <r>
    <n v="202001"/>
    <x v="0"/>
    <n v="2020"/>
    <s v=" January "/>
    <x v="16"/>
    <x v="1"/>
    <s v="Mindanao"/>
    <n v="93.73"/>
  </r>
  <r>
    <n v="202002"/>
    <x v="1"/>
    <n v="2020"/>
    <s v=" February "/>
    <x v="16"/>
    <x v="1"/>
    <s v="Mindanao"/>
    <n v="59.23"/>
  </r>
  <r>
    <n v="202003"/>
    <x v="2"/>
    <n v="2020"/>
    <s v=" March "/>
    <x v="16"/>
    <x v="1"/>
    <s v="Mindanao"/>
    <n v="52.56"/>
  </r>
  <r>
    <n v="202004"/>
    <x v="3"/>
    <n v="2020"/>
    <s v=" April "/>
    <x v="16"/>
    <x v="1"/>
    <s v="Mindanao"/>
    <n v="64.72"/>
  </r>
  <r>
    <n v="202005"/>
    <x v="4"/>
    <n v="2020"/>
    <s v=" May "/>
    <x v="16"/>
    <x v="1"/>
    <s v="Mindanao"/>
    <n v="58.71"/>
  </r>
  <r>
    <n v="202006"/>
    <x v="5"/>
    <n v="2020"/>
    <s v=" June "/>
    <x v="16"/>
    <x v="1"/>
    <s v="Mindanao"/>
    <n v="73.86"/>
  </r>
  <r>
    <n v="202007"/>
    <x v="6"/>
    <n v="2020"/>
    <s v=" July "/>
    <x v="16"/>
    <x v="1"/>
    <s v="Mindanao"/>
    <n v="62.9"/>
  </r>
  <r>
    <n v="202008"/>
    <x v="7"/>
    <n v="2020"/>
    <s v=" August "/>
    <x v="16"/>
    <x v="1"/>
    <s v="Mindanao"/>
    <n v="60.69"/>
  </r>
  <r>
    <n v="202009"/>
    <x v="8"/>
    <n v="2020"/>
    <s v=" September "/>
    <x v="16"/>
    <x v="1"/>
    <s v="Mindanao"/>
    <n v="68.09"/>
  </r>
  <r>
    <n v="202010"/>
    <x v="9"/>
    <n v="2020"/>
    <s v=" October "/>
    <x v="16"/>
    <x v="1"/>
    <s v="Mindanao"/>
    <n v="69.38"/>
  </r>
  <r>
    <n v="202011"/>
    <x v="10"/>
    <n v="2020"/>
    <s v=" November "/>
    <x v="16"/>
    <x v="1"/>
    <s v="Mindanao"/>
    <n v="64.680000000000007"/>
  </r>
  <r>
    <n v="202012"/>
    <x v="11"/>
    <n v="2020"/>
    <s v=" December "/>
    <x v="16"/>
    <x v="1"/>
    <s v="Mindanao"/>
    <n v="72.540000000000006"/>
  </r>
  <r>
    <n v="202001"/>
    <x v="0"/>
    <n v="2020"/>
    <s v=" January "/>
    <x v="17"/>
    <x v="1"/>
    <s v="Mindanao"/>
    <n v="16.440000000000001"/>
  </r>
  <r>
    <n v="202002"/>
    <x v="1"/>
    <n v="2020"/>
    <s v=" February "/>
    <x v="17"/>
    <x v="1"/>
    <s v="Mindanao"/>
    <n v="10.93"/>
  </r>
  <r>
    <n v="202003"/>
    <x v="2"/>
    <n v="2020"/>
    <s v=" March "/>
    <x v="17"/>
    <x v="1"/>
    <s v="Mindanao"/>
    <n v="24.29"/>
  </r>
  <r>
    <n v="202004"/>
    <x v="3"/>
    <n v="2020"/>
    <s v=" April "/>
    <x v="17"/>
    <x v="1"/>
    <s v="Mindanao"/>
    <n v="9.39"/>
  </r>
  <r>
    <n v="202005"/>
    <x v="4"/>
    <n v="2020"/>
    <s v=" May "/>
    <x v="17"/>
    <x v="1"/>
    <s v="Mindanao"/>
    <n v="8.31"/>
  </r>
  <r>
    <n v="202006"/>
    <x v="5"/>
    <n v="2020"/>
    <s v=" June "/>
    <x v="17"/>
    <x v="1"/>
    <s v="Mindanao"/>
    <n v="16.670000000000002"/>
  </r>
  <r>
    <n v="202007"/>
    <x v="6"/>
    <n v="2020"/>
    <s v=" July "/>
    <x v="17"/>
    <x v="1"/>
    <s v="Mindanao"/>
    <n v="17.38"/>
  </r>
  <r>
    <n v="202008"/>
    <x v="7"/>
    <n v="2020"/>
    <s v=" August "/>
    <x v="17"/>
    <x v="1"/>
    <s v="Mindanao"/>
    <n v="12.3"/>
  </r>
  <r>
    <n v="202009"/>
    <x v="8"/>
    <n v="2020"/>
    <s v=" September "/>
    <x v="17"/>
    <x v="1"/>
    <s v="Mindanao"/>
    <n v="15.63"/>
  </r>
  <r>
    <n v="202010"/>
    <x v="9"/>
    <n v="2020"/>
    <s v=" October "/>
    <x v="17"/>
    <x v="1"/>
    <s v="Mindanao"/>
    <n v="21.86"/>
  </r>
  <r>
    <n v="202011"/>
    <x v="10"/>
    <n v="2020"/>
    <s v=" November "/>
    <x v="17"/>
    <x v="1"/>
    <s v="Mindanao"/>
    <n v="13.6"/>
  </r>
  <r>
    <n v="202012"/>
    <x v="11"/>
    <n v="2020"/>
    <s v=" December "/>
    <x v="17"/>
    <x v="1"/>
    <s v="Mindanao"/>
    <n v="11.86"/>
  </r>
  <r>
    <n v="202001"/>
    <x v="0"/>
    <n v="2020"/>
    <s v=" January "/>
    <x v="17"/>
    <x v="1"/>
    <s v="Mindanao"/>
    <n v="37.18"/>
  </r>
  <r>
    <n v="202002"/>
    <x v="1"/>
    <n v="2020"/>
    <s v=" February "/>
    <x v="17"/>
    <x v="1"/>
    <s v="Mindanao"/>
    <n v="35.18"/>
  </r>
  <r>
    <n v="202003"/>
    <x v="2"/>
    <n v="2020"/>
    <s v=" March "/>
    <x v="17"/>
    <x v="1"/>
    <s v="Mindanao"/>
    <n v="38.83"/>
  </r>
  <r>
    <n v="202004"/>
    <x v="3"/>
    <n v="2020"/>
    <s v=" April "/>
    <x v="17"/>
    <x v="1"/>
    <s v="Mindanao"/>
    <n v="35.99"/>
  </r>
  <r>
    <n v="202005"/>
    <x v="4"/>
    <n v="2020"/>
    <s v=" May "/>
    <x v="17"/>
    <x v="1"/>
    <s v="Mindanao"/>
    <n v="27.84"/>
  </r>
  <r>
    <n v="202006"/>
    <x v="5"/>
    <n v="2020"/>
    <s v=" June "/>
    <x v="17"/>
    <x v="1"/>
    <s v="Mindanao"/>
    <n v="60.45"/>
  </r>
  <r>
    <n v="202007"/>
    <x v="6"/>
    <n v="2020"/>
    <s v=" July "/>
    <x v="17"/>
    <x v="1"/>
    <s v="Mindanao"/>
    <n v="33.32"/>
  </r>
  <r>
    <n v="202008"/>
    <x v="7"/>
    <n v="2020"/>
    <s v=" August "/>
    <x v="17"/>
    <x v="1"/>
    <s v="Mindanao"/>
    <n v="37.549999999999997"/>
  </r>
  <r>
    <n v="202009"/>
    <x v="8"/>
    <n v="2020"/>
    <s v=" September "/>
    <x v="17"/>
    <x v="1"/>
    <s v="Mindanao"/>
    <n v="29.79"/>
  </r>
  <r>
    <n v="202010"/>
    <x v="9"/>
    <n v="2020"/>
    <s v=" October "/>
    <x v="17"/>
    <x v="1"/>
    <s v="Mindanao"/>
    <n v="34.15"/>
  </r>
  <r>
    <n v="202011"/>
    <x v="10"/>
    <n v="2020"/>
    <s v=" November "/>
    <x v="17"/>
    <x v="1"/>
    <s v="Mindanao"/>
    <n v="36.17"/>
  </r>
  <r>
    <n v="202012"/>
    <x v="11"/>
    <n v="2020"/>
    <s v=" December "/>
    <x v="17"/>
    <x v="1"/>
    <s v="Mindanao"/>
    <n v="53.58"/>
  </r>
  <r>
    <n v="202001"/>
    <x v="0"/>
    <n v="2020"/>
    <s v=" January "/>
    <x v="17"/>
    <x v="1"/>
    <s v="Mindanao"/>
    <n v="172.38"/>
  </r>
  <r>
    <n v="202002"/>
    <x v="1"/>
    <n v="2020"/>
    <s v=" February "/>
    <x v="17"/>
    <x v="1"/>
    <s v="Mindanao"/>
    <n v="174.46"/>
  </r>
  <r>
    <n v="202003"/>
    <x v="2"/>
    <n v="2020"/>
    <s v=" March "/>
    <x v="17"/>
    <x v="1"/>
    <s v="Mindanao"/>
    <n v="77.930000000000007"/>
  </r>
  <r>
    <n v="202004"/>
    <x v="3"/>
    <n v="2020"/>
    <s v=" April "/>
    <x v="17"/>
    <x v="1"/>
    <s v="Mindanao"/>
    <n v="85.77"/>
  </r>
  <r>
    <n v="202005"/>
    <x v="4"/>
    <n v="2020"/>
    <s v=" May "/>
    <x v="17"/>
    <x v="1"/>
    <s v="Mindanao"/>
    <n v="152.9"/>
  </r>
  <r>
    <n v="202006"/>
    <x v="5"/>
    <n v="2020"/>
    <s v=" June "/>
    <x v="17"/>
    <x v="1"/>
    <s v="Mindanao"/>
    <n v="130.59"/>
  </r>
  <r>
    <n v="202007"/>
    <x v="6"/>
    <n v="2020"/>
    <s v=" July "/>
    <x v="17"/>
    <x v="1"/>
    <s v="Mindanao"/>
    <n v="157.28"/>
  </r>
  <r>
    <n v="202008"/>
    <x v="7"/>
    <n v="2020"/>
    <s v=" August "/>
    <x v="17"/>
    <x v="1"/>
    <s v="Mindanao"/>
    <n v="111.2"/>
  </r>
  <r>
    <n v="202009"/>
    <x v="8"/>
    <n v="2020"/>
    <s v=" September "/>
    <x v="17"/>
    <x v="1"/>
    <s v="Mindanao"/>
    <n v="100"/>
  </r>
  <r>
    <n v="202010"/>
    <x v="9"/>
    <n v="2020"/>
    <s v=" October "/>
    <x v="17"/>
    <x v="1"/>
    <s v="Mindanao"/>
    <n v="102.5"/>
  </r>
  <r>
    <n v="202011"/>
    <x v="10"/>
    <n v="2020"/>
    <s v=" November "/>
    <x v="17"/>
    <x v="1"/>
    <s v="Mindanao"/>
    <n v="144.53"/>
  </r>
  <r>
    <n v="202012"/>
    <x v="11"/>
    <n v="2020"/>
    <s v=" December "/>
    <x v="17"/>
    <x v="1"/>
    <s v="Mindanao"/>
    <n v="137.06"/>
  </r>
  <r>
    <n v="202001"/>
    <x v="0"/>
    <n v="2020"/>
    <s v=" January "/>
    <x v="17"/>
    <x v="1"/>
    <s v="Mindanao"/>
    <n v="14.19"/>
  </r>
  <r>
    <n v="202002"/>
    <x v="1"/>
    <n v="2020"/>
    <s v=" February "/>
    <x v="17"/>
    <x v="1"/>
    <s v="Mindanao"/>
    <n v="14.57"/>
  </r>
  <r>
    <n v="202003"/>
    <x v="2"/>
    <n v="2020"/>
    <s v=" March "/>
    <x v="17"/>
    <x v="1"/>
    <s v="Mindanao"/>
    <n v="17.12"/>
  </r>
  <r>
    <n v="202004"/>
    <x v="3"/>
    <n v="2020"/>
    <s v=" April "/>
    <x v="17"/>
    <x v="1"/>
    <s v="Mindanao"/>
    <n v="6.8"/>
  </r>
  <r>
    <n v="202005"/>
    <x v="4"/>
    <n v="2020"/>
    <s v=" May "/>
    <x v="17"/>
    <x v="1"/>
    <s v="Mindanao"/>
    <n v="7.8"/>
  </r>
  <r>
    <n v="202006"/>
    <x v="5"/>
    <n v="2020"/>
    <s v=" June "/>
    <x v="17"/>
    <x v="1"/>
    <s v="Mindanao"/>
    <n v="17.25"/>
  </r>
  <r>
    <n v="202007"/>
    <x v="6"/>
    <n v="2020"/>
    <s v=" July "/>
    <x v="17"/>
    <x v="1"/>
    <s v="Mindanao"/>
    <n v="12.83"/>
  </r>
  <r>
    <n v="202008"/>
    <x v="7"/>
    <n v="2020"/>
    <s v=" August "/>
    <x v="17"/>
    <x v="1"/>
    <s v="Mindanao"/>
    <n v="7.78"/>
  </r>
  <r>
    <n v="202009"/>
    <x v="8"/>
    <n v="2020"/>
    <s v=" September "/>
    <x v="17"/>
    <x v="1"/>
    <s v="Mindanao"/>
    <n v="8.6300000000000008"/>
  </r>
  <r>
    <n v="202010"/>
    <x v="9"/>
    <n v="2020"/>
    <s v=" October "/>
    <x v="17"/>
    <x v="1"/>
    <s v="Mindanao"/>
    <n v="7.97"/>
  </r>
  <r>
    <n v="202011"/>
    <x v="10"/>
    <n v="2020"/>
    <s v=" November "/>
    <x v="17"/>
    <x v="1"/>
    <s v="Mindanao"/>
    <n v="12.26"/>
  </r>
  <r>
    <n v="202012"/>
    <x v="11"/>
    <n v="2020"/>
    <s v=" December "/>
    <x v="17"/>
    <x v="1"/>
    <s v="Mindanao"/>
    <n v="24.1"/>
  </r>
  <r>
    <n v="202001"/>
    <x v="0"/>
    <n v="2020"/>
    <s v=" January "/>
    <x v="17"/>
    <x v="1"/>
    <s v="Mindanao"/>
    <n v="14.38"/>
  </r>
  <r>
    <n v="202002"/>
    <x v="1"/>
    <n v="2020"/>
    <s v=" February "/>
    <x v="17"/>
    <x v="1"/>
    <s v="Mindanao"/>
    <n v="20.170000000000002"/>
  </r>
  <r>
    <n v="202003"/>
    <x v="2"/>
    <n v="2020"/>
    <s v=" March "/>
    <x v="17"/>
    <x v="1"/>
    <s v="Mindanao"/>
    <n v="16.13"/>
  </r>
  <r>
    <n v="202004"/>
    <x v="3"/>
    <n v="2020"/>
    <s v=" April "/>
    <x v="17"/>
    <x v="1"/>
    <s v="Mindanao"/>
    <n v="10.23"/>
  </r>
  <r>
    <n v="202005"/>
    <x v="4"/>
    <n v="2020"/>
    <s v=" May "/>
    <x v="17"/>
    <x v="1"/>
    <s v="Mindanao"/>
    <n v="11.94"/>
  </r>
  <r>
    <n v="202006"/>
    <x v="5"/>
    <n v="2020"/>
    <s v=" June "/>
    <x v="17"/>
    <x v="1"/>
    <s v="Mindanao"/>
    <n v="53.14"/>
  </r>
  <r>
    <n v="202007"/>
    <x v="6"/>
    <n v="2020"/>
    <s v=" July "/>
    <x v="17"/>
    <x v="1"/>
    <s v="Mindanao"/>
    <n v="22.85"/>
  </r>
  <r>
    <n v="202008"/>
    <x v="7"/>
    <n v="2020"/>
    <s v=" August "/>
    <x v="17"/>
    <x v="1"/>
    <s v="Mindanao"/>
    <n v="16.579999999999998"/>
  </r>
  <r>
    <n v="202009"/>
    <x v="8"/>
    <n v="2020"/>
    <s v=" September "/>
    <x v="17"/>
    <x v="1"/>
    <s v="Mindanao"/>
    <n v="23.48"/>
  </r>
  <r>
    <n v="202010"/>
    <x v="9"/>
    <n v="2020"/>
    <s v=" October "/>
    <x v="17"/>
    <x v="1"/>
    <s v="Mindanao"/>
    <n v="14.81"/>
  </r>
  <r>
    <n v="202011"/>
    <x v="10"/>
    <n v="2020"/>
    <s v=" November "/>
    <x v="17"/>
    <x v="1"/>
    <s v="Mindanao"/>
    <n v="18.12"/>
  </r>
  <r>
    <n v="202012"/>
    <x v="11"/>
    <n v="2020"/>
    <s v=" December "/>
    <x v="17"/>
    <x v="1"/>
    <s v="Mindanao"/>
    <n v="28.19"/>
  </r>
  <r>
    <n v="202101"/>
    <x v="12"/>
    <n v="2021"/>
    <s v=" January "/>
    <x v="0"/>
    <x v="0"/>
    <s v="Luzon"/>
    <n v="534.27"/>
  </r>
  <r>
    <n v="202102"/>
    <x v="13"/>
    <n v="2021"/>
    <s v=" February "/>
    <x v="0"/>
    <x v="0"/>
    <s v="Luzon"/>
    <n v="364.67"/>
  </r>
  <r>
    <n v="202103"/>
    <x v="14"/>
    <n v="2021"/>
    <s v=" March "/>
    <x v="0"/>
    <x v="0"/>
    <s v="Luzon"/>
    <n v="404.13"/>
  </r>
  <r>
    <n v="202104"/>
    <x v="15"/>
    <n v="2021"/>
    <s v=" April "/>
    <x v="0"/>
    <x v="0"/>
    <s v="Luzon"/>
    <n v="678.82"/>
  </r>
  <r>
    <n v="202105"/>
    <x v="16"/>
    <n v="2021"/>
    <s v=" May "/>
    <x v="0"/>
    <x v="0"/>
    <s v="Luzon"/>
    <n v="510.88"/>
  </r>
  <r>
    <n v="202106"/>
    <x v="17"/>
    <n v="2021"/>
    <s v=" June "/>
    <x v="0"/>
    <x v="0"/>
    <s v="Luzon"/>
    <n v="457"/>
  </r>
  <r>
    <n v="202107"/>
    <x v="18"/>
    <n v="2021"/>
    <s v=" July "/>
    <x v="0"/>
    <x v="0"/>
    <s v="Luzon"/>
    <n v="493.94"/>
  </r>
  <r>
    <n v="202108"/>
    <x v="19"/>
    <n v="2021"/>
    <s v=" August "/>
    <x v="0"/>
    <x v="0"/>
    <s v="Luzon"/>
    <n v="446.86"/>
  </r>
  <r>
    <n v="202109"/>
    <x v="20"/>
    <n v="2021"/>
    <s v=" September "/>
    <x v="0"/>
    <x v="0"/>
    <s v="Luzon"/>
    <n v="425.92"/>
  </r>
  <r>
    <n v="202110"/>
    <x v="21"/>
    <n v="2021"/>
    <s v=" October "/>
    <x v="0"/>
    <x v="0"/>
    <s v="Luzon"/>
    <n v="442.79"/>
  </r>
  <r>
    <n v="202111"/>
    <x v="22"/>
    <n v="2021"/>
    <s v=" November "/>
    <x v="0"/>
    <x v="0"/>
    <s v="Luzon"/>
    <n v="499.81"/>
  </r>
  <r>
    <n v="202112"/>
    <x v="23"/>
    <n v="2021"/>
    <s v=" December "/>
    <x v="0"/>
    <x v="0"/>
    <s v="Luzon"/>
    <n v="509.87"/>
  </r>
  <r>
    <n v="202101"/>
    <x v="12"/>
    <n v="2021"/>
    <s v=" January "/>
    <x v="0"/>
    <x v="0"/>
    <s v="Luzon"/>
    <n v="527.94000000000005"/>
  </r>
  <r>
    <n v="202102"/>
    <x v="13"/>
    <n v="2021"/>
    <s v=" February "/>
    <x v="0"/>
    <x v="0"/>
    <s v="Luzon"/>
    <n v="438.13"/>
  </r>
  <r>
    <n v="202103"/>
    <x v="14"/>
    <n v="2021"/>
    <s v=" March "/>
    <x v="0"/>
    <x v="0"/>
    <s v="Luzon"/>
    <n v="468.59"/>
  </r>
  <r>
    <n v="202104"/>
    <x v="15"/>
    <n v="2021"/>
    <s v=" April "/>
    <x v="0"/>
    <x v="0"/>
    <s v="Luzon"/>
    <n v="880.19"/>
  </r>
  <r>
    <n v="202105"/>
    <x v="16"/>
    <n v="2021"/>
    <s v=" May "/>
    <x v="0"/>
    <x v="0"/>
    <s v="Luzon"/>
    <n v="618.66999999999996"/>
  </r>
  <r>
    <n v="202106"/>
    <x v="17"/>
    <n v="2021"/>
    <s v=" June "/>
    <x v="0"/>
    <x v="0"/>
    <s v="Luzon"/>
    <n v="456.9"/>
  </r>
  <r>
    <n v="202107"/>
    <x v="18"/>
    <n v="2021"/>
    <s v=" July "/>
    <x v="0"/>
    <x v="0"/>
    <s v="Luzon"/>
    <n v="503.03"/>
  </r>
  <r>
    <n v="202108"/>
    <x v="19"/>
    <n v="2021"/>
    <s v=" August "/>
    <x v="0"/>
    <x v="0"/>
    <s v="Luzon"/>
    <n v="543.13"/>
  </r>
  <r>
    <n v="202109"/>
    <x v="20"/>
    <n v="2021"/>
    <s v=" September "/>
    <x v="0"/>
    <x v="0"/>
    <s v="Luzon"/>
    <n v="516.89"/>
  </r>
  <r>
    <n v="202110"/>
    <x v="21"/>
    <n v="2021"/>
    <s v=" October "/>
    <x v="0"/>
    <x v="0"/>
    <s v="Luzon"/>
    <n v="464.53"/>
  </r>
  <r>
    <n v="202111"/>
    <x v="22"/>
    <n v="2021"/>
    <s v=" November "/>
    <x v="0"/>
    <x v="0"/>
    <s v="Luzon"/>
    <n v="689.73"/>
  </r>
  <r>
    <n v="202112"/>
    <x v="23"/>
    <n v="2021"/>
    <s v=" December "/>
    <x v="0"/>
    <x v="0"/>
    <s v="Luzon"/>
    <n v="565.59"/>
  </r>
  <r>
    <n v="202101"/>
    <x v="12"/>
    <n v="2021"/>
    <s v=" January "/>
    <x v="0"/>
    <x v="0"/>
    <s v="Luzon"/>
    <n v="9750.2800000000007"/>
  </r>
  <r>
    <n v="202102"/>
    <x v="13"/>
    <n v="2021"/>
    <s v=" February "/>
    <x v="0"/>
    <x v="0"/>
    <s v="Luzon"/>
    <n v="6909"/>
  </r>
  <r>
    <n v="202103"/>
    <x v="14"/>
    <n v="2021"/>
    <s v=" March "/>
    <x v="0"/>
    <x v="0"/>
    <s v="Luzon"/>
    <n v="7105.32"/>
  </r>
  <r>
    <n v="202104"/>
    <x v="15"/>
    <n v="2021"/>
    <s v=" April "/>
    <x v="0"/>
    <x v="0"/>
    <s v="Luzon"/>
    <n v="11715.33"/>
  </r>
  <r>
    <n v="202105"/>
    <x v="16"/>
    <n v="2021"/>
    <s v=" May "/>
    <x v="0"/>
    <x v="0"/>
    <s v="Luzon"/>
    <n v="8407.52"/>
  </r>
  <r>
    <n v="202106"/>
    <x v="17"/>
    <n v="2021"/>
    <s v=" June "/>
    <x v="0"/>
    <x v="0"/>
    <s v="Luzon"/>
    <n v="10482.700000000001"/>
  </r>
  <r>
    <n v="202107"/>
    <x v="18"/>
    <n v="2021"/>
    <s v=" July "/>
    <x v="0"/>
    <x v="0"/>
    <s v="Luzon"/>
    <n v="8565.2900000000009"/>
  </r>
  <r>
    <n v="202108"/>
    <x v="19"/>
    <n v="2021"/>
    <s v=" August "/>
    <x v="0"/>
    <x v="0"/>
    <s v="Luzon"/>
    <n v="8357.92"/>
  </r>
  <r>
    <n v="202109"/>
    <x v="20"/>
    <n v="2021"/>
    <s v=" September "/>
    <x v="0"/>
    <x v="0"/>
    <s v="Luzon"/>
    <n v="9754.83"/>
  </r>
  <r>
    <n v="202110"/>
    <x v="21"/>
    <n v="2021"/>
    <s v=" October "/>
    <x v="0"/>
    <x v="0"/>
    <s v="Luzon"/>
    <n v="8565.65"/>
  </r>
  <r>
    <n v="202111"/>
    <x v="22"/>
    <n v="2021"/>
    <s v=" November "/>
    <x v="0"/>
    <x v="0"/>
    <s v="Luzon"/>
    <n v="11450.57"/>
  </r>
  <r>
    <n v="202112"/>
    <x v="23"/>
    <n v="2021"/>
    <s v=" December "/>
    <x v="0"/>
    <x v="0"/>
    <s v="Luzon"/>
    <n v="9823.2999999999993"/>
  </r>
  <r>
    <n v="202101"/>
    <x v="12"/>
    <n v="2021"/>
    <s v=" January "/>
    <x v="0"/>
    <x v="0"/>
    <s v="Luzon"/>
    <n v="263.18"/>
  </r>
  <r>
    <n v="202102"/>
    <x v="13"/>
    <n v="2021"/>
    <s v=" February "/>
    <x v="0"/>
    <x v="0"/>
    <s v="Luzon"/>
    <n v="230.18"/>
  </r>
  <r>
    <n v="202103"/>
    <x v="14"/>
    <n v="2021"/>
    <s v=" March "/>
    <x v="0"/>
    <x v="0"/>
    <s v="Luzon"/>
    <n v="250.96"/>
  </r>
  <r>
    <n v="202104"/>
    <x v="15"/>
    <n v="2021"/>
    <s v=" April "/>
    <x v="0"/>
    <x v="0"/>
    <s v="Luzon"/>
    <n v="338.74"/>
  </r>
  <r>
    <n v="202105"/>
    <x v="16"/>
    <n v="2021"/>
    <s v=" May "/>
    <x v="0"/>
    <x v="0"/>
    <s v="Luzon"/>
    <n v="270.08"/>
  </r>
  <r>
    <n v="202106"/>
    <x v="17"/>
    <n v="2021"/>
    <s v=" June "/>
    <x v="0"/>
    <x v="0"/>
    <s v="Luzon"/>
    <n v="288.22000000000003"/>
  </r>
  <r>
    <n v="202107"/>
    <x v="18"/>
    <n v="2021"/>
    <s v=" July "/>
    <x v="0"/>
    <x v="0"/>
    <s v="Luzon"/>
    <n v="267.01"/>
  </r>
  <r>
    <n v="202108"/>
    <x v="19"/>
    <n v="2021"/>
    <s v=" August "/>
    <x v="0"/>
    <x v="0"/>
    <s v="Luzon"/>
    <n v="251.17"/>
  </r>
  <r>
    <n v="202109"/>
    <x v="20"/>
    <n v="2021"/>
    <s v=" September "/>
    <x v="0"/>
    <x v="0"/>
    <s v="Luzon"/>
    <n v="209.22"/>
  </r>
  <r>
    <n v="202110"/>
    <x v="21"/>
    <n v="2021"/>
    <s v=" October "/>
    <x v="0"/>
    <x v="0"/>
    <s v="Luzon"/>
    <n v="271.11"/>
  </r>
  <r>
    <n v="202111"/>
    <x v="22"/>
    <n v="2021"/>
    <s v=" November "/>
    <x v="0"/>
    <x v="0"/>
    <s v="Luzon"/>
    <n v="309.68"/>
  </r>
  <r>
    <n v="202112"/>
    <x v="23"/>
    <n v="2021"/>
    <s v=" December "/>
    <x v="0"/>
    <x v="0"/>
    <s v="Luzon"/>
    <n v="324.14"/>
  </r>
  <r>
    <n v="202101"/>
    <x v="12"/>
    <n v="2021"/>
    <s v=" January "/>
    <x v="0"/>
    <x v="0"/>
    <s v="Luzon"/>
    <n v="1703.63"/>
  </r>
  <r>
    <n v="202102"/>
    <x v="13"/>
    <n v="2021"/>
    <s v=" February "/>
    <x v="0"/>
    <x v="0"/>
    <s v="Luzon"/>
    <n v="1596"/>
  </r>
  <r>
    <n v="202103"/>
    <x v="14"/>
    <n v="2021"/>
    <s v=" March "/>
    <x v="0"/>
    <x v="0"/>
    <s v="Luzon"/>
    <n v="1390.47"/>
  </r>
  <r>
    <n v="202104"/>
    <x v="15"/>
    <n v="2021"/>
    <s v=" April "/>
    <x v="0"/>
    <x v="0"/>
    <s v="Luzon"/>
    <n v="2281.9699999999998"/>
  </r>
  <r>
    <n v="202105"/>
    <x v="16"/>
    <n v="2021"/>
    <s v=" May "/>
    <x v="0"/>
    <x v="0"/>
    <s v="Luzon"/>
    <n v="1775.27"/>
  </r>
  <r>
    <n v="202106"/>
    <x v="17"/>
    <n v="2021"/>
    <s v=" June "/>
    <x v="0"/>
    <x v="0"/>
    <s v="Luzon"/>
    <n v="1449.38"/>
  </r>
  <r>
    <n v="202107"/>
    <x v="18"/>
    <n v="2021"/>
    <s v=" July "/>
    <x v="0"/>
    <x v="0"/>
    <s v="Luzon"/>
    <n v="1738.37"/>
  </r>
  <r>
    <n v="202108"/>
    <x v="19"/>
    <n v="2021"/>
    <s v=" August "/>
    <x v="0"/>
    <x v="0"/>
    <s v="Luzon"/>
    <n v="1739.68"/>
  </r>
  <r>
    <n v="202109"/>
    <x v="20"/>
    <n v="2021"/>
    <s v=" September "/>
    <x v="0"/>
    <x v="0"/>
    <s v="Luzon"/>
    <n v="1703.57"/>
  </r>
  <r>
    <n v="202110"/>
    <x v="21"/>
    <n v="2021"/>
    <s v=" October "/>
    <x v="0"/>
    <x v="0"/>
    <s v="Luzon"/>
    <n v="1741.54"/>
  </r>
  <r>
    <n v="202111"/>
    <x v="22"/>
    <n v="2021"/>
    <s v=" November "/>
    <x v="0"/>
    <x v="0"/>
    <s v="Luzon"/>
    <n v="2544.85"/>
  </r>
  <r>
    <n v="202112"/>
    <x v="23"/>
    <n v="2021"/>
    <s v=" December "/>
    <x v="0"/>
    <x v="0"/>
    <s v="Luzon"/>
    <n v="1889.03"/>
  </r>
  <r>
    <n v="202101"/>
    <x v="12"/>
    <n v="2021"/>
    <s v=" January "/>
    <x v="0"/>
    <x v="0"/>
    <s v="Luzon"/>
    <n v="4471.68"/>
  </r>
  <r>
    <n v="202102"/>
    <x v="13"/>
    <n v="2021"/>
    <s v=" February "/>
    <x v="0"/>
    <x v="0"/>
    <s v="Luzon"/>
    <n v="2847.61"/>
  </r>
  <r>
    <n v="202103"/>
    <x v="14"/>
    <n v="2021"/>
    <s v=" March "/>
    <x v="0"/>
    <x v="0"/>
    <s v="Luzon"/>
    <n v="3011"/>
  </r>
  <r>
    <n v="202104"/>
    <x v="15"/>
    <n v="2021"/>
    <s v=" April "/>
    <x v="0"/>
    <x v="0"/>
    <s v="Luzon"/>
    <n v="4250.9399999999996"/>
  </r>
  <r>
    <n v="202105"/>
    <x v="16"/>
    <n v="2021"/>
    <s v=" May "/>
    <x v="0"/>
    <x v="0"/>
    <s v="Luzon"/>
    <n v="3565.89"/>
  </r>
  <r>
    <n v="202106"/>
    <x v="17"/>
    <n v="2021"/>
    <s v=" June "/>
    <x v="0"/>
    <x v="0"/>
    <s v="Luzon"/>
    <n v="3667.3"/>
  </r>
  <r>
    <n v="202107"/>
    <x v="18"/>
    <n v="2021"/>
    <s v=" July "/>
    <x v="0"/>
    <x v="0"/>
    <s v="Luzon"/>
    <n v="3154.82"/>
  </r>
  <r>
    <n v="202108"/>
    <x v="19"/>
    <n v="2021"/>
    <s v=" August "/>
    <x v="0"/>
    <x v="0"/>
    <s v="Luzon"/>
    <n v="3302.93"/>
  </r>
  <r>
    <n v="202109"/>
    <x v="20"/>
    <n v="2021"/>
    <s v=" September "/>
    <x v="0"/>
    <x v="0"/>
    <s v="Luzon"/>
    <n v="3105.07"/>
  </r>
  <r>
    <n v="202110"/>
    <x v="21"/>
    <n v="2021"/>
    <s v=" October "/>
    <x v="0"/>
    <x v="0"/>
    <s v="Luzon"/>
    <n v="3200.43"/>
  </r>
  <r>
    <n v="202111"/>
    <x v="22"/>
    <n v="2021"/>
    <s v=" November "/>
    <x v="0"/>
    <x v="0"/>
    <s v="Luzon"/>
    <n v="3959.54"/>
  </r>
  <r>
    <n v="202112"/>
    <x v="23"/>
    <n v="2021"/>
    <s v=" December "/>
    <x v="0"/>
    <x v="0"/>
    <s v="Luzon"/>
    <n v="4092.14"/>
  </r>
  <r>
    <n v="202101"/>
    <x v="12"/>
    <n v="2021"/>
    <s v=" January "/>
    <x v="0"/>
    <x v="0"/>
    <s v="Luzon"/>
    <n v="671.86"/>
  </r>
  <r>
    <n v="202102"/>
    <x v="13"/>
    <n v="2021"/>
    <s v=" February "/>
    <x v="0"/>
    <x v="0"/>
    <s v="Luzon"/>
    <n v="498.94"/>
  </r>
  <r>
    <n v="202103"/>
    <x v="14"/>
    <n v="2021"/>
    <s v=" March "/>
    <x v="0"/>
    <x v="0"/>
    <s v="Luzon"/>
    <n v="532.71"/>
  </r>
  <r>
    <n v="202104"/>
    <x v="15"/>
    <n v="2021"/>
    <s v=" April "/>
    <x v="0"/>
    <x v="0"/>
    <s v="Luzon"/>
    <n v="810.05"/>
  </r>
  <r>
    <n v="202105"/>
    <x v="16"/>
    <n v="2021"/>
    <s v=" May "/>
    <x v="0"/>
    <x v="0"/>
    <s v="Luzon"/>
    <n v="565.69000000000005"/>
  </r>
  <r>
    <n v="202106"/>
    <x v="17"/>
    <n v="2021"/>
    <s v=" June "/>
    <x v="0"/>
    <x v="0"/>
    <s v="Luzon"/>
    <n v="542.49"/>
  </r>
  <r>
    <n v="202107"/>
    <x v="18"/>
    <n v="2021"/>
    <s v=" July "/>
    <x v="0"/>
    <x v="0"/>
    <s v="Luzon"/>
    <n v="531.21"/>
  </r>
  <r>
    <n v="202108"/>
    <x v="19"/>
    <n v="2021"/>
    <s v=" August "/>
    <x v="0"/>
    <x v="0"/>
    <s v="Luzon"/>
    <n v="570.83000000000004"/>
  </r>
  <r>
    <n v="202109"/>
    <x v="20"/>
    <n v="2021"/>
    <s v=" September "/>
    <x v="0"/>
    <x v="0"/>
    <s v="Luzon"/>
    <n v="543.17999999999995"/>
  </r>
  <r>
    <n v="202110"/>
    <x v="21"/>
    <n v="2021"/>
    <s v=" October "/>
    <x v="0"/>
    <x v="0"/>
    <s v="Luzon"/>
    <n v="681.3"/>
  </r>
  <r>
    <n v="202111"/>
    <x v="22"/>
    <n v="2021"/>
    <s v=" November "/>
    <x v="0"/>
    <x v="0"/>
    <s v="Luzon"/>
    <n v="716.31"/>
  </r>
  <r>
    <n v="202112"/>
    <x v="23"/>
    <n v="2021"/>
    <s v=" December "/>
    <x v="0"/>
    <x v="0"/>
    <s v="Luzon"/>
    <n v="567.16"/>
  </r>
  <r>
    <n v="202101"/>
    <x v="12"/>
    <n v="2021"/>
    <s v=" January "/>
    <x v="0"/>
    <x v="0"/>
    <s v="Luzon"/>
    <n v="1129.2"/>
  </r>
  <r>
    <n v="202102"/>
    <x v="13"/>
    <n v="2021"/>
    <s v=" February "/>
    <x v="0"/>
    <x v="0"/>
    <s v="Luzon"/>
    <n v="950.24"/>
  </r>
  <r>
    <n v="202103"/>
    <x v="14"/>
    <n v="2021"/>
    <s v=" March "/>
    <x v="0"/>
    <x v="0"/>
    <s v="Luzon"/>
    <n v="911.19"/>
  </r>
  <r>
    <n v="202104"/>
    <x v="15"/>
    <n v="2021"/>
    <s v=" April "/>
    <x v="0"/>
    <x v="0"/>
    <s v="Luzon"/>
    <n v="1560.23"/>
  </r>
  <r>
    <n v="202105"/>
    <x v="16"/>
    <n v="2021"/>
    <s v=" May "/>
    <x v="0"/>
    <x v="0"/>
    <s v="Luzon"/>
    <n v="1096.3699999999999"/>
  </r>
  <r>
    <n v="202106"/>
    <x v="17"/>
    <n v="2021"/>
    <s v=" June "/>
    <x v="0"/>
    <x v="0"/>
    <s v="Luzon"/>
    <n v="1019.41"/>
  </r>
  <r>
    <n v="202107"/>
    <x v="18"/>
    <n v="2021"/>
    <s v=" July "/>
    <x v="0"/>
    <x v="0"/>
    <s v="Luzon"/>
    <n v="1084.67"/>
  </r>
  <r>
    <n v="202108"/>
    <x v="19"/>
    <n v="2021"/>
    <s v=" August "/>
    <x v="0"/>
    <x v="0"/>
    <s v="Luzon"/>
    <n v="1228.42"/>
  </r>
  <r>
    <n v="202109"/>
    <x v="20"/>
    <n v="2021"/>
    <s v=" September "/>
    <x v="0"/>
    <x v="0"/>
    <s v="Luzon"/>
    <n v="1054.43"/>
  </r>
  <r>
    <n v="202110"/>
    <x v="21"/>
    <n v="2021"/>
    <s v=" October "/>
    <x v="0"/>
    <x v="0"/>
    <s v="Luzon"/>
    <n v="979.42"/>
  </r>
  <r>
    <n v="202111"/>
    <x v="22"/>
    <n v="2021"/>
    <s v=" November "/>
    <x v="0"/>
    <x v="0"/>
    <s v="Luzon"/>
    <n v="1228.78"/>
  </r>
  <r>
    <n v="202112"/>
    <x v="23"/>
    <n v="2021"/>
    <s v=" December "/>
    <x v="0"/>
    <x v="0"/>
    <s v="Luzon"/>
    <n v="1204"/>
  </r>
  <r>
    <n v="202101"/>
    <x v="12"/>
    <n v="2021"/>
    <s v=" January "/>
    <x v="0"/>
    <x v="0"/>
    <s v="Luzon"/>
    <n v="1900.86"/>
  </r>
  <r>
    <n v="202102"/>
    <x v="13"/>
    <n v="2021"/>
    <s v=" February "/>
    <x v="0"/>
    <x v="0"/>
    <s v="Luzon"/>
    <n v="1114.8499999999999"/>
  </r>
  <r>
    <n v="202103"/>
    <x v="14"/>
    <n v="2021"/>
    <s v=" March "/>
    <x v="0"/>
    <x v="0"/>
    <s v="Luzon"/>
    <n v="950.44"/>
  </r>
  <r>
    <n v="202104"/>
    <x v="15"/>
    <n v="2021"/>
    <s v=" April "/>
    <x v="0"/>
    <x v="0"/>
    <s v="Luzon"/>
    <n v="1871.85"/>
  </r>
  <r>
    <n v="202105"/>
    <x v="16"/>
    <n v="2021"/>
    <s v=" May "/>
    <x v="0"/>
    <x v="0"/>
    <s v="Luzon"/>
    <n v="1159.33"/>
  </r>
  <r>
    <n v="202106"/>
    <x v="17"/>
    <n v="2021"/>
    <s v=" June "/>
    <x v="0"/>
    <x v="0"/>
    <s v="Luzon"/>
    <n v="955.46"/>
  </r>
  <r>
    <n v="202107"/>
    <x v="18"/>
    <n v="2021"/>
    <s v=" July "/>
    <x v="0"/>
    <x v="0"/>
    <s v="Luzon"/>
    <n v="1551.61"/>
  </r>
  <r>
    <n v="202108"/>
    <x v="19"/>
    <n v="2021"/>
    <s v=" August "/>
    <x v="0"/>
    <x v="0"/>
    <s v="Luzon"/>
    <n v="1035.83"/>
  </r>
  <r>
    <n v="202109"/>
    <x v="20"/>
    <n v="2021"/>
    <s v=" September "/>
    <x v="0"/>
    <x v="0"/>
    <s v="Luzon"/>
    <n v="1180.73"/>
  </r>
  <r>
    <n v="202110"/>
    <x v="21"/>
    <n v="2021"/>
    <s v=" October "/>
    <x v="0"/>
    <x v="0"/>
    <s v="Luzon"/>
    <n v="958.95"/>
  </r>
  <r>
    <n v="202111"/>
    <x v="22"/>
    <n v="2021"/>
    <s v=" November "/>
    <x v="0"/>
    <x v="0"/>
    <s v="Luzon"/>
    <n v="1783.85"/>
  </r>
  <r>
    <n v="202112"/>
    <x v="23"/>
    <n v="2021"/>
    <s v=" December "/>
    <x v="0"/>
    <x v="0"/>
    <s v="Luzon"/>
    <n v="1038.32"/>
  </r>
  <r>
    <n v="202101"/>
    <x v="12"/>
    <n v="2021"/>
    <s v=" January "/>
    <x v="0"/>
    <x v="0"/>
    <s v="Luzon"/>
    <n v="1651.41"/>
  </r>
  <r>
    <n v="202102"/>
    <x v="13"/>
    <n v="2021"/>
    <s v=" February "/>
    <x v="0"/>
    <x v="0"/>
    <s v="Luzon"/>
    <n v="1615.12"/>
  </r>
  <r>
    <n v="202103"/>
    <x v="14"/>
    <n v="2021"/>
    <s v=" March "/>
    <x v="0"/>
    <x v="0"/>
    <s v="Luzon"/>
    <n v="1286.6099999999999"/>
  </r>
  <r>
    <n v="202104"/>
    <x v="15"/>
    <n v="2021"/>
    <s v=" April "/>
    <x v="0"/>
    <x v="0"/>
    <s v="Luzon"/>
    <n v="1928.01"/>
  </r>
  <r>
    <n v="202105"/>
    <x v="16"/>
    <n v="2021"/>
    <s v=" May "/>
    <x v="0"/>
    <x v="0"/>
    <s v="Luzon"/>
    <n v="1365.51"/>
  </r>
  <r>
    <n v="202106"/>
    <x v="17"/>
    <n v="2021"/>
    <s v=" June "/>
    <x v="0"/>
    <x v="0"/>
    <s v="Luzon"/>
    <n v="1109.3900000000001"/>
  </r>
  <r>
    <n v="202107"/>
    <x v="18"/>
    <n v="2021"/>
    <s v=" July "/>
    <x v="0"/>
    <x v="0"/>
    <s v="Luzon"/>
    <n v="1970.18"/>
  </r>
  <r>
    <n v="202108"/>
    <x v="19"/>
    <n v="2021"/>
    <s v=" August "/>
    <x v="0"/>
    <x v="0"/>
    <s v="Luzon"/>
    <n v="1319.03"/>
  </r>
  <r>
    <n v="202109"/>
    <x v="20"/>
    <n v="2021"/>
    <s v=" September "/>
    <x v="0"/>
    <x v="0"/>
    <s v="Luzon"/>
    <n v="1225.46"/>
  </r>
  <r>
    <n v="202110"/>
    <x v="21"/>
    <n v="2021"/>
    <s v=" October "/>
    <x v="0"/>
    <x v="0"/>
    <s v="Luzon"/>
    <n v="1483.2"/>
  </r>
  <r>
    <n v="202111"/>
    <x v="22"/>
    <n v="2021"/>
    <s v=" November "/>
    <x v="0"/>
    <x v="0"/>
    <s v="Luzon"/>
    <n v="2705.21"/>
  </r>
  <r>
    <n v="202112"/>
    <x v="23"/>
    <n v="2021"/>
    <s v=" December "/>
    <x v="0"/>
    <x v="0"/>
    <s v="Luzon"/>
    <n v="1685.31"/>
  </r>
  <r>
    <n v="202101"/>
    <x v="12"/>
    <n v="2021"/>
    <s v=" January "/>
    <x v="0"/>
    <x v="0"/>
    <s v="Luzon"/>
    <n v="4131.57"/>
  </r>
  <r>
    <n v="202102"/>
    <x v="13"/>
    <n v="2021"/>
    <s v=" February "/>
    <x v="0"/>
    <x v="0"/>
    <s v="Luzon"/>
    <n v="2947.59"/>
  </r>
  <r>
    <n v="202103"/>
    <x v="14"/>
    <n v="2021"/>
    <s v=" March "/>
    <x v="0"/>
    <x v="0"/>
    <s v="Luzon"/>
    <n v="2404.33"/>
  </r>
  <r>
    <n v="202104"/>
    <x v="15"/>
    <n v="2021"/>
    <s v=" April "/>
    <x v="0"/>
    <x v="0"/>
    <s v="Luzon"/>
    <n v="4827.9799999999996"/>
  </r>
  <r>
    <n v="202105"/>
    <x v="16"/>
    <n v="2021"/>
    <s v=" May "/>
    <x v="0"/>
    <x v="0"/>
    <s v="Luzon"/>
    <n v="3629.65"/>
  </r>
  <r>
    <n v="202106"/>
    <x v="17"/>
    <n v="2021"/>
    <s v=" June "/>
    <x v="0"/>
    <x v="0"/>
    <s v="Luzon"/>
    <n v="3256.65"/>
  </r>
  <r>
    <n v="202107"/>
    <x v="18"/>
    <n v="2021"/>
    <s v=" July "/>
    <x v="0"/>
    <x v="0"/>
    <s v="Luzon"/>
    <n v="3635.67"/>
  </r>
  <r>
    <n v="202108"/>
    <x v="19"/>
    <n v="2021"/>
    <s v=" August "/>
    <x v="0"/>
    <x v="0"/>
    <s v="Luzon"/>
    <n v="3136.64"/>
  </r>
  <r>
    <n v="202109"/>
    <x v="20"/>
    <n v="2021"/>
    <s v=" September "/>
    <x v="0"/>
    <x v="0"/>
    <s v="Luzon"/>
    <n v="2951.95"/>
  </r>
  <r>
    <n v="202110"/>
    <x v="21"/>
    <n v="2021"/>
    <s v=" October "/>
    <x v="0"/>
    <x v="0"/>
    <s v="Luzon"/>
    <n v="3206.76"/>
  </r>
  <r>
    <n v="202111"/>
    <x v="22"/>
    <n v="2021"/>
    <s v=" November "/>
    <x v="0"/>
    <x v="0"/>
    <s v="Luzon"/>
    <n v="3912.81"/>
  </r>
  <r>
    <n v="202112"/>
    <x v="23"/>
    <n v="2021"/>
    <s v=" December "/>
    <x v="0"/>
    <x v="0"/>
    <s v="Luzon"/>
    <n v="3561.56"/>
  </r>
  <r>
    <n v="202101"/>
    <x v="12"/>
    <n v="2021"/>
    <s v=" January "/>
    <x v="0"/>
    <x v="0"/>
    <s v="Luzon"/>
    <n v="7508.62"/>
  </r>
  <r>
    <n v="202102"/>
    <x v="13"/>
    <n v="2021"/>
    <s v=" February "/>
    <x v="0"/>
    <x v="0"/>
    <s v="Luzon"/>
    <n v="5747.2"/>
  </r>
  <r>
    <n v="202103"/>
    <x v="14"/>
    <n v="2021"/>
    <s v=" March "/>
    <x v="0"/>
    <x v="0"/>
    <s v="Luzon"/>
    <n v="5874.44"/>
  </r>
  <r>
    <n v="202104"/>
    <x v="15"/>
    <n v="2021"/>
    <s v=" April "/>
    <x v="0"/>
    <x v="0"/>
    <s v="Luzon"/>
    <n v="8880.1"/>
  </r>
  <r>
    <n v="202105"/>
    <x v="16"/>
    <n v="2021"/>
    <s v=" May "/>
    <x v="0"/>
    <x v="0"/>
    <s v="Luzon"/>
    <n v="6511.15"/>
  </r>
  <r>
    <n v="202106"/>
    <x v="17"/>
    <n v="2021"/>
    <s v=" June "/>
    <x v="0"/>
    <x v="0"/>
    <s v="Luzon"/>
    <n v="6100.35"/>
  </r>
  <r>
    <n v="202107"/>
    <x v="18"/>
    <n v="2021"/>
    <s v=" July "/>
    <x v="0"/>
    <x v="0"/>
    <s v="Luzon"/>
    <n v="6291.34"/>
  </r>
  <r>
    <n v="202108"/>
    <x v="19"/>
    <n v="2021"/>
    <s v=" August "/>
    <x v="0"/>
    <x v="0"/>
    <s v="Luzon"/>
    <n v="6279.41"/>
  </r>
  <r>
    <n v="202109"/>
    <x v="20"/>
    <n v="2021"/>
    <s v=" September "/>
    <x v="0"/>
    <x v="0"/>
    <s v="Luzon"/>
    <n v="5938.98"/>
  </r>
  <r>
    <n v="202110"/>
    <x v="21"/>
    <n v="2021"/>
    <s v=" October "/>
    <x v="0"/>
    <x v="0"/>
    <s v="Luzon"/>
    <n v="6440.71"/>
  </r>
  <r>
    <n v="202111"/>
    <x v="22"/>
    <n v="2021"/>
    <s v=" November "/>
    <x v="0"/>
    <x v="0"/>
    <s v="Luzon"/>
    <n v="8415.5300000000007"/>
  </r>
  <r>
    <n v="202112"/>
    <x v="23"/>
    <n v="2021"/>
    <s v=" December "/>
    <x v="0"/>
    <x v="0"/>
    <s v="Luzon"/>
    <n v="6503.19"/>
  </r>
  <r>
    <n v="202101"/>
    <x v="12"/>
    <n v="2021"/>
    <s v=" January "/>
    <x v="0"/>
    <x v="0"/>
    <s v="Luzon"/>
    <n v="524.24"/>
  </r>
  <r>
    <n v="202102"/>
    <x v="13"/>
    <n v="2021"/>
    <s v=" February "/>
    <x v="0"/>
    <x v="0"/>
    <s v="Luzon"/>
    <n v="397.44"/>
  </r>
  <r>
    <n v="202103"/>
    <x v="14"/>
    <n v="2021"/>
    <s v=" March "/>
    <x v="0"/>
    <x v="0"/>
    <s v="Luzon"/>
    <n v="522.33000000000004"/>
  </r>
  <r>
    <n v="202104"/>
    <x v="15"/>
    <n v="2021"/>
    <s v=" April "/>
    <x v="0"/>
    <x v="0"/>
    <s v="Luzon"/>
    <n v="652.75"/>
  </r>
  <r>
    <n v="202105"/>
    <x v="16"/>
    <n v="2021"/>
    <s v=" May "/>
    <x v="0"/>
    <x v="0"/>
    <s v="Luzon"/>
    <n v="607.01"/>
  </r>
  <r>
    <n v="202106"/>
    <x v="17"/>
    <n v="2021"/>
    <s v=" June "/>
    <x v="0"/>
    <x v="0"/>
    <s v="Luzon"/>
    <n v="417.97"/>
  </r>
  <r>
    <n v="202107"/>
    <x v="18"/>
    <n v="2021"/>
    <s v=" July "/>
    <x v="0"/>
    <x v="0"/>
    <s v="Luzon"/>
    <n v="438.23"/>
  </r>
  <r>
    <n v="202108"/>
    <x v="19"/>
    <n v="2021"/>
    <s v=" August "/>
    <x v="0"/>
    <x v="0"/>
    <s v="Luzon"/>
    <n v="417.13"/>
  </r>
  <r>
    <n v="202109"/>
    <x v="20"/>
    <n v="2021"/>
    <s v=" September "/>
    <x v="0"/>
    <x v="0"/>
    <s v="Luzon"/>
    <n v="460.76"/>
  </r>
  <r>
    <n v="202110"/>
    <x v="21"/>
    <n v="2021"/>
    <s v=" October "/>
    <x v="0"/>
    <x v="0"/>
    <s v="Luzon"/>
    <n v="457.11"/>
  </r>
  <r>
    <n v="202111"/>
    <x v="22"/>
    <n v="2021"/>
    <s v=" November "/>
    <x v="0"/>
    <x v="0"/>
    <s v="Luzon"/>
    <n v="522.25"/>
  </r>
  <r>
    <n v="202112"/>
    <x v="23"/>
    <n v="2021"/>
    <s v=" December "/>
    <x v="0"/>
    <x v="0"/>
    <s v="Luzon"/>
    <n v="453.8"/>
  </r>
  <r>
    <n v="202101"/>
    <x v="12"/>
    <n v="2021"/>
    <s v=" January "/>
    <x v="0"/>
    <x v="0"/>
    <s v="Luzon"/>
    <n v="5861.82"/>
  </r>
  <r>
    <n v="202102"/>
    <x v="13"/>
    <n v="2021"/>
    <s v=" February "/>
    <x v="0"/>
    <x v="0"/>
    <s v="Luzon"/>
    <n v="4945.93"/>
  </r>
  <r>
    <n v="202103"/>
    <x v="14"/>
    <n v="2021"/>
    <s v=" March "/>
    <x v="0"/>
    <x v="0"/>
    <s v="Luzon"/>
    <n v="4020.7"/>
  </r>
  <r>
    <n v="202104"/>
    <x v="15"/>
    <n v="2021"/>
    <s v=" April "/>
    <x v="0"/>
    <x v="0"/>
    <s v="Luzon"/>
    <n v="7630.16"/>
  </r>
  <r>
    <n v="202105"/>
    <x v="16"/>
    <n v="2021"/>
    <s v=" May "/>
    <x v="0"/>
    <x v="0"/>
    <s v="Luzon"/>
    <n v="5652.79"/>
  </r>
  <r>
    <n v="202106"/>
    <x v="17"/>
    <n v="2021"/>
    <s v=" June "/>
    <x v="0"/>
    <x v="0"/>
    <s v="Luzon"/>
    <n v="4195.68"/>
  </r>
  <r>
    <n v="202107"/>
    <x v="18"/>
    <n v="2021"/>
    <s v=" July "/>
    <x v="0"/>
    <x v="0"/>
    <s v="Luzon"/>
    <n v="5520.36"/>
  </r>
  <r>
    <n v="202108"/>
    <x v="19"/>
    <n v="2021"/>
    <s v=" August "/>
    <x v="0"/>
    <x v="0"/>
    <s v="Luzon"/>
    <n v="5297.38"/>
  </r>
  <r>
    <n v="202109"/>
    <x v="20"/>
    <n v="2021"/>
    <s v=" September "/>
    <x v="0"/>
    <x v="0"/>
    <s v="Luzon"/>
    <n v="5509.66"/>
  </r>
  <r>
    <n v="202110"/>
    <x v="21"/>
    <n v="2021"/>
    <s v=" October "/>
    <x v="0"/>
    <x v="0"/>
    <s v="Luzon"/>
    <n v="5648.58"/>
  </r>
  <r>
    <n v="202111"/>
    <x v="22"/>
    <n v="2021"/>
    <s v=" November "/>
    <x v="0"/>
    <x v="0"/>
    <s v="Luzon"/>
    <n v="6512.67"/>
  </r>
  <r>
    <n v="202112"/>
    <x v="23"/>
    <n v="2021"/>
    <s v=" December "/>
    <x v="0"/>
    <x v="0"/>
    <s v="Luzon"/>
    <n v="6473.76"/>
  </r>
  <r>
    <n v="202101"/>
    <x v="12"/>
    <n v="2021"/>
    <s v=" January "/>
    <x v="0"/>
    <x v="0"/>
    <s v="Luzon"/>
    <n v="448.79"/>
  </r>
  <r>
    <n v="202102"/>
    <x v="13"/>
    <n v="2021"/>
    <s v=" February "/>
    <x v="0"/>
    <x v="0"/>
    <s v="Luzon"/>
    <n v="348.39"/>
  </r>
  <r>
    <n v="202103"/>
    <x v="14"/>
    <n v="2021"/>
    <s v=" March "/>
    <x v="0"/>
    <x v="0"/>
    <s v="Luzon"/>
    <n v="376.39"/>
  </r>
  <r>
    <n v="202104"/>
    <x v="15"/>
    <n v="2021"/>
    <s v=" April "/>
    <x v="0"/>
    <x v="0"/>
    <s v="Luzon"/>
    <n v="539.02"/>
  </r>
  <r>
    <n v="202105"/>
    <x v="16"/>
    <n v="2021"/>
    <s v=" May "/>
    <x v="0"/>
    <x v="0"/>
    <s v="Luzon"/>
    <n v="383.92"/>
  </r>
  <r>
    <n v="202106"/>
    <x v="17"/>
    <n v="2021"/>
    <s v=" June "/>
    <x v="0"/>
    <x v="0"/>
    <s v="Luzon"/>
    <n v="461.98"/>
  </r>
  <r>
    <n v="202107"/>
    <x v="18"/>
    <n v="2021"/>
    <s v=" July "/>
    <x v="0"/>
    <x v="0"/>
    <s v="Luzon"/>
    <n v="501.86"/>
  </r>
  <r>
    <n v="202108"/>
    <x v="19"/>
    <n v="2021"/>
    <s v=" August "/>
    <x v="0"/>
    <x v="0"/>
    <s v="Luzon"/>
    <n v="461.43"/>
  </r>
  <r>
    <n v="202109"/>
    <x v="20"/>
    <n v="2021"/>
    <s v=" September "/>
    <x v="0"/>
    <x v="0"/>
    <s v="Luzon"/>
    <n v="450.41"/>
  </r>
  <r>
    <n v="202110"/>
    <x v="21"/>
    <n v="2021"/>
    <s v=" October "/>
    <x v="0"/>
    <x v="0"/>
    <s v="Luzon"/>
    <n v="430.38"/>
  </r>
  <r>
    <n v="202111"/>
    <x v="22"/>
    <n v="2021"/>
    <s v=" November "/>
    <x v="0"/>
    <x v="0"/>
    <s v="Luzon"/>
    <n v="512.99"/>
  </r>
  <r>
    <n v="202112"/>
    <x v="23"/>
    <n v="2021"/>
    <s v=" December "/>
    <x v="0"/>
    <x v="0"/>
    <s v="Luzon"/>
    <n v="450.46"/>
  </r>
  <r>
    <n v="202101"/>
    <x v="12"/>
    <n v="2021"/>
    <s v=" January "/>
    <x v="0"/>
    <x v="0"/>
    <s v="Luzon"/>
    <n v="105267.1"/>
  </r>
  <r>
    <n v="202102"/>
    <x v="13"/>
    <n v="2021"/>
    <s v=" February "/>
    <x v="0"/>
    <x v="0"/>
    <s v="Luzon"/>
    <n v="89403.62"/>
  </r>
  <r>
    <n v="202103"/>
    <x v="14"/>
    <n v="2021"/>
    <s v=" March "/>
    <x v="0"/>
    <x v="0"/>
    <s v="Luzon"/>
    <n v="80602.649999999994"/>
  </r>
  <r>
    <n v="202104"/>
    <x v="15"/>
    <n v="2021"/>
    <s v=" April "/>
    <x v="0"/>
    <x v="0"/>
    <s v="Luzon"/>
    <n v="129029.67"/>
  </r>
  <r>
    <n v="202105"/>
    <x v="16"/>
    <n v="2021"/>
    <s v=" May "/>
    <x v="0"/>
    <x v="0"/>
    <s v="Luzon"/>
    <n v="115435.29"/>
  </r>
  <r>
    <n v="202106"/>
    <x v="17"/>
    <n v="2021"/>
    <s v=" June "/>
    <x v="0"/>
    <x v="0"/>
    <s v="Luzon"/>
    <n v="95695.99"/>
  </r>
  <r>
    <n v="202107"/>
    <x v="18"/>
    <n v="2021"/>
    <s v=" July "/>
    <x v="0"/>
    <x v="0"/>
    <s v="Luzon"/>
    <n v="101606.71"/>
  </r>
  <r>
    <n v="202108"/>
    <x v="19"/>
    <n v="2021"/>
    <s v=" August "/>
    <x v="0"/>
    <x v="0"/>
    <s v="Luzon"/>
    <n v="115587.7"/>
  </r>
  <r>
    <n v="202109"/>
    <x v="20"/>
    <n v="2021"/>
    <s v=" September "/>
    <x v="0"/>
    <x v="0"/>
    <s v="Luzon"/>
    <n v="89985.44"/>
  </r>
  <r>
    <n v="202110"/>
    <x v="21"/>
    <n v="2021"/>
    <s v=" October "/>
    <x v="0"/>
    <x v="0"/>
    <s v="Luzon"/>
    <n v="95956.98"/>
  </r>
  <r>
    <n v="202111"/>
    <x v="22"/>
    <n v="2021"/>
    <s v=" November "/>
    <x v="0"/>
    <x v="0"/>
    <s v="Luzon"/>
    <n v="130663.38"/>
  </r>
  <r>
    <n v="202112"/>
    <x v="23"/>
    <n v="2021"/>
    <s v=" December "/>
    <x v="0"/>
    <x v="0"/>
    <s v="Luzon"/>
    <n v="93460.35"/>
  </r>
  <r>
    <n v="202101"/>
    <x v="12"/>
    <n v="2021"/>
    <s v=" January "/>
    <x v="1"/>
    <x v="1"/>
    <s v="Luzon"/>
    <n v="62.22"/>
  </r>
  <r>
    <n v="202102"/>
    <x v="13"/>
    <n v="2021"/>
    <s v=" February "/>
    <x v="1"/>
    <x v="1"/>
    <s v="Luzon"/>
    <n v="30.5"/>
  </r>
  <r>
    <n v="202103"/>
    <x v="14"/>
    <n v="2021"/>
    <s v=" March "/>
    <x v="1"/>
    <x v="1"/>
    <s v="Luzon"/>
    <n v="36.76"/>
  </r>
  <r>
    <n v="202104"/>
    <x v="15"/>
    <n v="2021"/>
    <s v=" April "/>
    <x v="1"/>
    <x v="1"/>
    <s v="Luzon"/>
    <n v="45.29"/>
  </r>
  <r>
    <n v="202105"/>
    <x v="16"/>
    <n v="2021"/>
    <s v=" May "/>
    <x v="1"/>
    <x v="1"/>
    <s v="Luzon"/>
    <n v="38.32"/>
  </r>
  <r>
    <n v="202106"/>
    <x v="17"/>
    <n v="2021"/>
    <s v=" June "/>
    <x v="1"/>
    <x v="1"/>
    <s v="Luzon"/>
    <n v="50.71"/>
  </r>
  <r>
    <n v="202107"/>
    <x v="18"/>
    <n v="2021"/>
    <s v=" July "/>
    <x v="1"/>
    <x v="1"/>
    <s v="Luzon"/>
    <n v="50.2"/>
  </r>
  <r>
    <n v="202108"/>
    <x v="19"/>
    <n v="2021"/>
    <s v=" August "/>
    <x v="1"/>
    <x v="1"/>
    <s v="Luzon"/>
    <n v="40.18"/>
  </r>
  <r>
    <n v="202109"/>
    <x v="20"/>
    <n v="2021"/>
    <s v=" September "/>
    <x v="1"/>
    <x v="1"/>
    <s v="Luzon"/>
    <n v="35.43"/>
  </r>
  <r>
    <n v="202110"/>
    <x v="21"/>
    <n v="2021"/>
    <s v=" October "/>
    <x v="1"/>
    <x v="1"/>
    <s v="Luzon"/>
    <n v="44.62"/>
  </r>
  <r>
    <n v="202111"/>
    <x v="22"/>
    <n v="2021"/>
    <s v=" November "/>
    <x v="1"/>
    <x v="1"/>
    <s v="Luzon"/>
    <n v="41.38"/>
  </r>
  <r>
    <n v="202112"/>
    <x v="23"/>
    <n v="2021"/>
    <s v=" December "/>
    <x v="1"/>
    <x v="1"/>
    <s v="Luzon"/>
    <n v="48.3"/>
  </r>
  <r>
    <n v="202101"/>
    <x v="12"/>
    <n v="2021"/>
    <s v=" January "/>
    <x v="1"/>
    <x v="1"/>
    <s v="Luzon"/>
    <n v="81.430000000000007"/>
  </r>
  <r>
    <n v="202102"/>
    <x v="13"/>
    <n v="2021"/>
    <s v=" February "/>
    <x v="1"/>
    <x v="1"/>
    <s v="Luzon"/>
    <n v="44.48"/>
  </r>
  <r>
    <n v="202103"/>
    <x v="14"/>
    <n v="2021"/>
    <s v=" March "/>
    <x v="1"/>
    <x v="1"/>
    <s v="Luzon"/>
    <n v="44.27"/>
  </r>
  <r>
    <n v="202104"/>
    <x v="15"/>
    <n v="2021"/>
    <s v=" April "/>
    <x v="1"/>
    <x v="1"/>
    <s v="Luzon"/>
    <n v="64.290000000000006"/>
  </r>
  <r>
    <n v="202105"/>
    <x v="16"/>
    <n v="2021"/>
    <s v=" May "/>
    <x v="1"/>
    <x v="1"/>
    <s v="Luzon"/>
    <n v="59.62"/>
  </r>
  <r>
    <n v="202106"/>
    <x v="17"/>
    <n v="2021"/>
    <s v=" June "/>
    <x v="1"/>
    <x v="1"/>
    <s v="Luzon"/>
    <n v="68.02"/>
  </r>
  <r>
    <n v="202107"/>
    <x v="18"/>
    <n v="2021"/>
    <s v=" July "/>
    <x v="1"/>
    <x v="1"/>
    <s v="Luzon"/>
    <n v="58.53"/>
  </r>
  <r>
    <n v="202108"/>
    <x v="19"/>
    <n v="2021"/>
    <s v=" August "/>
    <x v="1"/>
    <x v="1"/>
    <s v="Luzon"/>
    <n v="60.77"/>
  </r>
  <r>
    <n v="202109"/>
    <x v="20"/>
    <n v="2021"/>
    <s v=" September "/>
    <x v="1"/>
    <x v="1"/>
    <s v="Luzon"/>
    <n v="56.98"/>
  </r>
  <r>
    <n v="202110"/>
    <x v="21"/>
    <n v="2021"/>
    <s v=" October "/>
    <x v="1"/>
    <x v="1"/>
    <s v="Luzon"/>
    <n v="66.8"/>
  </r>
  <r>
    <n v="202111"/>
    <x v="22"/>
    <n v="2021"/>
    <s v=" November "/>
    <x v="1"/>
    <x v="1"/>
    <s v="Luzon"/>
    <n v="59.93"/>
  </r>
  <r>
    <n v="202112"/>
    <x v="23"/>
    <n v="2021"/>
    <s v=" December "/>
    <x v="1"/>
    <x v="1"/>
    <s v="Luzon"/>
    <n v="68.31"/>
  </r>
  <r>
    <n v="202101"/>
    <x v="12"/>
    <n v="2021"/>
    <s v=" January "/>
    <x v="1"/>
    <x v="1"/>
    <s v="Luzon"/>
    <n v="97.3"/>
  </r>
  <r>
    <n v="202102"/>
    <x v="13"/>
    <n v="2021"/>
    <s v=" February "/>
    <x v="1"/>
    <x v="1"/>
    <s v="Luzon"/>
    <n v="73.52"/>
  </r>
  <r>
    <n v="202103"/>
    <x v="14"/>
    <n v="2021"/>
    <s v=" March "/>
    <x v="1"/>
    <x v="1"/>
    <s v="Luzon"/>
    <n v="84.84"/>
  </r>
  <r>
    <n v="202104"/>
    <x v="15"/>
    <n v="2021"/>
    <s v=" April "/>
    <x v="1"/>
    <x v="1"/>
    <s v="Luzon"/>
    <n v="104.94"/>
  </r>
  <r>
    <n v="202105"/>
    <x v="16"/>
    <n v="2021"/>
    <s v=" May "/>
    <x v="1"/>
    <x v="1"/>
    <s v="Luzon"/>
    <n v="67.459999999999994"/>
  </r>
  <r>
    <n v="202106"/>
    <x v="17"/>
    <n v="2021"/>
    <s v=" June "/>
    <x v="1"/>
    <x v="1"/>
    <s v="Luzon"/>
    <n v="79.64"/>
  </r>
  <r>
    <n v="202107"/>
    <x v="18"/>
    <n v="2021"/>
    <s v=" July "/>
    <x v="1"/>
    <x v="1"/>
    <s v="Luzon"/>
    <n v="108.24"/>
  </r>
  <r>
    <n v="202108"/>
    <x v="19"/>
    <n v="2021"/>
    <s v=" August "/>
    <x v="1"/>
    <x v="1"/>
    <s v="Luzon"/>
    <n v="71.66"/>
  </r>
  <r>
    <n v="202109"/>
    <x v="20"/>
    <n v="2021"/>
    <s v=" September "/>
    <x v="1"/>
    <x v="1"/>
    <s v="Luzon"/>
    <n v="75.680000000000007"/>
  </r>
  <r>
    <n v="202110"/>
    <x v="21"/>
    <n v="2021"/>
    <s v=" October "/>
    <x v="1"/>
    <x v="1"/>
    <s v="Luzon"/>
    <n v="84.98"/>
  </r>
  <r>
    <n v="202111"/>
    <x v="22"/>
    <n v="2021"/>
    <s v=" November "/>
    <x v="1"/>
    <x v="1"/>
    <s v="Luzon"/>
    <n v="95.98"/>
  </r>
  <r>
    <n v="202112"/>
    <x v="23"/>
    <n v="2021"/>
    <s v=" December "/>
    <x v="1"/>
    <x v="1"/>
    <s v="Luzon"/>
    <n v="117.69"/>
  </r>
  <r>
    <n v="202101"/>
    <x v="12"/>
    <n v="2021"/>
    <s v=" January "/>
    <x v="1"/>
    <x v="1"/>
    <s v="Luzon"/>
    <n v="53.66"/>
  </r>
  <r>
    <n v="202102"/>
    <x v="13"/>
    <n v="2021"/>
    <s v=" February "/>
    <x v="1"/>
    <x v="1"/>
    <s v="Luzon"/>
    <n v="24.16"/>
  </r>
  <r>
    <n v="202103"/>
    <x v="14"/>
    <n v="2021"/>
    <s v=" March "/>
    <x v="1"/>
    <x v="1"/>
    <s v="Luzon"/>
    <n v="25.62"/>
  </r>
  <r>
    <n v="202104"/>
    <x v="15"/>
    <n v="2021"/>
    <s v=" April "/>
    <x v="1"/>
    <x v="1"/>
    <s v="Luzon"/>
    <n v="27.22"/>
  </r>
  <r>
    <n v="202105"/>
    <x v="16"/>
    <n v="2021"/>
    <s v=" May "/>
    <x v="1"/>
    <x v="1"/>
    <s v="Luzon"/>
    <n v="25.38"/>
  </r>
  <r>
    <n v="202106"/>
    <x v="17"/>
    <n v="2021"/>
    <s v=" June "/>
    <x v="1"/>
    <x v="1"/>
    <s v="Luzon"/>
    <n v="33.07"/>
  </r>
  <r>
    <n v="202107"/>
    <x v="18"/>
    <n v="2021"/>
    <s v=" July "/>
    <x v="1"/>
    <x v="1"/>
    <s v="Luzon"/>
    <n v="32.76"/>
  </r>
  <r>
    <n v="202108"/>
    <x v="19"/>
    <n v="2021"/>
    <s v=" August "/>
    <x v="1"/>
    <x v="1"/>
    <s v="Luzon"/>
    <n v="32.49"/>
  </r>
  <r>
    <n v="202109"/>
    <x v="20"/>
    <n v="2021"/>
    <s v=" September "/>
    <x v="1"/>
    <x v="1"/>
    <s v="Luzon"/>
    <n v="29.68"/>
  </r>
  <r>
    <n v="202110"/>
    <x v="21"/>
    <n v="2021"/>
    <s v=" October "/>
    <x v="1"/>
    <x v="1"/>
    <s v="Luzon"/>
    <n v="30.1"/>
  </r>
  <r>
    <n v="202111"/>
    <x v="22"/>
    <n v="2021"/>
    <s v=" November "/>
    <x v="1"/>
    <x v="1"/>
    <s v="Luzon"/>
    <n v="37"/>
  </r>
  <r>
    <n v="202112"/>
    <x v="23"/>
    <n v="2021"/>
    <s v=" December "/>
    <x v="1"/>
    <x v="1"/>
    <s v="Luzon"/>
    <n v="30.57"/>
  </r>
  <r>
    <n v="202101"/>
    <x v="12"/>
    <n v="2021"/>
    <s v=" January "/>
    <x v="1"/>
    <x v="1"/>
    <s v="Luzon"/>
    <n v="47.88"/>
  </r>
  <r>
    <n v="202102"/>
    <x v="13"/>
    <n v="2021"/>
    <s v=" February "/>
    <x v="1"/>
    <x v="1"/>
    <s v="Luzon"/>
    <n v="17.75"/>
  </r>
  <r>
    <n v="202103"/>
    <x v="14"/>
    <n v="2021"/>
    <s v=" March "/>
    <x v="1"/>
    <x v="1"/>
    <s v="Luzon"/>
    <n v="19.97"/>
  </r>
  <r>
    <n v="202104"/>
    <x v="15"/>
    <n v="2021"/>
    <s v=" April "/>
    <x v="1"/>
    <x v="1"/>
    <s v="Luzon"/>
    <n v="40.14"/>
  </r>
  <r>
    <n v="202105"/>
    <x v="16"/>
    <n v="2021"/>
    <s v=" May "/>
    <x v="1"/>
    <x v="1"/>
    <s v="Luzon"/>
    <n v="18.170000000000002"/>
  </r>
  <r>
    <n v="202106"/>
    <x v="17"/>
    <n v="2021"/>
    <s v=" June "/>
    <x v="1"/>
    <x v="1"/>
    <s v="Luzon"/>
    <n v="29.4"/>
  </r>
  <r>
    <n v="202107"/>
    <x v="18"/>
    <n v="2021"/>
    <s v=" July "/>
    <x v="1"/>
    <x v="1"/>
    <s v="Luzon"/>
    <n v="36.090000000000003"/>
  </r>
  <r>
    <n v="202108"/>
    <x v="19"/>
    <n v="2021"/>
    <s v=" August "/>
    <x v="1"/>
    <x v="1"/>
    <s v="Luzon"/>
    <n v="29.48"/>
  </r>
  <r>
    <n v="202109"/>
    <x v="20"/>
    <n v="2021"/>
    <s v=" September "/>
    <x v="1"/>
    <x v="1"/>
    <s v="Luzon"/>
    <n v="30.58"/>
  </r>
  <r>
    <n v="202110"/>
    <x v="21"/>
    <n v="2021"/>
    <s v=" October "/>
    <x v="1"/>
    <x v="1"/>
    <s v="Luzon"/>
    <n v="32.130000000000003"/>
  </r>
  <r>
    <n v="202111"/>
    <x v="22"/>
    <n v="2021"/>
    <s v=" November "/>
    <x v="1"/>
    <x v="1"/>
    <s v="Luzon"/>
    <n v="33.19"/>
  </r>
  <r>
    <n v="202112"/>
    <x v="23"/>
    <n v="2021"/>
    <s v=" December "/>
    <x v="1"/>
    <x v="1"/>
    <s v="Luzon"/>
    <n v="38.520000000000003"/>
  </r>
  <r>
    <n v="202101"/>
    <x v="12"/>
    <n v="2021"/>
    <s v=" January "/>
    <x v="1"/>
    <x v="1"/>
    <s v="Luzon"/>
    <n v="237.67"/>
  </r>
  <r>
    <n v="202102"/>
    <x v="13"/>
    <n v="2021"/>
    <s v=" February "/>
    <x v="1"/>
    <x v="1"/>
    <s v="Luzon"/>
    <n v="182.56"/>
  </r>
  <r>
    <n v="202103"/>
    <x v="14"/>
    <n v="2021"/>
    <s v=" March "/>
    <x v="1"/>
    <x v="1"/>
    <s v="Luzon"/>
    <n v="189.26"/>
  </r>
  <r>
    <n v="202104"/>
    <x v="15"/>
    <n v="2021"/>
    <s v=" April "/>
    <x v="1"/>
    <x v="1"/>
    <s v="Luzon"/>
    <n v="298"/>
  </r>
  <r>
    <n v="202105"/>
    <x v="16"/>
    <n v="2021"/>
    <s v=" May "/>
    <x v="1"/>
    <x v="1"/>
    <s v="Luzon"/>
    <n v="228.73"/>
  </r>
  <r>
    <n v="202106"/>
    <x v="17"/>
    <n v="2021"/>
    <s v=" June "/>
    <x v="1"/>
    <x v="1"/>
    <s v="Luzon"/>
    <n v="253.79"/>
  </r>
  <r>
    <n v="202107"/>
    <x v="18"/>
    <n v="2021"/>
    <s v=" July "/>
    <x v="1"/>
    <x v="1"/>
    <s v="Luzon"/>
    <n v="233.71"/>
  </r>
  <r>
    <n v="202108"/>
    <x v="19"/>
    <n v="2021"/>
    <s v=" August "/>
    <x v="1"/>
    <x v="1"/>
    <s v="Luzon"/>
    <n v="254.6"/>
  </r>
  <r>
    <n v="202109"/>
    <x v="20"/>
    <n v="2021"/>
    <s v=" September "/>
    <x v="1"/>
    <x v="1"/>
    <s v="Luzon"/>
    <n v="207.78"/>
  </r>
  <r>
    <n v="202110"/>
    <x v="21"/>
    <n v="2021"/>
    <s v=" October "/>
    <x v="1"/>
    <x v="1"/>
    <s v="Luzon"/>
    <n v="284.41000000000003"/>
  </r>
  <r>
    <n v="202111"/>
    <x v="22"/>
    <n v="2021"/>
    <s v=" November "/>
    <x v="1"/>
    <x v="1"/>
    <s v="Luzon"/>
    <n v="294.19"/>
  </r>
  <r>
    <n v="202112"/>
    <x v="23"/>
    <n v="2021"/>
    <s v=" December "/>
    <x v="1"/>
    <x v="1"/>
    <s v="Luzon"/>
    <n v="268.77999999999997"/>
  </r>
  <r>
    <n v="202101"/>
    <x v="12"/>
    <n v="2021"/>
    <s v=" January "/>
    <x v="2"/>
    <x v="1"/>
    <s v="Luzon"/>
    <n v="223.5"/>
  </r>
  <r>
    <n v="202102"/>
    <x v="13"/>
    <n v="2021"/>
    <s v=" February "/>
    <x v="2"/>
    <x v="1"/>
    <s v="Luzon"/>
    <n v="118.77"/>
  </r>
  <r>
    <n v="202103"/>
    <x v="14"/>
    <n v="2021"/>
    <s v=" March "/>
    <x v="2"/>
    <x v="1"/>
    <s v="Luzon"/>
    <n v="132.72"/>
  </r>
  <r>
    <n v="202104"/>
    <x v="15"/>
    <n v="2021"/>
    <s v=" April "/>
    <x v="2"/>
    <x v="1"/>
    <s v="Luzon"/>
    <n v="196.35"/>
  </r>
  <r>
    <n v="202105"/>
    <x v="16"/>
    <n v="2021"/>
    <s v=" May "/>
    <x v="2"/>
    <x v="1"/>
    <s v="Luzon"/>
    <n v="130.13999999999999"/>
  </r>
  <r>
    <n v="202106"/>
    <x v="17"/>
    <n v="2021"/>
    <s v=" June "/>
    <x v="2"/>
    <x v="1"/>
    <s v="Luzon"/>
    <n v="137.01"/>
  </r>
  <r>
    <n v="202107"/>
    <x v="18"/>
    <n v="2021"/>
    <s v=" July "/>
    <x v="2"/>
    <x v="1"/>
    <s v="Luzon"/>
    <n v="157.26"/>
  </r>
  <r>
    <n v="202108"/>
    <x v="19"/>
    <n v="2021"/>
    <s v=" August "/>
    <x v="2"/>
    <x v="1"/>
    <s v="Luzon"/>
    <n v="121.65"/>
  </r>
  <r>
    <n v="202109"/>
    <x v="20"/>
    <n v="2021"/>
    <s v=" September "/>
    <x v="2"/>
    <x v="1"/>
    <s v="Luzon"/>
    <n v="127.97"/>
  </r>
  <r>
    <n v="202110"/>
    <x v="21"/>
    <n v="2021"/>
    <s v=" October "/>
    <x v="2"/>
    <x v="1"/>
    <s v="Luzon"/>
    <n v="145.31"/>
  </r>
  <r>
    <n v="202111"/>
    <x v="22"/>
    <n v="2021"/>
    <s v=" November "/>
    <x v="2"/>
    <x v="1"/>
    <s v="Luzon"/>
    <n v="145.54"/>
  </r>
  <r>
    <n v="202112"/>
    <x v="23"/>
    <n v="2021"/>
    <s v=" December "/>
    <x v="2"/>
    <x v="1"/>
    <s v="Luzon"/>
    <n v="173.03"/>
  </r>
  <r>
    <n v="202101"/>
    <x v="12"/>
    <n v="2021"/>
    <s v=" January "/>
    <x v="2"/>
    <x v="1"/>
    <s v="Luzon"/>
    <n v="242.67"/>
  </r>
  <r>
    <n v="202102"/>
    <x v="13"/>
    <n v="2021"/>
    <s v=" February "/>
    <x v="2"/>
    <x v="1"/>
    <s v="Luzon"/>
    <n v="122.26"/>
  </r>
  <r>
    <n v="202103"/>
    <x v="14"/>
    <n v="2021"/>
    <s v=" March "/>
    <x v="2"/>
    <x v="1"/>
    <s v="Luzon"/>
    <n v="134.77000000000001"/>
  </r>
  <r>
    <n v="202104"/>
    <x v="15"/>
    <n v="2021"/>
    <s v=" April "/>
    <x v="2"/>
    <x v="1"/>
    <s v="Luzon"/>
    <n v="199.8"/>
  </r>
  <r>
    <n v="202105"/>
    <x v="16"/>
    <n v="2021"/>
    <s v=" May "/>
    <x v="2"/>
    <x v="1"/>
    <s v="Luzon"/>
    <n v="155.91"/>
  </r>
  <r>
    <n v="202106"/>
    <x v="17"/>
    <n v="2021"/>
    <s v=" June "/>
    <x v="2"/>
    <x v="1"/>
    <s v="Luzon"/>
    <n v="163.95"/>
  </r>
  <r>
    <n v="202107"/>
    <x v="18"/>
    <n v="2021"/>
    <s v=" July "/>
    <x v="2"/>
    <x v="1"/>
    <s v="Luzon"/>
    <n v="181.24"/>
  </r>
  <r>
    <n v="202108"/>
    <x v="19"/>
    <n v="2021"/>
    <s v=" August "/>
    <x v="2"/>
    <x v="1"/>
    <s v="Luzon"/>
    <n v="163.38"/>
  </r>
  <r>
    <n v="202109"/>
    <x v="20"/>
    <n v="2021"/>
    <s v=" September "/>
    <x v="2"/>
    <x v="1"/>
    <s v="Luzon"/>
    <n v="149.22999999999999"/>
  </r>
  <r>
    <n v="202110"/>
    <x v="21"/>
    <n v="2021"/>
    <s v=" October "/>
    <x v="2"/>
    <x v="1"/>
    <s v="Luzon"/>
    <n v="161.72"/>
  </r>
  <r>
    <n v="202111"/>
    <x v="22"/>
    <n v="2021"/>
    <s v=" November "/>
    <x v="2"/>
    <x v="1"/>
    <s v="Luzon"/>
    <n v="155.19999999999999"/>
  </r>
  <r>
    <n v="202112"/>
    <x v="23"/>
    <n v="2021"/>
    <s v=" December "/>
    <x v="2"/>
    <x v="1"/>
    <s v="Luzon"/>
    <n v="176.43"/>
  </r>
  <r>
    <n v="202101"/>
    <x v="12"/>
    <n v="2021"/>
    <s v=" January "/>
    <x v="2"/>
    <x v="1"/>
    <s v="Luzon"/>
    <n v="283.70999999999998"/>
  </r>
  <r>
    <n v="202102"/>
    <x v="13"/>
    <n v="2021"/>
    <s v=" February "/>
    <x v="2"/>
    <x v="1"/>
    <s v="Luzon"/>
    <n v="177.23"/>
  </r>
  <r>
    <n v="202103"/>
    <x v="14"/>
    <n v="2021"/>
    <s v=" March "/>
    <x v="2"/>
    <x v="1"/>
    <s v="Luzon"/>
    <n v="200.62"/>
  </r>
  <r>
    <n v="202104"/>
    <x v="15"/>
    <n v="2021"/>
    <s v=" April "/>
    <x v="2"/>
    <x v="1"/>
    <s v="Luzon"/>
    <n v="287.83"/>
  </r>
  <r>
    <n v="202105"/>
    <x v="16"/>
    <n v="2021"/>
    <s v=" May "/>
    <x v="2"/>
    <x v="1"/>
    <s v="Luzon"/>
    <n v="256.52"/>
  </r>
  <r>
    <n v="202106"/>
    <x v="17"/>
    <n v="2021"/>
    <s v=" June "/>
    <x v="2"/>
    <x v="1"/>
    <s v="Luzon"/>
    <n v="228.12"/>
  </r>
  <r>
    <n v="202107"/>
    <x v="18"/>
    <n v="2021"/>
    <s v=" July "/>
    <x v="2"/>
    <x v="1"/>
    <s v="Luzon"/>
    <n v="228"/>
  </r>
  <r>
    <n v="202108"/>
    <x v="19"/>
    <n v="2021"/>
    <s v=" August "/>
    <x v="2"/>
    <x v="1"/>
    <s v="Luzon"/>
    <n v="246.76"/>
  </r>
  <r>
    <n v="202109"/>
    <x v="20"/>
    <n v="2021"/>
    <s v=" September "/>
    <x v="2"/>
    <x v="1"/>
    <s v="Luzon"/>
    <n v="228.49"/>
  </r>
  <r>
    <n v="202110"/>
    <x v="21"/>
    <n v="2021"/>
    <s v=" October "/>
    <x v="2"/>
    <x v="1"/>
    <s v="Luzon"/>
    <n v="256.69"/>
  </r>
  <r>
    <n v="202111"/>
    <x v="22"/>
    <n v="2021"/>
    <s v=" November "/>
    <x v="2"/>
    <x v="1"/>
    <s v="Luzon"/>
    <n v="295.89999999999998"/>
  </r>
  <r>
    <n v="202112"/>
    <x v="23"/>
    <n v="2021"/>
    <s v=" December "/>
    <x v="2"/>
    <x v="1"/>
    <s v="Luzon"/>
    <n v="183.09"/>
  </r>
  <r>
    <n v="202101"/>
    <x v="12"/>
    <n v="2021"/>
    <s v=" January "/>
    <x v="2"/>
    <x v="1"/>
    <s v="Luzon"/>
    <n v="636.74"/>
  </r>
  <r>
    <n v="202102"/>
    <x v="13"/>
    <n v="2021"/>
    <s v=" February "/>
    <x v="2"/>
    <x v="1"/>
    <s v="Luzon"/>
    <n v="494.84"/>
  </r>
  <r>
    <n v="202103"/>
    <x v="14"/>
    <n v="2021"/>
    <s v=" March "/>
    <x v="2"/>
    <x v="1"/>
    <s v="Luzon"/>
    <n v="558.96"/>
  </r>
  <r>
    <n v="202104"/>
    <x v="15"/>
    <n v="2021"/>
    <s v=" April "/>
    <x v="2"/>
    <x v="1"/>
    <s v="Luzon"/>
    <n v="733.1"/>
  </r>
  <r>
    <n v="202105"/>
    <x v="16"/>
    <n v="2021"/>
    <s v=" May "/>
    <x v="2"/>
    <x v="1"/>
    <s v="Luzon"/>
    <n v="614.62"/>
  </r>
  <r>
    <n v="202106"/>
    <x v="17"/>
    <n v="2021"/>
    <s v=" June "/>
    <x v="2"/>
    <x v="1"/>
    <s v="Luzon"/>
    <n v="573.45000000000005"/>
  </r>
  <r>
    <n v="202107"/>
    <x v="18"/>
    <n v="2021"/>
    <s v=" July "/>
    <x v="2"/>
    <x v="1"/>
    <s v="Luzon"/>
    <n v="681.94"/>
  </r>
  <r>
    <n v="202108"/>
    <x v="19"/>
    <n v="2021"/>
    <s v=" August "/>
    <x v="2"/>
    <x v="1"/>
    <s v="Luzon"/>
    <n v="626.67999999999995"/>
  </r>
  <r>
    <n v="202109"/>
    <x v="20"/>
    <n v="2021"/>
    <s v=" September "/>
    <x v="2"/>
    <x v="1"/>
    <s v="Luzon"/>
    <n v="514.88"/>
  </r>
  <r>
    <n v="202110"/>
    <x v="21"/>
    <n v="2021"/>
    <s v=" October "/>
    <x v="2"/>
    <x v="1"/>
    <s v="Luzon"/>
    <n v="590.46"/>
  </r>
  <r>
    <n v="202111"/>
    <x v="22"/>
    <n v="2021"/>
    <s v=" November "/>
    <x v="2"/>
    <x v="1"/>
    <s v="Luzon"/>
    <n v="739.76"/>
  </r>
  <r>
    <n v="202112"/>
    <x v="23"/>
    <n v="2021"/>
    <s v=" December "/>
    <x v="2"/>
    <x v="1"/>
    <s v="Luzon"/>
    <n v="555.96"/>
  </r>
  <r>
    <n v="202101"/>
    <x v="12"/>
    <n v="2021"/>
    <s v=" January "/>
    <x v="3"/>
    <x v="1"/>
    <s v="Luzon"/>
    <n v="327.27"/>
  </r>
  <r>
    <n v="202102"/>
    <x v="13"/>
    <n v="2021"/>
    <s v=" February "/>
    <x v="3"/>
    <x v="1"/>
    <s v="Luzon"/>
    <n v="218.85"/>
  </r>
  <r>
    <n v="202103"/>
    <x v="14"/>
    <n v="2021"/>
    <s v=" March "/>
    <x v="3"/>
    <x v="1"/>
    <s v="Luzon"/>
    <n v="234.61"/>
  </r>
  <r>
    <n v="202104"/>
    <x v="15"/>
    <n v="2021"/>
    <s v=" April "/>
    <x v="3"/>
    <x v="1"/>
    <s v="Luzon"/>
    <n v="297.19"/>
  </r>
  <r>
    <n v="202105"/>
    <x v="16"/>
    <n v="2021"/>
    <s v=" May "/>
    <x v="3"/>
    <x v="1"/>
    <s v="Luzon"/>
    <n v="271.87"/>
  </r>
  <r>
    <n v="202106"/>
    <x v="17"/>
    <n v="2021"/>
    <s v=" June "/>
    <x v="3"/>
    <x v="1"/>
    <s v="Luzon"/>
    <n v="272.92"/>
  </r>
  <r>
    <n v="202107"/>
    <x v="18"/>
    <n v="2021"/>
    <s v=" July "/>
    <x v="3"/>
    <x v="1"/>
    <s v="Luzon"/>
    <n v="309.5"/>
  </r>
  <r>
    <n v="202108"/>
    <x v="19"/>
    <n v="2021"/>
    <s v=" August "/>
    <x v="3"/>
    <x v="1"/>
    <s v="Luzon"/>
    <n v="313.49"/>
  </r>
  <r>
    <n v="202109"/>
    <x v="20"/>
    <n v="2021"/>
    <s v=" September "/>
    <x v="3"/>
    <x v="1"/>
    <s v="Luzon"/>
    <n v="250.56"/>
  </r>
  <r>
    <n v="202110"/>
    <x v="21"/>
    <n v="2021"/>
    <s v=" October "/>
    <x v="3"/>
    <x v="1"/>
    <s v="Luzon"/>
    <n v="332.3"/>
  </r>
  <r>
    <n v="202111"/>
    <x v="22"/>
    <n v="2021"/>
    <s v=" November "/>
    <x v="3"/>
    <x v="1"/>
    <s v="Luzon"/>
    <n v="287.39"/>
  </r>
  <r>
    <n v="202112"/>
    <x v="23"/>
    <n v="2021"/>
    <s v=" December "/>
    <x v="3"/>
    <x v="1"/>
    <s v="Luzon"/>
    <n v="302.81"/>
  </r>
  <r>
    <n v="202101"/>
    <x v="12"/>
    <n v="2021"/>
    <s v=" January "/>
    <x v="3"/>
    <x v="1"/>
    <s v="Luzon"/>
    <n v="426.86"/>
  </r>
  <r>
    <n v="202102"/>
    <x v="13"/>
    <n v="2021"/>
    <s v=" February "/>
    <x v="3"/>
    <x v="1"/>
    <s v="Luzon"/>
    <n v="299.85000000000002"/>
  </r>
  <r>
    <n v="202103"/>
    <x v="14"/>
    <n v="2021"/>
    <s v=" March "/>
    <x v="3"/>
    <x v="1"/>
    <s v="Luzon"/>
    <n v="278.77999999999997"/>
  </r>
  <r>
    <n v="202104"/>
    <x v="15"/>
    <n v="2021"/>
    <s v=" April "/>
    <x v="3"/>
    <x v="1"/>
    <s v="Luzon"/>
    <n v="475.16"/>
  </r>
  <r>
    <n v="202105"/>
    <x v="16"/>
    <n v="2021"/>
    <s v=" May "/>
    <x v="3"/>
    <x v="1"/>
    <s v="Luzon"/>
    <n v="323.2"/>
  </r>
  <r>
    <n v="202106"/>
    <x v="17"/>
    <n v="2021"/>
    <s v=" June "/>
    <x v="3"/>
    <x v="1"/>
    <s v="Luzon"/>
    <n v="322.25"/>
  </r>
  <r>
    <n v="202107"/>
    <x v="18"/>
    <n v="2021"/>
    <s v=" July "/>
    <x v="3"/>
    <x v="1"/>
    <s v="Luzon"/>
    <n v="357.13"/>
  </r>
  <r>
    <n v="202108"/>
    <x v="19"/>
    <n v="2021"/>
    <s v=" August "/>
    <x v="3"/>
    <x v="1"/>
    <s v="Luzon"/>
    <n v="343.66"/>
  </r>
  <r>
    <n v="202109"/>
    <x v="20"/>
    <n v="2021"/>
    <s v=" September "/>
    <x v="3"/>
    <x v="1"/>
    <s v="Luzon"/>
    <n v="320.29000000000002"/>
  </r>
  <r>
    <n v="202110"/>
    <x v="21"/>
    <n v="2021"/>
    <s v=" October "/>
    <x v="3"/>
    <x v="1"/>
    <s v="Luzon"/>
    <n v="342.98"/>
  </r>
  <r>
    <n v="202111"/>
    <x v="22"/>
    <n v="2021"/>
    <s v=" November "/>
    <x v="3"/>
    <x v="1"/>
    <s v="Luzon"/>
    <n v="348.33"/>
  </r>
  <r>
    <n v="202112"/>
    <x v="23"/>
    <n v="2021"/>
    <s v=" December "/>
    <x v="3"/>
    <x v="1"/>
    <s v="Luzon"/>
    <n v="320.92"/>
  </r>
  <r>
    <n v="202101"/>
    <x v="12"/>
    <n v="2021"/>
    <s v=" January "/>
    <x v="3"/>
    <x v="1"/>
    <s v="Luzon"/>
    <n v="127.64"/>
  </r>
  <r>
    <n v="202102"/>
    <x v="13"/>
    <n v="2021"/>
    <s v=" February "/>
    <x v="3"/>
    <x v="1"/>
    <s v="Luzon"/>
    <n v="74.39"/>
  </r>
  <r>
    <n v="202103"/>
    <x v="14"/>
    <n v="2021"/>
    <s v=" March "/>
    <x v="3"/>
    <x v="1"/>
    <s v="Luzon"/>
    <n v="79.59"/>
  </r>
  <r>
    <n v="202104"/>
    <x v="15"/>
    <n v="2021"/>
    <s v=" April "/>
    <x v="3"/>
    <x v="1"/>
    <s v="Luzon"/>
    <n v="112.65"/>
  </r>
  <r>
    <n v="202105"/>
    <x v="16"/>
    <n v="2021"/>
    <s v=" May "/>
    <x v="3"/>
    <x v="1"/>
    <s v="Luzon"/>
    <n v="85"/>
  </r>
  <r>
    <n v="202106"/>
    <x v="17"/>
    <n v="2021"/>
    <s v=" June "/>
    <x v="3"/>
    <x v="1"/>
    <s v="Luzon"/>
    <n v="84.91"/>
  </r>
  <r>
    <n v="202107"/>
    <x v="18"/>
    <n v="2021"/>
    <s v=" July "/>
    <x v="3"/>
    <x v="1"/>
    <s v="Luzon"/>
    <n v="102.65"/>
  </r>
  <r>
    <n v="202108"/>
    <x v="19"/>
    <n v="2021"/>
    <s v=" August "/>
    <x v="3"/>
    <x v="1"/>
    <s v="Luzon"/>
    <n v="98.59"/>
  </r>
  <r>
    <n v="202109"/>
    <x v="20"/>
    <n v="2021"/>
    <s v=" September "/>
    <x v="3"/>
    <x v="1"/>
    <s v="Luzon"/>
    <n v="79.260000000000005"/>
  </r>
  <r>
    <n v="202110"/>
    <x v="21"/>
    <n v="2021"/>
    <s v=" October "/>
    <x v="3"/>
    <x v="1"/>
    <s v="Luzon"/>
    <n v="95.9"/>
  </r>
  <r>
    <n v="202111"/>
    <x v="22"/>
    <n v="2021"/>
    <s v=" November "/>
    <x v="3"/>
    <x v="1"/>
    <s v="Luzon"/>
    <n v="103.89"/>
  </r>
  <r>
    <n v="202112"/>
    <x v="23"/>
    <n v="2021"/>
    <s v=" December "/>
    <x v="3"/>
    <x v="1"/>
    <s v="Luzon"/>
    <n v="91.51"/>
  </r>
  <r>
    <n v="202101"/>
    <x v="12"/>
    <n v="2021"/>
    <s v=" January "/>
    <x v="3"/>
    <x v="1"/>
    <s v="Luzon"/>
    <n v="45.14"/>
  </r>
  <r>
    <n v="202102"/>
    <x v="13"/>
    <n v="2021"/>
    <s v=" February "/>
    <x v="3"/>
    <x v="1"/>
    <s v="Luzon"/>
    <n v="28.49"/>
  </r>
  <r>
    <n v="202103"/>
    <x v="14"/>
    <n v="2021"/>
    <s v=" March "/>
    <x v="3"/>
    <x v="1"/>
    <s v="Luzon"/>
    <n v="25.65"/>
  </r>
  <r>
    <n v="202104"/>
    <x v="15"/>
    <n v="2021"/>
    <s v=" April "/>
    <x v="3"/>
    <x v="1"/>
    <s v="Luzon"/>
    <n v="37.880000000000003"/>
  </r>
  <r>
    <n v="202105"/>
    <x v="16"/>
    <n v="2021"/>
    <s v=" May "/>
    <x v="3"/>
    <x v="1"/>
    <s v="Luzon"/>
    <n v="17.579999999999998"/>
  </r>
  <r>
    <n v="202106"/>
    <x v="17"/>
    <n v="2021"/>
    <s v=" June "/>
    <x v="3"/>
    <x v="1"/>
    <s v="Luzon"/>
    <n v="36.36"/>
  </r>
  <r>
    <n v="202107"/>
    <x v="18"/>
    <n v="2021"/>
    <s v=" July "/>
    <x v="3"/>
    <x v="1"/>
    <s v="Luzon"/>
    <n v="29.46"/>
  </r>
  <r>
    <n v="202108"/>
    <x v="19"/>
    <n v="2021"/>
    <s v=" August "/>
    <x v="3"/>
    <x v="1"/>
    <s v="Luzon"/>
    <n v="32.04"/>
  </r>
  <r>
    <n v="202109"/>
    <x v="20"/>
    <n v="2021"/>
    <s v=" September "/>
    <x v="3"/>
    <x v="1"/>
    <s v="Luzon"/>
    <n v="25.75"/>
  </r>
  <r>
    <n v="202110"/>
    <x v="21"/>
    <n v="2021"/>
    <s v=" October "/>
    <x v="3"/>
    <x v="1"/>
    <s v="Luzon"/>
    <n v="27.12"/>
  </r>
  <r>
    <n v="202111"/>
    <x v="22"/>
    <n v="2021"/>
    <s v=" November "/>
    <x v="3"/>
    <x v="1"/>
    <s v="Luzon"/>
    <n v="22.69"/>
  </r>
  <r>
    <n v="202112"/>
    <x v="23"/>
    <n v="2021"/>
    <s v=" December "/>
    <x v="3"/>
    <x v="1"/>
    <s v="Luzon"/>
    <n v="35.9"/>
  </r>
  <r>
    <n v="202101"/>
    <x v="12"/>
    <n v="2021"/>
    <s v=" January "/>
    <x v="4"/>
    <x v="1"/>
    <s v="Luzon"/>
    <n v="50.12"/>
  </r>
  <r>
    <n v="202102"/>
    <x v="13"/>
    <n v="2021"/>
    <s v=" February "/>
    <x v="4"/>
    <x v="1"/>
    <s v="Luzon"/>
    <n v="21.28"/>
  </r>
  <r>
    <n v="202103"/>
    <x v="14"/>
    <n v="2021"/>
    <s v=" March "/>
    <x v="4"/>
    <x v="1"/>
    <s v="Luzon"/>
    <n v="28.27"/>
  </r>
  <r>
    <n v="202104"/>
    <x v="15"/>
    <n v="2021"/>
    <s v=" April "/>
    <x v="4"/>
    <x v="1"/>
    <s v="Luzon"/>
    <n v="43.04"/>
  </r>
  <r>
    <n v="202105"/>
    <x v="16"/>
    <n v="2021"/>
    <s v=" May "/>
    <x v="4"/>
    <x v="1"/>
    <s v="Luzon"/>
    <n v="36.75"/>
  </r>
  <r>
    <n v="202106"/>
    <x v="17"/>
    <n v="2021"/>
    <s v=" June "/>
    <x v="4"/>
    <x v="1"/>
    <s v="Luzon"/>
    <n v="25.7"/>
  </r>
  <r>
    <n v="202107"/>
    <x v="18"/>
    <n v="2021"/>
    <s v=" July "/>
    <x v="4"/>
    <x v="1"/>
    <s v="Luzon"/>
    <n v="29.04"/>
  </r>
  <r>
    <n v="202108"/>
    <x v="19"/>
    <n v="2021"/>
    <s v=" August "/>
    <x v="4"/>
    <x v="1"/>
    <s v="Luzon"/>
    <n v="32.770000000000003"/>
  </r>
  <r>
    <n v="202109"/>
    <x v="20"/>
    <n v="2021"/>
    <s v=" September "/>
    <x v="4"/>
    <x v="1"/>
    <s v="Luzon"/>
    <n v="32.270000000000003"/>
  </r>
  <r>
    <n v="202110"/>
    <x v="21"/>
    <n v="2021"/>
    <s v=" October "/>
    <x v="4"/>
    <x v="1"/>
    <s v="Luzon"/>
    <n v="34.33"/>
  </r>
  <r>
    <n v="202111"/>
    <x v="22"/>
    <n v="2021"/>
    <s v=" November "/>
    <x v="4"/>
    <x v="1"/>
    <s v="Luzon"/>
    <n v="40.200000000000003"/>
  </r>
  <r>
    <n v="202112"/>
    <x v="23"/>
    <n v="2021"/>
    <s v=" December "/>
    <x v="4"/>
    <x v="1"/>
    <s v="Luzon"/>
    <n v="30.24"/>
  </r>
  <r>
    <n v="202101"/>
    <x v="12"/>
    <n v="2021"/>
    <s v=" January "/>
    <x v="4"/>
    <x v="1"/>
    <s v="Luzon"/>
    <n v="318.42"/>
  </r>
  <r>
    <n v="202102"/>
    <x v="13"/>
    <n v="2021"/>
    <s v=" February "/>
    <x v="4"/>
    <x v="1"/>
    <s v="Luzon"/>
    <n v="293.45999999999998"/>
  </r>
  <r>
    <n v="202103"/>
    <x v="14"/>
    <n v="2021"/>
    <s v=" March "/>
    <x v="4"/>
    <x v="1"/>
    <s v="Luzon"/>
    <n v="277.74"/>
  </r>
  <r>
    <n v="202104"/>
    <x v="15"/>
    <n v="2021"/>
    <s v=" April "/>
    <x v="4"/>
    <x v="1"/>
    <s v="Luzon"/>
    <n v="393.16"/>
  </r>
  <r>
    <n v="202105"/>
    <x v="16"/>
    <n v="2021"/>
    <s v=" May "/>
    <x v="4"/>
    <x v="1"/>
    <s v="Luzon"/>
    <n v="276.17"/>
  </r>
  <r>
    <n v="202106"/>
    <x v="17"/>
    <n v="2021"/>
    <s v=" June "/>
    <x v="4"/>
    <x v="1"/>
    <s v="Luzon"/>
    <n v="334.55"/>
  </r>
  <r>
    <n v="202107"/>
    <x v="18"/>
    <n v="2021"/>
    <s v=" July "/>
    <x v="4"/>
    <x v="1"/>
    <s v="Luzon"/>
    <n v="342.32"/>
  </r>
  <r>
    <n v="202108"/>
    <x v="19"/>
    <n v="2021"/>
    <s v=" August "/>
    <x v="4"/>
    <x v="1"/>
    <s v="Luzon"/>
    <n v="322.52999999999997"/>
  </r>
  <r>
    <n v="202109"/>
    <x v="20"/>
    <n v="2021"/>
    <s v=" September "/>
    <x v="4"/>
    <x v="1"/>
    <s v="Luzon"/>
    <n v="278.60000000000002"/>
  </r>
  <r>
    <n v="202110"/>
    <x v="21"/>
    <n v="2021"/>
    <s v=" October "/>
    <x v="4"/>
    <x v="1"/>
    <s v="Luzon"/>
    <n v="296.10000000000002"/>
  </r>
  <r>
    <n v="202111"/>
    <x v="22"/>
    <n v="2021"/>
    <s v=" November "/>
    <x v="4"/>
    <x v="1"/>
    <s v="Luzon"/>
    <n v="366.57"/>
  </r>
  <r>
    <n v="202112"/>
    <x v="23"/>
    <n v="2021"/>
    <s v=" December "/>
    <x v="4"/>
    <x v="1"/>
    <s v="Luzon"/>
    <n v="347.99"/>
  </r>
  <r>
    <n v="202101"/>
    <x v="12"/>
    <n v="2021"/>
    <s v=" January "/>
    <x v="4"/>
    <x v="1"/>
    <s v="Luzon"/>
    <n v="1196.03"/>
  </r>
  <r>
    <n v="202102"/>
    <x v="13"/>
    <n v="2021"/>
    <s v=" February "/>
    <x v="4"/>
    <x v="1"/>
    <s v="Luzon"/>
    <n v="851.83"/>
  </r>
  <r>
    <n v="202103"/>
    <x v="14"/>
    <n v="2021"/>
    <s v=" March "/>
    <x v="4"/>
    <x v="1"/>
    <s v="Luzon"/>
    <n v="1178.78"/>
  </r>
  <r>
    <n v="202104"/>
    <x v="15"/>
    <n v="2021"/>
    <s v=" April "/>
    <x v="4"/>
    <x v="1"/>
    <s v="Luzon"/>
    <n v="1302.8499999999999"/>
  </r>
  <r>
    <n v="202105"/>
    <x v="16"/>
    <n v="2021"/>
    <s v=" May "/>
    <x v="4"/>
    <x v="1"/>
    <s v="Luzon"/>
    <n v="1002.59"/>
  </r>
  <r>
    <n v="202106"/>
    <x v="17"/>
    <n v="2021"/>
    <s v=" June "/>
    <x v="4"/>
    <x v="1"/>
    <s v="Luzon"/>
    <n v="1167.52"/>
  </r>
  <r>
    <n v="202107"/>
    <x v="18"/>
    <n v="2021"/>
    <s v=" July "/>
    <x v="4"/>
    <x v="1"/>
    <s v="Luzon"/>
    <n v="1162.81"/>
  </r>
  <r>
    <n v="202108"/>
    <x v="19"/>
    <n v="2021"/>
    <s v=" August "/>
    <x v="4"/>
    <x v="1"/>
    <s v="Luzon"/>
    <n v="1030.97"/>
  </r>
  <r>
    <n v="202109"/>
    <x v="20"/>
    <n v="2021"/>
    <s v=" September "/>
    <x v="4"/>
    <x v="1"/>
    <s v="Luzon"/>
    <n v="931.53"/>
  </r>
  <r>
    <n v="202110"/>
    <x v="21"/>
    <n v="2021"/>
    <s v=" October "/>
    <x v="4"/>
    <x v="1"/>
    <s v="Luzon"/>
    <n v="1081.98"/>
  </r>
  <r>
    <n v="202111"/>
    <x v="22"/>
    <n v="2021"/>
    <s v=" November "/>
    <x v="4"/>
    <x v="1"/>
    <s v="Luzon"/>
    <n v="1209.5"/>
  </r>
  <r>
    <n v="202112"/>
    <x v="23"/>
    <n v="2021"/>
    <s v=" December "/>
    <x v="4"/>
    <x v="1"/>
    <s v="Luzon"/>
    <n v="1126.0999999999999"/>
  </r>
  <r>
    <n v="202101"/>
    <x v="12"/>
    <n v="2021"/>
    <s v=" January "/>
    <x v="4"/>
    <x v="1"/>
    <s v="Luzon"/>
    <n v="495.87"/>
  </r>
  <r>
    <n v="202102"/>
    <x v="13"/>
    <n v="2021"/>
    <s v=" February "/>
    <x v="4"/>
    <x v="1"/>
    <s v="Luzon"/>
    <n v="336.73"/>
  </r>
  <r>
    <n v="202103"/>
    <x v="14"/>
    <n v="2021"/>
    <s v=" March "/>
    <x v="4"/>
    <x v="1"/>
    <s v="Luzon"/>
    <n v="329.86"/>
  </r>
  <r>
    <n v="202104"/>
    <x v="15"/>
    <n v="2021"/>
    <s v=" April "/>
    <x v="4"/>
    <x v="1"/>
    <s v="Luzon"/>
    <n v="468.18"/>
  </r>
  <r>
    <n v="202105"/>
    <x v="16"/>
    <n v="2021"/>
    <s v=" May "/>
    <x v="4"/>
    <x v="1"/>
    <s v="Luzon"/>
    <n v="418.13"/>
  </r>
  <r>
    <n v="202106"/>
    <x v="17"/>
    <n v="2021"/>
    <s v=" June "/>
    <x v="4"/>
    <x v="1"/>
    <s v="Luzon"/>
    <n v="385.99"/>
  </r>
  <r>
    <n v="202107"/>
    <x v="18"/>
    <n v="2021"/>
    <s v=" July "/>
    <x v="4"/>
    <x v="1"/>
    <s v="Luzon"/>
    <n v="493.51"/>
  </r>
  <r>
    <n v="202108"/>
    <x v="19"/>
    <n v="2021"/>
    <s v=" August "/>
    <x v="4"/>
    <x v="1"/>
    <s v="Luzon"/>
    <n v="486.65"/>
  </r>
  <r>
    <n v="202109"/>
    <x v="20"/>
    <n v="2021"/>
    <s v=" September "/>
    <x v="4"/>
    <x v="1"/>
    <s v="Luzon"/>
    <n v="379.08"/>
  </r>
  <r>
    <n v="202110"/>
    <x v="21"/>
    <n v="2021"/>
    <s v=" October "/>
    <x v="4"/>
    <x v="1"/>
    <s v="Luzon"/>
    <n v="451.52"/>
  </r>
  <r>
    <n v="202111"/>
    <x v="22"/>
    <n v="2021"/>
    <s v=" November "/>
    <x v="4"/>
    <x v="1"/>
    <s v="Luzon"/>
    <n v="511.23"/>
  </r>
  <r>
    <n v="202112"/>
    <x v="23"/>
    <n v="2021"/>
    <s v=" December "/>
    <x v="4"/>
    <x v="1"/>
    <s v="Luzon"/>
    <n v="406.15"/>
  </r>
  <r>
    <n v="202101"/>
    <x v="12"/>
    <n v="2021"/>
    <s v=" January "/>
    <x v="4"/>
    <x v="1"/>
    <s v="Luzon"/>
    <n v="1053.81"/>
  </r>
  <r>
    <n v="202102"/>
    <x v="13"/>
    <n v="2021"/>
    <s v=" February "/>
    <x v="4"/>
    <x v="1"/>
    <s v="Luzon"/>
    <n v="682.43"/>
  </r>
  <r>
    <n v="202103"/>
    <x v="14"/>
    <n v="2021"/>
    <s v=" March "/>
    <x v="4"/>
    <x v="1"/>
    <s v="Luzon"/>
    <n v="767.16"/>
  </r>
  <r>
    <n v="202104"/>
    <x v="15"/>
    <n v="2021"/>
    <s v=" April "/>
    <x v="4"/>
    <x v="1"/>
    <s v="Luzon"/>
    <n v="1384.54"/>
  </r>
  <r>
    <n v="202105"/>
    <x v="16"/>
    <n v="2021"/>
    <s v=" May "/>
    <x v="4"/>
    <x v="1"/>
    <s v="Luzon"/>
    <n v="1452.79"/>
  </r>
  <r>
    <n v="202106"/>
    <x v="17"/>
    <n v="2021"/>
    <s v=" June "/>
    <x v="4"/>
    <x v="1"/>
    <s v="Luzon"/>
    <n v="866.52"/>
  </r>
  <r>
    <n v="202107"/>
    <x v="18"/>
    <n v="2021"/>
    <s v=" July "/>
    <x v="4"/>
    <x v="1"/>
    <s v="Luzon"/>
    <n v="1005.21"/>
  </r>
  <r>
    <n v="202108"/>
    <x v="19"/>
    <n v="2021"/>
    <s v=" August "/>
    <x v="4"/>
    <x v="1"/>
    <s v="Luzon"/>
    <n v="1411.99"/>
  </r>
  <r>
    <n v="202109"/>
    <x v="20"/>
    <n v="2021"/>
    <s v=" September "/>
    <x v="4"/>
    <x v="1"/>
    <s v="Luzon"/>
    <n v="799.08"/>
  </r>
  <r>
    <n v="202110"/>
    <x v="21"/>
    <n v="2021"/>
    <s v=" October "/>
    <x v="4"/>
    <x v="1"/>
    <s v="Luzon"/>
    <n v="886.54"/>
  </r>
  <r>
    <n v="202111"/>
    <x v="22"/>
    <n v="2021"/>
    <s v=" November "/>
    <x v="4"/>
    <x v="1"/>
    <s v="Luzon"/>
    <n v="1477.22"/>
  </r>
  <r>
    <n v="202112"/>
    <x v="23"/>
    <n v="2021"/>
    <s v=" December "/>
    <x v="4"/>
    <x v="1"/>
    <s v="Luzon"/>
    <n v="977.36"/>
  </r>
  <r>
    <n v="202101"/>
    <x v="12"/>
    <n v="2021"/>
    <s v=" January "/>
    <x v="4"/>
    <x v="1"/>
    <s v="Luzon"/>
    <n v="380.81"/>
  </r>
  <r>
    <n v="202102"/>
    <x v="13"/>
    <n v="2021"/>
    <s v=" February "/>
    <x v="4"/>
    <x v="1"/>
    <s v="Luzon"/>
    <n v="233.66"/>
  </r>
  <r>
    <n v="202103"/>
    <x v="14"/>
    <n v="2021"/>
    <s v=" March "/>
    <x v="4"/>
    <x v="1"/>
    <s v="Luzon"/>
    <n v="266.54000000000002"/>
  </r>
  <r>
    <n v="202104"/>
    <x v="15"/>
    <n v="2021"/>
    <s v=" April "/>
    <x v="4"/>
    <x v="1"/>
    <s v="Luzon"/>
    <n v="370.85"/>
  </r>
  <r>
    <n v="202105"/>
    <x v="16"/>
    <n v="2021"/>
    <s v=" May "/>
    <x v="4"/>
    <x v="1"/>
    <s v="Luzon"/>
    <n v="342.79"/>
  </r>
  <r>
    <n v="202106"/>
    <x v="17"/>
    <n v="2021"/>
    <s v=" June "/>
    <x v="4"/>
    <x v="1"/>
    <s v="Luzon"/>
    <n v="306.29000000000002"/>
  </r>
  <r>
    <n v="202107"/>
    <x v="18"/>
    <n v="2021"/>
    <s v=" July "/>
    <x v="4"/>
    <x v="1"/>
    <s v="Luzon"/>
    <n v="306.64999999999998"/>
  </r>
  <r>
    <n v="202108"/>
    <x v="19"/>
    <n v="2021"/>
    <s v=" August "/>
    <x v="4"/>
    <x v="1"/>
    <s v="Luzon"/>
    <n v="351.08"/>
  </r>
  <r>
    <n v="202109"/>
    <x v="20"/>
    <n v="2021"/>
    <s v=" September "/>
    <x v="4"/>
    <x v="1"/>
    <s v="Luzon"/>
    <n v="243.84"/>
  </r>
  <r>
    <n v="202110"/>
    <x v="21"/>
    <n v="2021"/>
    <s v=" October "/>
    <x v="4"/>
    <x v="1"/>
    <s v="Luzon"/>
    <n v="303.49"/>
  </r>
  <r>
    <n v="202111"/>
    <x v="22"/>
    <n v="2021"/>
    <s v=" November "/>
    <x v="4"/>
    <x v="1"/>
    <s v="Luzon"/>
    <n v="328.44"/>
  </r>
  <r>
    <n v="202112"/>
    <x v="23"/>
    <n v="2021"/>
    <s v=" December "/>
    <x v="4"/>
    <x v="1"/>
    <s v="Luzon"/>
    <n v="339.08"/>
  </r>
  <r>
    <n v="202101"/>
    <x v="12"/>
    <n v="2021"/>
    <s v=" January "/>
    <x v="4"/>
    <x v="1"/>
    <s v="Luzon"/>
    <n v="173.16"/>
  </r>
  <r>
    <n v="202102"/>
    <x v="13"/>
    <n v="2021"/>
    <s v=" February "/>
    <x v="4"/>
    <x v="1"/>
    <s v="Luzon"/>
    <n v="159.59"/>
  </r>
  <r>
    <n v="202103"/>
    <x v="14"/>
    <n v="2021"/>
    <s v=" March "/>
    <x v="4"/>
    <x v="1"/>
    <s v="Luzon"/>
    <n v="113.96"/>
  </r>
  <r>
    <n v="202104"/>
    <x v="15"/>
    <n v="2021"/>
    <s v=" April "/>
    <x v="4"/>
    <x v="1"/>
    <s v="Luzon"/>
    <n v="243.31"/>
  </r>
  <r>
    <n v="202105"/>
    <x v="16"/>
    <n v="2021"/>
    <s v=" May "/>
    <x v="4"/>
    <x v="1"/>
    <s v="Luzon"/>
    <n v="178.51"/>
  </r>
  <r>
    <n v="202106"/>
    <x v="17"/>
    <n v="2021"/>
    <s v=" June "/>
    <x v="4"/>
    <x v="1"/>
    <s v="Luzon"/>
    <n v="132.69999999999999"/>
  </r>
  <r>
    <n v="202107"/>
    <x v="18"/>
    <n v="2021"/>
    <s v=" July "/>
    <x v="4"/>
    <x v="1"/>
    <s v="Luzon"/>
    <n v="108.86"/>
  </r>
  <r>
    <n v="202108"/>
    <x v="19"/>
    <n v="2021"/>
    <s v=" August "/>
    <x v="4"/>
    <x v="1"/>
    <s v="Luzon"/>
    <n v="168.95"/>
  </r>
  <r>
    <n v="202109"/>
    <x v="20"/>
    <n v="2021"/>
    <s v=" September "/>
    <x v="4"/>
    <x v="1"/>
    <s v="Luzon"/>
    <n v="101.56"/>
  </r>
  <r>
    <n v="202110"/>
    <x v="21"/>
    <n v="2021"/>
    <s v=" October "/>
    <x v="4"/>
    <x v="1"/>
    <s v="Luzon"/>
    <n v="119.88"/>
  </r>
  <r>
    <n v="202111"/>
    <x v="22"/>
    <n v="2021"/>
    <s v=" November "/>
    <x v="4"/>
    <x v="1"/>
    <s v="Luzon"/>
    <n v="193.18"/>
  </r>
  <r>
    <n v="202112"/>
    <x v="23"/>
    <n v="2021"/>
    <s v=" December "/>
    <x v="4"/>
    <x v="1"/>
    <s v="Luzon"/>
    <n v="183.33"/>
  </r>
  <r>
    <n v="202101"/>
    <x v="12"/>
    <n v="2021"/>
    <s v=" January "/>
    <x v="4"/>
    <x v="1"/>
    <s v="Luzon"/>
    <n v="571.42999999999995"/>
  </r>
  <r>
    <n v="202102"/>
    <x v="13"/>
    <n v="2021"/>
    <s v=" February "/>
    <x v="4"/>
    <x v="1"/>
    <s v="Luzon"/>
    <n v="425.95"/>
  </r>
  <r>
    <n v="202103"/>
    <x v="14"/>
    <n v="2021"/>
    <s v=" March "/>
    <x v="4"/>
    <x v="1"/>
    <s v="Luzon"/>
    <n v="406.36"/>
  </r>
  <r>
    <n v="202104"/>
    <x v="15"/>
    <n v="2021"/>
    <s v=" April "/>
    <x v="4"/>
    <x v="1"/>
    <s v="Luzon"/>
    <n v="902.62"/>
  </r>
  <r>
    <n v="202105"/>
    <x v="16"/>
    <n v="2021"/>
    <s v=" May "/>
    <x v="4"/>
    <x v="1"/>
    <s v="Luzon"/>
    <n v="1008.05"/>
  </r>
  <r>
    <n v="202106"/>
    <x v="17"/>
    <n v="2021"/>
    <s v=" June "/>
    <x v="4"/>
    <x v="1"/>
    <s v="Luzon"/>
    <n v="409.94"/>
  </r>
  <r>
    <n v="202107"/>
    <x v="18"/>
    <n v="2021"/>
    <s v=" July "/>
    <x v="4"/>
    <x v="1"/>
    <s v="Luzon"/>
    <n v="543.14"/>
  </r>
  <r>
    <n v="202108"/>
    <x v="19"/>
    <n v="2021"/>
    <s v=" August "/>
    <x v="4"/>
    <x v="1"/>
    <s v="Luzon"/>
    <n v="978.94"/>
  </r>
  <r>
    <n v="202109"/>
    <x v="20"/>
    <n v="2021"/>
    <s v=" September "/>
    <x v="4"/>
    <x v="1"/>
    <s v="Luzon"/>
    <n v="512.21"/>
  </r>
  <r>
    <n v="202110"/>
    <x v="21"/>
    <n v="2021"/>
    <s v=" October "/>
    <x v="4"/>
    <x v="1"/>
    <s v="Luzon"/>
    <n v="636.19000000000005"/>
  </r>
  <r>
    <n v="202111"/>
    <x v="22"/>
    <n v="2021"/>
    <s v=" November "/>
    <x v="4"/>
    <x v="1"/>
    <s v="Luzon"/>
    <n v="1135.72"/>
  </r>
  <r>
    <n v="202112"/>
    <x v="23"/>
    <n v="2021"/>
    <s v=" December "/>
    <x v="4"/>
    <x v="1"/>
    <s v="Luzon"/>
    <n v="574.89"/>
  </r>
  <r>
    <n v="202101"/>
    <x v="12"/>
    <n v="2021"/>
    <s v=" January "/>
    <x v="4"/>
    <x v="1"/>
    <s v="Luzon"/>
    <n v="185.23"/>
  </r>
  <r>
    <n v="202102"/>
    <x v="13"/>
    <n v="2021"/>
    <s v=" February "/>
    <x v="4"/>
    <x v="1"/>
    <s v="Luzon"/>
    <n v="123.51"/>
  </r>
  <r>
    <n v="202103"/>
    <x v="14"/>
    <n v="2021"/>
    <s v=" March "/>
    <x v="4"/>
    <x v="1"/>
    <s v="Luzon"/>
    <n v="136.9"/>
  </r>
  <r>
    <n v="202104"/>
    <x v="15"/>
    <n v="2021"/>
    <s v=" April "/>
    <x v="4"/>
    <x v="1"/>
    <s v="Luzon"/>
    <n v="163.02000000000001"/>
  </r>
  <r>
    <n v="202105"/>
    <x v="16"/>
    <n v="2021"/>
    <s v=" May "/>
    <x v="4"/>
    <x v="1"/>
    <s v="Luzon"/>
    <n v="149.38"/>
  </r>
  <r>
    <n v="202106"/>
    <x v="17"/>
    <n v="2021"/>
    <s v=" June "/>
    <x v="4"/>
    <x v="1"/>
    <s v="Luzon"/>
    <n v="140.68"/>
  </r>
  <r>
    <n v="202107"/>
    <x v="18"/>
    <n v="2021"/>
    <s v=" July "/>
    <x v="4"/>
    <x v="1"/>
    <s v="Luzon"/>
    <n v="138.66"/>
  </r>
  <r>
    <n v="202108"/>
    <x v="19"/>
    <n v="2021"/>
    <s v=" August "/>
    <x v="4"/>
    <x v="1"/>
    <s v="Luzon"/>
    <n v="147.36000000000001"/>
  </r>
  <r>
    <n v="202109"/>
    <x v="20"/>
    <n v="2021"/>
    <s v=" September "/>
    <x v="4"/>
    <x v="1"/>
    <s v="Luzon"/>
    <n v="125.96"/>
  </r>
  <r>
    <n v="202110"/>
    <x v="21"/>
    <n v="2021"/>
    <s v=" October "/>
    <x v="4"/>
    <x v="1"/>
    <s v="Luzon"/>
    <n v="157.06"/>
  </r>
  <r>
    <n v="202111"/>
    <x v="22"/>
    <n v="2021"/>
    <s v=" November "/>
    <x v="4"/>
    <x v="1"/>
    <s v="Luzon"/>
    <n v="140.93"/>
  </r>
  <r>
    <n v="202112"/>
    <x v="23"/>
    <n v="2021"/>
    <s v=" December "/>
    <x v="4"/>
    <x v="1"/>
    <s v="Luzon"/>
    <n v="159.35"/>
  </r>
  <r>
    <n v="202101"/>
    <x v="12"/>
    <n v="2021"/>
    <s v=" January "/>
    <x v="5"/>
    <x v="1"/>
    <s v="Luzon"/>
    <n v="2051.3200000000002"/>
  </r>
  <r>
    <n v="202102"/>
    <x v="13"/>
    <n v="2021"/>
    <s v=" February "/>
    <x v="5"/>
    <x v="1"/>
    <s v="Luzon"/>
    <n v="1014"/>
  </r>
  <r>
    <n v="202103"/>
    <x v="14"/>
    <n v="2021"/>
    <s v=" March "/>
    <x v="5"/>
    <x v="1"/>
    <s v="Luzon"/>
    <n v="1423.09"/>
  </r>
  <r>
    <n v="202104"/>
    <x v="15"/>
    <n v="2021"/>
    <s v=" April "/>
    <x v="5"/>
    <x v="1"/>
    <s v="Luzon"/>
    <n v="1573.55"/>
  </r>
  <r>
    <n v="202105"/>
    <x v="16"/>
    <n v="2021"/>
    <s v=" May "/>
    <x v="5"/>
    <x v="1"/>
    <s v="Luzon"/>
    <n v="1239.98"/>
  </r>
  <r>
    <n v="202106"/>
    <x v="17"/>
    <n v="2021"/>
    <s v=" June "/>
    <x v="5"/>
    <x v="1"/>
    <s v="Luzon"/>
    <n v="1333.17"/>
  </r>
  <r>
    <n v="202107"/>
    <x v="18"/>
    <n v="2021"/>
    <s v=" July "/>
    <x v="5"/>
    <x v="1"/>
    <s v="Luzon"/>
    <n v="1804.44"/>
  </r>
  <r>
    <n v="202108"/>
    <x v="19"/>
    <n v="2021"/>
    <s v=" August "/>
    <x v="5"/>
    <x v="1"/>
    <s v="Luzon"/>
    <n v="1438.9"/>
  </r>
  <r>
    <n v="202109"/>
    <x v="20"/>
    <n v="2021"/>
    <s v=" September "/>
    <x v="5"/>
    <x v="1"/>
    <s v="Luzon"/>
    <n v="1047.5"/>
  </r>
  <r>
    <n v="202110"/>
    <x v="21"/>
    <n v="2021"/>
    <s v=" October "/>
    <x v="5"/>
    <x v="1"/>
    <s v="Luzon"/>
    <n v="1220.81"/>
  </r>
  <r>
    <n v="202111"/>
    <x v="22"/>
    <n v="2021"/>
    <s v=" November "/>
    <x v="5"/>
    <x v="1"/>
    <s v="Luzon"/>
    <n v="1544.53"/>
  </r>
  <r>
    <n v="202112"/>
    <x v="23"/>
    <n v="2021"/>
    <s v=" December "/>
    <x v="5"/>
    <x v="1"/>
    <s v="Luzon"/>
    <n v="1299.81"/>
  </r>
  <r>
    <n v="202101"/>
    <x v="12"/>
    <n v="2021"/>
    <s v=" January "/>
    <x v="5"/>
    <x v="1"/>
    <s v="Luzon"/>
    <n v="1844.17"/>
  </r>
  <r>
    <n v="202102"/>
    <x v="13"/>
    <n v="2021"/>
    <s v=" February "/>
    <x v="5"/>
    <x v="1"/>
    <s v="Luzon"/>
    <n v="1467.2"/>
  </r>
  <r>
    <n v="202103"/>
    <x v="14"/>
    <n v="2021"/>
    <s v=" March "/>
    <x v="5"/>
    <x v="1"/>
    <s v="Luzon"/>
    <n v="1689.32"/>
  </r>
  <r>
    <n v="202104"/>
    <x v="15"/>
    <n v="2021"/>
    <s v=" April "/>
    <x v="5"/>
    <x v="1"/>
    <s v="Luzon"/>
    <n v="2219.2600000000002"/>
  </r>
  <r>
    <n v="202105"/>
    <x v="16"/>
    <n v="2021"/>
    <s v=" May "/>
    <x v="5"/>
    <x v="1"/>
    <s v="Luzon"/>
    <n v="1938.24"/>
  </r>
  <r>
    <n v="202106"/>
    <x v="17"/>
    <n v="2021"/>
    <s v=" June "/>
    <x v="5"/>
    <x v="1"/>
    <s v="Luzon"/>
    <n v="1894.86"/>
  </r>
  <r>
    <n v="202107"/>
    <x v="18"/>
    <n v="2021"/>
    <s v=" July "/>
    <x v="5"/>
    <x v="1"/>
    <s v="Luzon"/>
    <n v="1907.75"/>
  </r>
  <r>
    <n v="202108"/>
    <x v="19"/>
    <n v="2021"/>
    <s v=" August "/>
    <x v="5"/>
    <x v="1"/>
    <s v="Luzon"/>
    <n v="1738.62"/>
  </r>
  <r>
    <n v="202109"/>
    <x v="20"/>
    <n v="2021"/>
    <s v=" September "/>
    <x v="5"/>
    <x v="1"/>
    <s v="Luzon"/>
    <n v="1528.17"/>
  </r>
  <r>
    <n v="202110"/>
    <x v="21"/>
    <n v="2021"/>
    <s v=" October "/>
    <x v="5"/>
    <x v="1"/>
    <s v="Luzon"/>
    <n v="2034.01"/>
  </r>
  <r>
    <n v="202111"/>
    <x v="22"/>
    <n v="2021"/>
    <s v=" November "/>
    <x v="5"/>
    <x v="1"/>
    <s v="Luzon"/>
    <n v="2177.86"/>
  </r>
  <r>
    <n v="202112"/>
    <x v="23"/>
    <n v="2021"/>
    <s v=" December "/>
    <x v="5"/>
    <x v="1"/>
    <s v="Luzon"/>
    <n v="2008.61"/>
  </r>
  <r>
    <n v="202101"/>
    <x v="12"/>
    <n v="2021"/>
    <s v=" January "/>
    <x v="5"/>
    <x v="1"/>
    <s v="Luzon"/>
    <n v="2285.8000000000002"/>
  </r>
  <r>
    <n v="202102"/>
    <x v="13"/>
    <n v="2021"/>
    <s v=" February "/>
    <x v="5"/>
    <x v="1"/>
    <s v="Luzon"/>
    <n v="1550.68"/>
  </r>
  <r>
    <n v="202103"/>
    <x v="14"/>
    <n v="2021"/>
    <s v=" March "/>
    <x v="5"/>
    <x v="1"/>
    <s v="Luzon"/>
    <n v="1869.39"/>
  </r>
  <r>
    <n v="202104"/>
    <x v="15"/>
    <n v="2021"/>
    <s v=" April "/>
    <x v="5"/>
    <x v="1"/>
    <s v="Luzon"/>
    <n v="2948.57"/>
  </r>
  <r>
    <n v="202105"/>
    <x v="16"/>
    <n v="2021"/>
    <s v=" May "/>
    <x v="5"/>
    <x v="1"/>
    <s v="Luzon"/>
    <n v="2090.87"/>
  </r>
  <r>
    <n v="202106"/>
    <x v="17"/>
    <n v="2021"/>
    <s v=" June "/>
    <x v="5"/>
    <x v="1"/>
    <s v="Luzon"/>
    <n v="1851.12"/>
  </r>
  <r>
    <n v="202107"/>
    <x v="18"/>
    <n v="2021"/>
    <s v=" July "/>
    <x v="5"/>
    <x v="1"/>
    <s v="Luzon"/>
    <n v="2034.68"/>
  </r>
  <r>
    <n v="202108"/>
    <x v="19"/>
    <n v="2021"/>
    <s v=" August "/>
    <x v="5"/>
    <x v="1"/>
    <s v="Luzon"/>
    <n v="2187.58"/>
  </r>
  <r>
    <n v="202109"/>
    <x v="20"/>
    <n v="2021"/>
    <s v=" September "/>
    <x v="5"/>
    <x v="1"/>
    <s v="Luzon"/>
    <n v="1598.31"/>
  </r>
  <r>
    <n v="202110"/>
    <x v="21"/>
    <n v="2021"/>
    <s v=" October "/>
    <x v="5"/>
    <x v="1"/>
    <s v="Luzon"/>
    <n v="1952.57"/>
  </r>
  <r>
    <n v="202111"/>
    <x v="22"/>
    <n v="2021"/>
    <s v=" November "/>
    <x v="5"/>
    <x v="1"/>
    <s v="Luzon"/>
    <n v="2546.04"/>
  </r>
  <r>
    <n v="202112"/>
    <x v="23"/>
    <n v="2021"/>
    <s v=" December "/>
    <x v="5"/>
    <x v="1"/>
    <s v="Luzon"/>
    <n v="1860.27"/>
  </r>
  <r>
    <n v="202101"/>
    <x v="12"/>
    <n v="2021"/>
    <s v=" January "/>
    <x v="5"/>
    <x v="1"/>
    <s v="Luzon"/>
    <n v="78.900000000000006"/>
  </r>
  <r>
    <n v="202102"/>
    <x v="13"/>
    <n v="2021"/>
    <s v=" February "/>
    <x v="5"/>
    <x v="1"/>
    <s v="Luzon"/>
    <n v="36.18"/>
  </r>
  <r>
    <n v="202103"/>
    <x v="14"/>
    <n v="2021"/>
    <s v=" March "/>
    <x v="5"/>
    <x v="1"/>
    <s v="Luzon"/>
    <n v="41.64"/>
  </r>
  <r>
    <n v="202104"/>
    <x v="15"/>
    <n v="2021"/>
    <s v=" April "/>
    <x v="5"/>
    <x v="1"/>
    <s v="Luzon"/>
    <n v="61.11"/>
  </r>
  <r>
    <n v="202105"/>
    <x v="16"/>
    <n v="2021"/>
    <s v=" May "/>
    <x v="5"/>
    <x v="1"/>
    <s v="Luzon"/>
    <n v="44.12"/>
  </r>
  <r>
    <n v="202106"/>
    <x v="17"/>
    <n v="2021"/>
    <s v=" June "/>
    <x v="5"/>
    <x v="1"/>
    <s v="Luzon"/>
    <n v="59.89"/>
  </r>
  <r>
    <n v="202107"/>
    <x v="18"/>
    <n v="2021"/>
    <s v=" July "/>
    <x v="5"/>
    <x v="1"/>
    <s v="Luzon"/>
    <n v="57.37"/>
  </r>
  <r>
    <n v="202108"/>
    <x v="19"/>
    <n v="2021"/>
    <s v=" August "/>
    <x v="5"/>
    <x v="1"/>
    <s v="Luzon"/>
    <n v="49.52"/>
  </r>
  <r>
    <n v="202109"/>
    <x v="20"/>
    <n v="2021"/>
    <s v=" September "/>
    <x v="5"/>
    <x v="1"/>
    <s v="Luzon"/>
    <n v="38.770000000000003"/>
  </r>
  <r>
    <n v="202110"/>
    <x v="21"/>
    <n v="2021"/>
    <s v=" October "/>
    <x v="5"/>
    <x v="1"/>
    <s v="Luzon"/>
    <n v="47.02"/>
  </r>
  <r>
    <n v="202111"/>
    <x v="22"/>
    <n v="2021"/>
    <s v=" November "/>
    <x v="5"/>
    <x v="1"/>
    <s v="Luzon"/>
    <n v="47.72"/>
  </r>
  <r>
    <n v="202112"/>
    <x v="23"/>
    <n v="2021"/>
    <s v=" December "/>
    <x v="5"/>
    <x v="1"/>
    <s v="Luzon"/>
    <n v="47.58"/>
  </r>
  <r>
    <n v="202101"/>
    <x v="12"/>
    <n v="2021"/>
    <s v=" January "/>
    <x v="5"/>
    <x v="1"/>
    <s v="Luzon"/>
    <n v="480.7"/>
  </r>
  <r>
    <n v="202102"/>
    <x v="13"/>
    <n v="2021"/>
    <s v=" February "/>
    <x v="5"/>
    <x v="1"/>
    <s v="Luzon"/>
    <n v="379.3"/>
  </r>
  <r>
    <n v="202103"/>
    <x v="14"/>
    <n v="2021"/>
    <s v=" March "/>
    <x v="5"/>
    <x v="1"/>
    <s v="Luzon"/>
    <n v="382.92"/>
  </r>
  <r>
    <n v="202104"/>
    <x v="15"/>
    <n v="2021"/>
    <s v=" April "/>
    <x v="5"/>
    <x v="1"/>
    <s v="Luzon"/>
    <n v="553.17999999999995"/>
  </r>
  <r>
    <n v="202105"/>
    <x v="16"/>
    <n v="2021"/>
    <s v=" May "/>
    <x v="5"/>
    <x v="1"/>
    <s v="Luzon"/>
    <n v="456.34"/>
  </r>
  <r>
    <n v="202106"/>
    <x v="17"/>
    <n v="2021"/>
    <s v=" June "/>
    <x v="5"/>
    <x v="1"/>
    <s v="Luzon"/>
    <n v="393.59"/>
  </r>
  <r>
    <n v="202107"/>
    <x v="18"/>
    <n v="2021"/>
    <s v=" July "/>
    <x v="5"/>
    <x v="1"/>
    <s v="Luzon"/>
    <n v="379.24"/>
  </r>
  <r>
    <n v="202108"/>
    <x v="19"/>
    <n v="2021"/>
    <s v=" August "/>
    <x v="5"/>
    <x v="1"/>
    <s v="Luzon"/>
    <n v="403.08"/>
  </r>
  <r>
    <n v="202109"/>
    <x v="20"/>
    <n v="2021"/>
    <s v=" September "/>
    <x v="5"/>
    <x v="1"/>
    <s v="Luzon"/>
    <n v="433.59"/>
  </r>
  <r>
    <n v="202110"/>
    <x v="21"/>
    <n v="2021"/>
    <s v=" October "/>
    <x v="5"/>
    <x v="1"/>
    <s v="Luzon"/>
    <n v="435.71"/>
  </r>
  <r>
    <n v="202111"/>
    <x v="22"/>
    <n v="2021"/>
    <s v=" November "/>
    <x v="5"/>
    <x v="1"/>
    <s v="Luzon"/>
    <n v="519.26"/>
  </r>
  <r>
    <n v="202112"/>
    <x v="23"/>
    <n v="2021"/>
    <s v=" December "/>
    <x v="5"/>
    <x v="1"/>
    <s v="Luzon"/>
    <n v="526.54999999999995"/>
  </r>
  <r>
    <n v="202101"/>
    <x v="12"/>
    <n v="2021"/>
    <s v=" January "/>
    <x v="5"/>
    <x v="1"/>
    <s v="Luzon"/>
    <n v="380.06"/>
  </r>
  <r>
    <n v="202102"/>
    <x v="13"/>
    <n v="2021"/>
    <s v=" February "/>
    <x v="5"/>
    <x v="1"/>
    <s v="Luzon"/>
    <n v="244.9"/>
  </r>
  <r>
    <n v="202103"/>
    <x v="14"/>
    <n v="2021"/>
    <s v=" March "/>
    <x v="5"/>
    <x v="1"/>
    <s v="Luzon"/>
    <n v="256.89"/>
  </r>
  <r>
    <n v="202104"/>
    <x v="15"/>
    <n v="2021"/>
    <s v=" April "/>
    <x v="5"/>
    <x v="1"/>
    <s v="Luzon"/>
    <n v="496.83"/>
  </r>
  <r>
    <n v="202105"/>
    <x v="16"/>
    <n v="2021"/>
    <s v=" May "/>
    <x v="5"/>
    <x v="1"/>
    <s v="Luzon"/>
    <n v="274.60000000000002"/>
  </r>
  <r>
    <n v="202106"/>
    <x v="17"/>
    <n v="2021"/>
    <s v=" June "/>
    <x v="5"/>
    <x v="1"/>
    <s v="Luzon"/>
    <n v="300.89999999999998"/>
  </r>
  <r>
    <n v="202107"/>
    <x v="18"/>
    <n v="2021"/>
    <s v=" July "/>
    <x v="5"/>
    <x v="1"/>
    <s v="Luzon"/>
    <n v="318.17"/>
  </r>
  <r>
    <n v="202108"/>
    <x v="19"/>
    <n v="2021"/>
    <s v=" August "/>
    <x v="5"/>
    <x v="1"/>
    <s v="Luzon"/>
    <n v="318.95999999999998"/>
  </r>
  <r>
    <n v="202109"/>
    <x v="20"/>
    <n v="2021"/>
    <s v=" September "/>
    <x v="5"/>
    <x v="1"/>
    <s v="Luzon"/>
    <n v="250.04"/>
  </r>
  <r>
    <n v="202110"/>
    <x v="21"/>
    <n v="2021"/>
    <s v=" October "/>
    <x v="5"/>
    <x v="1"/>
    <s v="Luzon"/>
    <n v="386.16"/>
  </r>
  <r>
    <n v="202111"/>
    <x v="22"/>
    <n v="2021"/>
    <s v=" November "/>
    <x v="5"/>
    <x v="1"/>
    <s v="Luzon"/>
    <n v="354.27"/>
  </r>
  <r>
    <n v="202112"/>
    <x v="23"/>
    <n v="2021"/>
    <s v=" December "/>
    <x v="5"/>
    <x v="1"/>
    <s v="Luzon"/>
    <n v="326.61"/>
  </r>
  <r>
    <n v="202101"/>
    <x v="12"/>
    <n v="2021"/>
    <s v=" January "/>
    <x v="6"/>
    <x v="1"/>
    <s v="Luzon"/>
    <n v="49.79"/>
  </r>
  <r>
    <n v="202102"/>
    <x v="13"/>
    <n v="2021"/>
    <s v=" February "/>
    <x v="6"/>
    <x v="1"/>
    <s v="Luzon"/>
    <n v="17.940000000000001"/>
  </r>
  <r>
    <n v="202103"/>
    <x v="14"/>
    <n v="2021"/>
    <s v=" March "/>
    <x v="6"/>
    <x v="1"/>
    <s v="Luzon"/>
    <n v="18.829999999999998"/>
  </r>
  <r>
    <n v="202104"/>
    <x v="15"/>
    <n v="2021"/>
    <s v=" April "/>
    <x v="6"/>
    <x v="1"/>
    <s v="Luzon"/>
    <n v="30.33"/>
  </r>
  <r>
    <n v="202105"/>
    <x v="16"/>
    <n v="2021"/>
    <s v=" May "/>
    <x v="6"/>
    <x v="1"/>
    <s v="Luzon"/>
    <n v="20.62"/>
  </r>
  <r>
    <n v="202106"/>
    <x v="17"/>
    <n v="2021"/>
    <s v=" June "/>
    <x v="6"/>
    <x v="1"/>
    <s v="Luzon"/>
    <n v="20.89"/>
  </r>
  <r>
    <n v="202107"/>
    <x v="18"/>
    <n v="2021"/>
    <s v=" July "/>
    <x v="6"/>
    <x v="1"/>
    <s v="Luzon"/>
    <n v="27.68"/>
  </r>
  <r>
    <n v="202108"/>
    <x v="19"/>
    <n v="2021"/>
    <s v=" August "/>
    <x v="6"/>
    <x v="1"/>
    <s v="Luzon"/>
    <n v="22.23"/>
  </r>
  <r>
    <n v="202109"/>
    <x v="20"/>
    <n v="2021"/>
    <s v=" September "/>
    <x v="6"/>
    <x v="1"/>
    <s v="Luzon"/>
    <n v="17.8"/>
  </r>
  <r>
    <n v="202110"/>
    <x v="21"/>
    <n v="2021"/>
    <s v=" October "/>
    <x v="6"/>
    <x v="1"/>
    <s v="Luzon"/>
    <n v="22.93"/>
  </r>
  <r>
    <n v="202111"/>
    <x v="22"/>
    <n v="2021"/>
    <s v=" November "/>
    <x v="6"/>
    <x v="1"/>
    <s v="Luzon"/>
    <n v="21.74"/>
  </r>
  <r>
    <n v="202112"/>
    <x v="23"/>
    <n v="2021"/>
    <s v=" December "/>
    <x v="6"/>
    <x v="1"/>
    <s v="Luzon"/>
    <n v="22.72"/>
  </r>
  <r>
    <n v="202101"/>
    <x v="12"/>
    <n v="2021"/>
    <s v=" January "/>
    <x v="6"/>
    <x v="1"/>
    <s v="Luzon"/>
    <n v="93.26"/>
  </r>
  <r>
    <n v="202102"/>
    <x v="13"/>
    <n v="2021"/>
    <s v=" February "/>
    <x v="6"/>
    <x v="1"/>
    <s v="Luzon"/>
    <n v="51.86"/>
  </r>
  <r>
    <n v="202103"/>
    <x v="14"/>
    <n v="2021"/>
    <s v=" March "/>
    <x v="6"/>
    <x v="1"/>
    <s v="Luzon"/>
    <n v="62.13"/>
  </r>
  <r>
    <n v="202104"/>
    <x v="15"/>
    <n v="2021"/>
    <s v=" April "/>
    <x v="6"/>
    <x v="1"/>
    <s v="Luzon"/>
    <n v="79.430000000000007"/>
  </r>
  <r>
    <n v="202105"/>
    <x v="16"/>
    <n v="2021"/>
    <s v=" May "/>
    <x v="6"/>
    <x v="1"/>
    <s v="Luzon"/>
    <n v="60.35"/>
  </r>
  <r>
    <n v="202106"/>
    <x v="17"/>
    <n v="2021"/>
    <s v=" June "/>
    <x v="6"/>
    <x v="1"/>
    <s v="Luzon"/>
    <n v="51.02"/>
  </r>
  <r>
    <n v="202107"/>
    <x v="18"/>
    <n v="2021"/>
    <s v=" July "/>
    <x v="6"/>
    <x v="1"/>
    <s v="Luzon"/>
    <n v="62.64"/>
  </r>
  <r>
    <n v="202108"/>
    <x v="19"/>
    <n v="2021"/>
    <s v=" August "/>
    <x v="6"/>
    <x v="1"/>
    <s v="Luzon"/>
    <n v="60.72"/>
  </r>
  <r>
    <n v="202109"/>
    <x v="20"/>
    <n v="2021"/>
    <s v=" September "/>
    <x v="6"/>
    <x v="1"/>
    <s v="Luzon"/>
    <n v="48.11"/>
  </r>
  <r>
    <n v="202110"/>
    <x v="21"/>
    <n v="2021"/>
    <s v=" October "/>
    <x v="6"/>
    <x v="1"/>
    <s v="Luzon"/>
    <n v="59.17"/>
  </r>
  <r>
    <n v="202111"/>
    <x v="22"/>
    <n v="2021"/>
    <s v=" November "/>
    <x v="6"/>
    <x v="1"/>
    <s v="Luzon"/>
    <n v="54.31"/>
  </r>
  <r>
    <n v="202112"/>
    <x v="23"/>
    <n v="2021"/>
    <s v=" December "/>
    <x v="6"/>
    <x v="1"/>
    <s v="Luzon"/>
    <n v="56.96"/>
  </r>
  <r>
    <n v="202101"/>
    <x v="12"/>
    <n v="2021"/>
    <s v=" January "/>
    <x v="6"/>
    <x v="1"/>
    <s v="Luzon"/>
    <n v="220.63"/>
  </r>
  <r>
    <n v="202102"/>
    <x v="13"/>
    <n v="2021"/>
    <s v=" February "/>
    <x v="6"/>
    <x v="1"/>
    <s v="Luzon"/>
    <n v="111.97"/>
  </r>
  <r>
    <n v="202103"/>
    <x v="14"/>
    <n v="2021"/>
    <s v=" March "/>
    <x v="6"/>
    <x v="1"/>
    <s v="Luzon"/>
    <n v="137.51"/>
  </r>
  <r>
    <n v="202104"/>
    <x v="15"/>
    <n v="2021"/>
    <s v=" April "/>
    <x v="6"/>
    <x v="1"/>
    <s v="Luzon"/>
    <n v="188.52"/>
  </r>
  <r>
    <n v="202105"/>
    <x v="16"/>
    <n v="2021"/>
    <s v=" May "/>
    <x v="6"/>
    <x v="1"/>
    <s v="Luzon"/>
    <n v="145.19999999999999"/>
  </r>
  <r>
    <n v="202106"/>
    <x v="17"/>
    <n v="2021"/>
    <s v=" June "/>
    <x v="6"/>
    <x v="1"/>
    <s v="Luzon"/>
    <n v="131.97999999999999"/>
  </r>
  <r>
    <n v="202107"/>
    <x v="18"/>
    <n v="2021"/>
    <s v=" July "/>
    <x v="6"/>
    <x v="1"/>
    <s v="Luzon"/>
    <n v="137.69999999999999"/>
  </r>
  <r>
    <n v="202108"/>
    <x v="19"/>
    <n v="2021"/>
    <s v=" August "/>
    <x v="6"/>
    <x v="1"/>
    <s v="Luzon"/>
    <n v="159.49"/>
  </r>
  <r>
    <n v="202109"/>
    <x v="20"/>
    <n v="2021"/>
    <s v=" September "/>
    <x v="6"/>
    <x v="1"/>
    <s v="Luzon"/>
    <n v="125"/>
  </r>
  <r>
    <n v="202110"/>
    <x v="21"/>
    <n v="2021"/>
    <s v=" October "/>
    <x v="6"/>
    <x v="1"/>
    <s v="Luzon"/>
    <n v="161.58000000000001"/>
  </r>
  <r>
    <n v="202111"/>
    <x v="22"/>
    <n v="2021"/>
    <s v=" November "/>
    <x v="6"/>
    <x v="1"/>
    <s v="Luzon"/>
    <n v="159.54"/>
  </r>
  <r>
    <n v="202112"/>
    <x v="23"/>
    <n v="2021"/>
    <s v=" December "/>
    <x v="6"/>
    <x v="1"/>
    <s v="Luzon"/>
    <n v="136.22"/>
  </r>
  <r>
    <n v="202101"/>
    <x v="12"/>
    <n v="2021"/>
    <s v=" January "/>
    <x v="6"/>
    <x v="1"/>
    <s v="Luzon"/>
    <n v="451.72"/>
  </r>
  <r>
    <n v="202102"/>
    <x v="13"/>
    <n v="2021"/>
    <s v=" February "/>
    <x v="6"/>
    <x v="1"/>
    <s v="Luzon"/>
    <n v="249.92"/>
  </r>
  <r>
    <n v="202103"/>
    <x v="14"/>
    <n v="2021"/>
    <s v=" March "/>
    <x v="6"/>
    <x v="1"/>
    <s v="Luzon"/>
    <n v="244.59"/>
  </r>
  <r>
    <n v="202104"/>
    <x v="15"/>
    <n v="2021"/>
    <s v=" April "/>
    <x v="6"/>
    <x v="1"/>
    <s v="Luzon"/>
    <n v="367.84"/>
  </r>
  <r>
    <n v="202105"/>
    <x v="16"/>
    <n v="2021"/>
    <s v=" May "/>
    <x v="6"/>
    <x v="1"/>
    <s v="Luzon"/>
    <n v="241.68"/>
  </r>
  <r>
    <n v="202106"/>
    <x v="17"/>
    <n v="2021"/>
    <s v=" June "/>
    <x v="6"/>
    <x v="1"/>
    <s v="Luzon"/>
    <n v="255.73"/>
  </r>
  <r>
    <n v="202107"/>
    <x v="18"/>
    <n v="2021"/>
    <s v=" July "/>
    <x v="6"/>
    <x v="1"/>
    <s v="Luzon"/>
    <n v="302.5"/>
  </r>
  <r>
    <n v="202108"/>
    <x v="19"/>
    <n v="2021"/>
    <s v=" August "/>
    <x v="6"/>
    <x v="1"/>
    <s v="Luzon"/>
    <n v="283.52"/>
  </r>
  <r>
    <n v="202109"/>
    <x v="20"/>
    <n v="2021"/>
    <s v=" September "/>
    <x v="6"/>
    <x v="1"/>
    <s v="Luzon"/>
    <n v="221.86"/>
  </r>
  <r>
    <n v="202110"/>
    <x v="21"/>
    <n v="2021"/>
    <s v=" October "/>
    <x v="6"/>
    <x v="1"/>
    <s v="Luzon"/>
    <n v="285.79000000000002"/>
  </r>
  <r>
    <n v="202111"/>
    <x v="22"/>
    <n v="2021"/>
    <s v=" November "/>
    <x v="6"/>
    <x v="1"/>
    <s v="Luzon"/>
    <n v="350"/>
  </r>
  <r>
    <n v="202112"/>
    <x v="23"/>
    <n v="2021"/>
    <s v=" December "/>
    <x v="6"/>
    <x v="1"/>
    <s v="Luzon"/>
    <n v="253.62"/>
  </r>
  <r>
    <n v="202101"/>
    <x v="12"/>
    <n v="2021"/>
    <s v=" January "/>
    <x v="6"/>
    <x v="1"/>
    <s v="Luzon"/>
    <n v="44.7"/>
  </r>
  <r>
    <n v="202102"/>
    <x v="13"/>
    <n v="2021"/>
    <s v=" February "/>
    <x v="6"/>
    <x v="1"/>
    <s v="Luzon"/>
    <n v="26.06"/>
  </r>
  <r>
    <n v="202103"/>
    <x v="14"/>
    <n v="2021"/>
    <s v=" March "/>
    <x v="6"/>
    <x v="1"/>
    <s v="Luzon"/>
    <n v="30.86"/>
  </r>
  <r>
    <n v="202104"/>
    <x v="15"/>
    <n v="2021"/>
    <s v=" April "/>
    <x v="6"/>
    <x v="1"/>
    <s v="Luzon"/>
    <n v="41.95"/>
  </r>
  <r>
    <n v="202105"/>
    <x v="16"/>
    <n v="2021"/>
    <s v=" May "/>
    <x v="6"/>
    <x v="1"/>
    <s v="Luzon"/>
    <n v="33.4"/>
  </r>
  <r>
    <n v="202106"/>
    <x v="17"/>
    <n v="2021"/>
    <s v=" June "/>
    <x v="6"/>
    <x v="1"/>
    <s v="Luzon"/>
    <n v="29.07"/>
  </r>
  <r>
    <n v="202107"/>
    <x v="18"/>
    <n v="2021"/>
    <s v=" July "/>
    <x v="6"/>
    <x v="1"/>
    <s v="Luzon"/>
    <n v="28.43"/>
  </r>
  <r>
    <n v="202108"/>
    <x v="19"/>
    <n v="2021"/>
    <s v=" August "/>
    <x v="6"/>
    <x v="1"/>
    <s v="Luzon"/>
    <n v="31.49"/>
  </r>
  <r>
    <n v="202109"/>
    <x v="20"/>
    <n v="2021"/>
    <s v=" September "/>
    <x v="6"/>
    <x v="1"/>
    <s v="Luzon"/>
    <n v="28.71"/>
  </r>
  <r>
    <n v="202110"/>
    <x v="21"/>
    <n v="2021"/>
    <s v=" October "/>
    <x v="6"/>
    <x v="1"/>
    <s v="Luzon"/>
    <n v="27.91"/>
  </r>
  <r>
    <n v="202111"/>
    <x v="22"/>
    <n v="2021"/>
    <s v=" November "/>
    <x v="6"/>
    <x v="1"/>
    <s v="Luzon"/>
    <n v="34.369999999999997"/>
  </r>
  <r>
    <n v="202112"/>
    <x v="23"/>
    <n v="2021"/>
    <s v=" December "/>
    <x v="6"/>
    <x v="1"/>
    <s v="Luzon"/>
    <n v="32.159999999999997"/>
  </r>
  <r>
    <n v="202101"/>
    <x v="12"/>
    <n v="2021"/>
    <s v=" January "/>
    <x v="7"/>
    <x v="1"/>
    <s v="Luzon"/>
    <n v="385.18"/>
  </r>
  <r>
    <n v="202102"/>
    <x v="13"/>
    <n v="2021"/>
    <s v=" February "/>
    <x v="7"/>
    <x v="1"/>
    <s v="Luzon"/>
    <n v="220.36"/>
  </r>
  <r>
    <n v="202103"/>
    <x v="14"/>
    <n v="2021"/>
    <s v=" March "/>
    <x v="7"/>
    <x v="1"/>
    <s v="Luzon"/>
    <n v="241.47"/>
  </r>
  <r>
    <n v="202104"/>
    <x v="15"/>
    <n v="2021"/>
    <s v=" April "/>
    <x v="7"/>
    <x v="1"/>
    <s v="Luzon"/>
    <n v="396.95"/>
  </r>
  <r>
    <n v="202105"/>
    <x v="16"/>
    <n v="2021"/>
    <s v=" May "/>
    <x v="7"/>
    <x v="1"/>
    <s v="Luzon"/>
    <n v="259.69"/>
  </r>
  <r>
    <n v="202106"/>
    <x v="17"/>
    <n v="2021"/>
    <s v=" June "/>
    <x v="7"/>
    <x v="1"/>
    <s v="Luzon"/>
    <n v="250.16"/>
  </r>
  <r>
    <n v="202107"/>
    <x v="18"/>
    <n v="2021"/>
    <s v=" July "/>
    <x v="7"/>
    <x v="1"/>
    <s v="Luzon"/>
    <n v="275.89999999999998"/>
  </r>
  <r>
    <n v="202108"/>
    <x v="19"/>
    <n v="2021"/>
    <s v=" August "/>
    <x v="7"/>
    <x v="1"/>
    <s v="Luzon"/>
    <n v="279.79000000000002"/>
  </r>
  <r>
    <n v="202109"/>
    <x v="20"/>
    <n v="2021"/>
    <s v=" September "/>
    <x v="7"/>
    <x v="1"/>
    <s v="Luzon"/>
    <n v="258.44"/>
  </r>
  <r>
    <n v="202110"/>
    <x v="21"/>
    <n v="2021"/>
    <s v=" October "/>
    <x v="7"/>
    <x v="1"/>
    <s v="Luzon"/>
    <n v="282.94"/>
  </r>
  <r>
    <n v="202111"/>
    <x v="22"/>
    <n v="2021"/>
    <s v=" November "/>
    <x v="7"/>
    <x v="1"/>
    <s v="Luzon"/>
    <n v="302.64999999999998"/>
  </r>
  <r>
    <n v="202112"/>
    <x v="23"/>
    <n v="2021"/>
    <s v=" December "/>
    <x v="7"/>
    <x v="1"/>
    <s v="Luzon"/>
    <n v="318.60000000000002"/>
  </r>
  <r>
    <n v="202101"/>
    <x v="12"/>
    <n v="2021"/>
    <s v=" January "/>
    <x v="7"/>
    <x v="1"/>
    <s v="Luzon"/>
    <n v="109.21"/>
  </r>
  <r>
    <n v="202102"/>
    <x v="13"/>
    <n v="2021"/>
    <s v=" February "/>
    <x v="7"/>
    <x v="1"/>
    <s v="Luzon"/>
    <n v="65.36"/>
  </r>
  <r>
    <n v="202103"/>
    <x v="14"/>
    <n v="2021"/>
    <s v=" March "/>
    <x v="7"/>
    <x v="1"/>
    <s v="Luzon"/>
    <n v="72.569999999999993"/>
  </r>
  <r>
    <n v="202104"/>
    <x v="15"/>
    <n v="2021"/>
    <s v=" April "/>
    <x v="7"/>
    <x v="1"/>
    <s v="Luzon"/>
    <n v="100.66"/>
  </r>
  <r>
    <n v="202105"/>
    <x v="16"/>
    <n v="2021"/>
    <s v=" May "/>
    <x v="7"/>
    <x v="1"/>
    <s v="Luzon"/>
    <n v="70.19"/>
  </r>
  <r>
    <n v="202106"/>
    <x v="17"/>
    <n v="2021"/>
    <s v=" June "/>
    <x v="7"/>
    <x v="1"/>
    <s v="Luzon"/>
    <n v="70.14"/>
  </r>
  <r>
    <n v="202107"/>
    <x v="18"/>
    <n v="2021"/>
    <s v=" July "/>
    <x v="7"/>
    <x v="1"/>
    <s v="Luzon"/>
    <n v="82.49"/>
  </r>
  <r>
    <n v="202108"/>
    <x v="19"/>
    <n v="2021"/>
    <s v=" August "/>
    <x v="7"/>
    <x v="1"/>
    <s v="Luzon"/>
    <n v="73.52"/>
  </r>
  <r>
    <n v="202109"/>
    <x v="20"/>
    <n v="2021"/>
    <s v=" September "/>
    <x v="7"/>
    <x v="1"/>
    <s v="Luzon"/>
    <n v="59.74"/>
  </r>
  <r>
    <n v="202110"/>
    <x v="21"/>
    <n v="2021"/>
    <s v=" October "/>
    <x v="7"/>
    <x v="1"/>
    <s v="Luzon"/>
    <n v="83.8"/>
  </r>
  <r>
    <n v="202111"/>
    <x v="22"/>
    <n v="2021"/>
    <s v=" November "/>
    <x v="7"/>
    <x v="1"/>
    <s v="Luzon"/>
    <n v="93.38"/>
  </r>
  <r>
    <n v="202112"/>
    <x v="23"/>
    <n v="2021"/>
    <s v=" December "/>
    <x v="7"/>
    <x v="1"/>
    <s v="Luzon"/>
    <n v="88.84"/>
  </r>
  <r>
    <n v="202101"/>
    <x v="12"/>
    <n v="2021"/>
    <s v=" January "/>
    <x v="7"/>
    <x v="1"/>
    <s v="Luzon"/>
    <n v="424.09"/>
  </r>
  <r>
    <n v="202102"/>
    <x v="13"/>
    <n v="2021"/>
    <s v=" February "/>
    <x v="7"/>
    <x v="1"/>
    <s v="Luzon"/>
    <n v="228.8"/>
  </r>
  <r>
    <n v="202103"/>
    <x v="14"/>
    <n v="2021"/>
    <s v=" March "/>
    <x v="7"/>
    <x v="1"/>
    <s v="Luzon"/>
    <n v="274.33999999999997"/>
  </r>
  <r>
    <n v="202104"/>
    <x v="15"/>
    <n v="2021"/>
    <s v=" April "/>
    <x v="7"/>
    <x v="1"/>
    <s v="Luzon"/>
    <n v="329.63"/>
  </r>
  <r>
    <n v="202105"/>
    <x v="16"/>
    <n v="2021"/>
    <s v=" May "/>
    <x v="7"/>
    <x v="1"/>
    <s v="Luzon"/>
    <n v="270.02999999999997"/>
  </r>
  <r>
    <n v="202106"/>
    <x v="17"/>
    <n v="2021"/>
    <s v=" June "/>
    <x v="7"/>
    <x v="1"/>
    <s v="Luzon"/>
    <n v="285.02"/>
  </r>
  <r>
    <n v="202107"/>
    <x v="18"/>
    <n v="2021"/>
    <s v=" July "/>
    <x v="7"/>
    <x v="1"/>
    <s v="Luzon"/>
    <n v="337.73"/>
  </r>
  <r>
    <n v="202108"/>
    <x v="19"/>
    <n v="2021"/>
    <s v=" August "/>
    <x v="7"/>
    <x v="1"/>
    <s v="Luzon"/>
    <n v="353.32"/>
  </r>
  <r>
    <n v="202109"/>
    <x v="20"/>
    <n v="2021"/>
    <s v=" September "/>
    <x v="7"/>
    <x v="1"/>
    <s v="Luzon"/>
    <n v="293.61"/>
  </r>
  <r>
    <n v="202110"/>
    <x v="21"/>
    <n v="2021"/>
    <s v=" October "/>
    <x v="7"/>
    <x v="1"/>
    <s v="Luzon"/>
    <n v="329.84"/>
  </r>
  <r>
    <n v="202111"/>
    <x v="22"/>
    <n v="2021"/>
    <s v=" November "/>
    <x v="7"/>
    <x v="1"/>
    <s v="Luzon"/>
    <n v="341.86"/>
  </r>
  <r>
    <n v="202112"/>
    <x v="23"/>
    <n v="2021"/>
    <s v=" December "/>
    <x v="7"/>
    <x v="1"/>
    <s v="Luzon"/>
    <n v="326.25"/>
  </r>
  <r>
    <n v="202101"/>
    <x v="12"/>
    <n v="2021"/>
    <s v=" January "/>
    <x v="7"/>
    <x v="1"/>
    <s v="Luzon"/>
    <n v="56.02"/>
  </r>
  <r>
    <n v="202102"/>
    <x v="13"/>
    <n v="2021"/>
    <s v=" February "/>
    <x v="7"/>
    <x v="1"/>
    <s v="Luzon"/>
    <n v="34.54"/>
  </r>
  <r>
    <n v="202103"/>
    <x v="14"/>
    <n v="2021"/>
    <s v=" March "/>
    <x v="7"/>
    <x v="1"/>
    <s v="Luzon"/>
    <n v="36.86"/>
  </r>
  <r>
    <n v="202104"/>
    <x v="15"/>
    <n v="2021"/>
    <s v=" April "/>
    <x v="7"/>
    <x v="1"/>
    <s v="Luzon"/>
    <n v="58"/>
  </r>
  <r>
    <n v="202105"/>
    <x v="16"/>
    <n v="2021"/>
    <s v=" May "/>
    <x v="7"/>
    <x v="1"/>
    <s v="Luzon"/>
    <n v="42.75"/>
  </r>
  <r>
    <n v="202106"/>
    <x v="17"/>
    <n v="2021"/>
    <s v=" June "/>
    <x v="7"/>
    <x v="1"/>
    <s v="Luzon"/>
    <n v="40.44"/>
  </r>
  <r>
    <n v="202107"/>
    <x v="18"/>
    <n v="2021"/>
    <s v=" July "/>
    <x v="7"/>
    <x v="1"/>
    <s v="Luzon"/>
    <n v="42.45"/>
  </r>
  <r>
    <n v="202108"/>
    <x v="19"/>
    <n v="2021"/>
    <s v=" August "/>
    <x v="7"/>
    <x v="1"/>
    <s v="Luzon"/>
    <n v="46.57"/>
  </r>
  <r>
    <n v="202109"/>
    <x v="20"/>
    <n v="2021"/>
    <s v=" September "/>
    <x v="7"/>
    <x v="1"/>
    <s v="Luzon"/>
    <n v="47.87"/>
  </r>
  <r>
    <n v="202110"/>
    <x v="21"/>
    <n v="2021"/>
    <s v=" October "/>
    <x v="7"/>
    <x v="1"/>
    <s v="Luzon"/>
    <n v="52.72"/>
  </r>
  <r>
    <n v="202111"/>
    <x v="22"/>
    <n v="2021"/>
    <s v=" November "/>
    <x v="7"/>
    <x v="1"/>
    <s v="Luzon"/>
    <n v="49.23"/>
  </r>
  <r>
    <n v="202112"/>
    <x v="23"/>
    <n v="2021"/>
    <s v=" December "/>
    <x v="7"/>
    <x v="1"/>
    <s v="Luzon"/>
    <n v="47.44"/>
  </r>
  <r>
    <n v="202101"/>
    <x v="12"/>
    <n v="2021"/>
    <s v=" January "/>
    <x v="7"/>
    <x v="1"/>
    <s v="Luzon"/>
    <n v="101.16"/>
  </r>
  <r>
    <n v="202102"/>
    <x v="13"/>
    <n v="2021"/>
    <s v=" February "/>
    <x v="7"/>
    <x v="1"/>
    <s v="Luzon"/>
    <n v="58"/>
  </r>
  <r>
    <n v="202103"/>
    <x v="14"/>
    <n v="2021"/>
    <s v=" March "/>
    <x v="7"/>
    <x v="1"/>
    <s v="Luzon"/>
    <n v="77.63"/>
  </r>
  <r>
    <n v="202104"/>
    <x v="15"/>
    <n v="2021"/>
    <s v=" April "/>
    <x v="7"/>
    <x v="1"/>
    <s v="Luzon"/>
    <n v="96.86"/>
  </r>
  <r>
    <n v="202105"/>
    <x v="16"/>
    <n v="2021"/>
    <s v=" May "/>
    <x v="7"/>
    <x v="1"/>
    <s v="Luzon"/>
    <n v="66.34"/>
  </r>
  <r>
    <n v="202106"/>
    <x v="17"/>
    <n v="2021"/>
    <s v=" June "/>
    <x v="7"/>
    <x v="1"/>
    <s v="Luzon"/>
    <n v="64.05"/>
  </r>
  <r>
    <n v="202107"/>
    <x v="18"/>
    <n v="2021"/>
    <s v=" July "/>
    <x v="7"/>
    <x v="1"/>
    <s v="Luzon"/>
    <n v="65.66"/>
  </r>
  <r>
    <n v="202108"/>
    <x v="19"/>
    <n v="2021"/>
    <s v=" August "/>
    <x v="7"/>
    <x v="1"/>
    <s v="Luzon"/>
    <n v="68.64"/>
  </r>
  <r>
    <n v="202109"/>
    <x v="20"/>
    <n v="2021"/>
    <s v=" September "/>
    <x v="7"/>
    <x v="1"/>
    <s v="Luzon"/>
    <n v="57.6"/>
  </r>
  <r>
    <n v="202110"/>
    <x v="21"/>
    <n v="2021"/>
    <s v=" October "/>
    <x v="7"/>
    <x v="1"/>
    <s v="Luzon"/>
    <n v="69.8"/>
  </r>
  <r>
    <n v="202111"/>
    <x v="22"/>
    <n v="2021"/>
    <s v=" November "/>
    <x v="7"/>
    <x v="1"/>
    <s v="Luzon"/>
    <n v="79.16"/>
  </r>
  <r>
    <n v="202112"/>
    <x v="23"/>
    <n v="2021"/>
    <s v=" December "/>
    <x v="7"/>
    <x v="1"/>
    <s v="Luzon"/>
    <n v="77.52"/>
  </r>
  <r>
    <n v="202101"/>
    <x v="12"/>
    <n v="2021"/>
    <s v=" January "/>
    <x v="7"/>
    <x v="1"/>
    <s v="Luzon"/>
    <n v="119.16"/>
  </r>
  <r>
    <n v="202102"/>
    <x v="13"/>
    <n v="2021"/>
    <s v=" February "/>
    <x v="7"/>
    <x v="1"/>
    <s v="Luzon"/>
    <n v="59.81"/>
  </r>
  <r>
    <n v="202103"/>
    <x v="14"/>
    <n v="2021"/>
    <s v=" March "/>
    <x v="7"/>
    <x v="1"/>
    <s v="Luzon"/>
    <n v="70.650000000000006"/>
  </r>
  <r>
    <n v="202104"/>
    <x v="15"/>
    <n v="2021"/>
    <s v=" April "/>
    <x v="7"/>
    <x v="1"/>
    <s v="Luzon"/>
    <n v="108.74"/>
  </r>
  <r>
    <n v="202105"/>
    <x v="16"/>
    <n v="2021"/>
    <s v=" May "/>
    <x v="7"/>
    <x v="1"/>
    <s v="Luzon"/>
    <n v="69.7"/>
  </r>
  <r>
    <n v="202106"/>
    <x v="17"/>
    <n v="2021"/>
    <s v=" June "/>
    <x v="7"/>
    <x v="1"/>
    <s v="Luzon"/>
    <n v="80.989999999999995"/>
  </r>
  <r>
    <n v="202107"/>
    <x v="18"/>
    <n v="2021"/>
    <s v=" July "/>
    <x v="7"/>
    <x v="1"/>
    <s v="Luzon"/>
    <n v="80.849999999999994"/>
  </r>
  <r>
    <n v="202108"/>
    <x v="19"/>
    <n v="2021"/>
    <s v=" August "/>
    <x v="7"/>
    <x v="1"/>
    <s v="Luzon"/>
    <n v="91.9"/>
  </r>
  <r>
    <n v="202109"/>
    <x v="20"/>
    <n v="2021"/>
    <s v=" September "/>
    <x v="7"/>
    <x v="1"/>
    <s v="Luzon"/>
    <n v="74.8"/>
  </r>
  <r>
    <n v="202110"/>
    <x v="21"/>
    <n v="2021"/>
    <s v=" October "/>
    <x v="7"/>
    <x v="1"/>
    <s v="Luzon"/>
    <n v="83.5"/>
  </r>
  <r>
    <n v="202111"/>
    <x v="22"/>
    <n v="2021"/>
    <s v=" November "/>
    <x v="7"/>
    <x v="1"/>
    <s v="Luzon"/>
    <n v="96.86"/>
  </r>
  <r>
    <n v="202112"/>
    <x v="23"/>
    <n v="2021"/>
    <s v=" December "/>
    <x v="7"/>
    <x v="1"/>
    <s v="Luzon"/>
    <n v="86.31"/>
  </r>
  <r>
    <n v="202101"/>
    <x v="12"/>
    <n v="2021"/>
    <s v=" January "/>
    <x v="8"/>
    <x v="1"/>
    <s v="Visayas"/>
    <n v="148.79"/>
  </r>
  <r>
    <n v="202102"/>
    <x v="13"/>
    <n v="2021"/>
    <s v=" February "/>
    <x v="8"/>
    <x v="1"/>
    <s v="Visayas"/>
    <n v="88.02"/>
  </r>
  <r>
    <n v="202103"/>
    <x v="14"/>
    <n v="2021"/>
    <s v=" March "/>
    <x v="8"/>
    <x v="1"/>
    <s v="Visayas"/>
    <n v="107.3"/>
  </r>
  <r>
    <n v="202104"/>
    <x v="15"/>
    <n v="2021"/>
    <s v=" April "/>
    <x v="8"/>
    <x v="1"/>
    <s v="Visayas"/>
    <n v="117.74"/>
  </r>
  <r>
    <n v="202105"/>
    <x v="16"/>
    <n v="2021"/>
    <s v=" May "/>
    <x v="8"/>
    <x v="1"/>
    <s v="Visayas"/>
    <n v="101.75"/>
  </r>
  <r>
    <n v="202106"/>
    <x v="17"/>
    <n v="2021"/>
    <s v=" June "/>
    <x v="8"/>
    <x v="1"/>
    <s v="Visayas"/>
    <n v="111.12"/>
  </r>
  <r>
    <n v="202107"/>
    <x v="18"/>
    <n v="2021"/>
    <s v=" July "/>
    <x v="8"/>
    <x v="1"/>
    <s v="Visayas"/>
    <n v="104.69"/>
  </r>
  <r>
    <n v="202108"/>
    <x v="19"/>
    <n v="2021"/>
    <s v=" August "/>
    <x v="8"/>
    <x v="1"/>
    <s v="Visayas"/>
    <n v="90.48"/>
  </r>
  <r>
    <n v="202109"/>
    <x v="20"/>
    <n v="2021"/>
    <s v=" September "/>
    <x v="8"/>
    <x v="1"/>
    <s v="Visayas"/>
    <n v="86.91"/>
  </r>
  <r>
    <n v="202110"/>
    <x v="21"/>
    <n v="2021"/>
    <s v=" October "/>
    <x v="8"/>
    <x v="1"/>
    <s v="Visayas"/>
    <n v="92.07"/>
  </r>
  <r>
    <n v="202111"/>
    <x v="22"/>
    <n v="2021"/>
    <s v=" November "/>
    <x v="8"/>
    <x v="1"/>
    <s v="Visayas"/>
    <n v="98.52"/>
  </r>
  <r>
    <n v="202112"/>
    <x v="23"/>
    <n v="2021"/>
    <s v=" December "/>
    <x v="8"/>
    <x v="1"/>
    <s v="Visayas"/>
    <n v="138.33000000000001"/>
  </r>
  <r>
    <n v="202101"/>
    <x v="12"/>
    <n v="2021"/>
    <s v=" January "/>
    <x v="8"/>
    <x v="1"/>
    <s v="Visayas"/>
    <n v="86.58"/>
  </r>
  <r>
    <n v="202102"/>
    <x v="13"/>
    <n v="2021"/>
    <s v=" February "/>
    <x v="8"/>
    <x v="1"/>
    <s v="Visayas"/>
    <n v="44.94"/>
  </r>
  <r>
    <n v="202103"/>
    <x v="14"/>
    <n v="2021"/>
    <s v=" March "/>
    <x v="8"/>
    <x v="1"/>
    <s v="Visayas"/>
    <n v="47.58"/>
  </r>
  <r>
    <n v="202104"/>
    <x v="15"/>
    <n v="2021"/>
    <s v=" April "/>
    <x v="8"/>
    <x v="1"/>
    <s v="Visayas"/>
    <n v="59.08"/>
  </r>
  <r>
    <n v="202105"/>
    <x v="16"/>
    <n v="2021"/>
    <s v=" May "/>
    <x v="8"/>
    <x v="1"/>
    <s v="Visayas"/>
    <n v="44.7"/>
  </r>
  <r>
    <n v="202106"/>
    <x v="17"/>
    <n v="2021"/>
    <s v=" June "/>
    <x v="8"/>
    <x v="1"/>
    <s v="Visayas"/>
    <n v="58.46"/>
  </r>
  <r>
    <n v="202107"/>
    <x v="18"/>
    <n v="2021"/>
    <s v=" July "/>
    <x v="8"/>
    <x v="1"/>
    <s v="Visayas"/>
    <n v="64.39"/>
  </r>
  <r>
    <n v="202108"/>
    <x v="19"/>
    <n v="2021"/>
    <s v=" August "/>
    <x v="8"/>
    <x v="1"/>
    <s v="Visayas"/>
    <n v="55.29"/>
  </r>
  <r>
    <n v="202109"/>
    <x v="20"/>
    <n v="2021"/>
    <s v=" September "/>
    <x v="8"/>
    <x v="1"/>
    <s v="Visayas"/>
    <n v="59.89"/>
  </r>
  <r>
    <n v="202110"/>
    <x v="21"/>
    <n v="2021"/>
    <s v=" October "/>
    <x v="8"/>
    <x v="1"/>
    <s v="Visayas"/>
    <n v="77.61"/>
  </r>
  <r>
    <n v="202111"/>
    <x v="22"/>
    <n v="2021"/>
    <s v=" November "/>
    <x v="8"/>
    <x v="1"/>
    <s v="Visayas"/>
    <n v="67.150000000000006"/>
  </r>
  <r>
    <n v="202112"/>
    <x v="23"/>
    <n v="2021"/>
    <s v=" December "/>
    <x v="8"/>
    <x v="1"/>
    <s v="Visayas"/>
    <n v="59.94"/>
  </r>
  <r>
    <n v="202101"/>
    <x v="12"/>
    <n v="2021"/>
    <s v=" January "/>
    <x v="8"/>
    <x v="1"/>
    <s v="Visayas"/>
    <n v="136.94999999999999"/>
  </r>
  <r>
    <n v="202102"/>
    <x v="13"/>
    <n v="2021"/>
    <s v=" February "/>
    <x v="8"/>
    <x v="1"/>
    <s v="Visayas"/>
    <n v="81.93"/>
  </r>
  <r>
    <n v="202103"/>
    <x v="14"/>
    <n v="2021"/>
    <s v=" March "/>
    <x v="8"/>
    <x v="1"/>
    <s v="Visayas"/>
    <n v="90.91"/>
  </r>
  <r>
    <n v="202104"/>
    <x v="15"/>
    <n v="2021"/>
    <s v=" April "/>
    <x v="8"/>
    <x v="1"/>
    <s v="Visayas"/>
    <n v="120.08"/>
  </r>
  <r>
    <n v="202105"/>
    <x v="16"/>
    <n v="2021"/>
    <s v=" May "/>
    <x v="8"/>
    <x v="1"/>
    <s v="Visayas"/>
    <n v="107.47"/>
  </r>
  <r>
    <n v="202106"/>
    <x v="17"/>
    <n v="2021"/>
    <s v=" June "/>
    <x v="8"/>
    <x v="1"/>
    <s v="Visayas"/>
    <n v="96.85"/>
  </r>
  <r>
    <n v="202107"/>
    <x v="18"/>
    <n v="2021"/>
    <s v=" July "/>
    <x v="8"/>
    <x v="1"/>
    <s v="Visayas"/>
    <n v="96.76"/>
  </r>
  <r>
    <n v="202108"/>
    <x v="19"/>
    <n v="2021"/>
    <s v=" August "/>
    <x v="8"/>
    <x v="1"/>
    <s v="Visayas"/>
    <n v="101.93"/>
  </r>
  <r>
    <n v="202109"/>
    <x v="20"/>
    <n v="2021"/>
    <s v=" September "/>
    <x v="8"/>
    <x v="1"/>
    <s v="Visayas"/>
    <n v="87.5"/>
  </r>
  <r>
    <n v="202110"/>
    <x v="21"/>
    <n v="2021"/>
    <s v=" October "/>
    <x v="8"/>
    <x v="1"/>
    <s v="Visayas"/>
    <n v="88.23"/>
  </r>
  <r>
    <n v="202111"/>
    <x v="22"/>
    <n v="2021"/>
    <s v=" November "/>
    <x v="8"/>
    <x v="1"/>
    <s v="Visayas"/>
    <n v="106.25"/>
  </r>
  <r>
    <n v="202112"/>
    <x v="23"/>
    <n v="2021"/>
    <s v=" December "/>
    <x v="8"/>
    <x v="1"/>
    <s v="Visayas"/>
    <n v="100.13"/>
  </r>
  <r>
    <n v="202101"/>
    <x v="12"/>
    <n v="2021"/>
    <s v=" January "/>
    <x v="8"/>
    <x v="1"/>
    <s v="Visayas"/>
    <n v="129.71"/>
  </r>
  <r>
    <n v="202102"/>
    <x v="13"/>
    <n v="2021"/>
    <s v=" February "/>
    <x v="8"/>
    <x v="1"/>
    <s v="Visayas"/>
    <n v="63.85"/>
  </r>
  <r>
    <n v="202103"/>
    <x v="14"/>
    <n v="2021"/>
    <s v=" March "/>
    <x v="8"/>
    <x v="1"/>
    <s v="Visayas"/>
    <n v="81.510000000000005"/>
  </r>
  <r>
    <n v="202104"/>
    <x v="15"/>
    <n v="2021"/>
    <s v=" April "/>
    <x v="8"/>
    <x v="1"/>
    <s v="Visayas"/>
    <n v="136.43"/>
  </r>
  <r>
    <n v="202105"/>
    <x v="16"/>
    <n v="2021"/>
    <s v=" May "/>
    <x v="8"/>
    <x v="1"/>
    <s v="Visayas"/>
    <n v="87.1"/>
  </r>
  <r>
    <n v="202106"/>
    <x v="17"/>
    <n v="2021"/>
    <s v=" June "/>
    <x v="8"/>
    <x v="1"/>
    <s v="Visayas"/>
    <n v="88.5"/>
  </r>
  <r>
    <n v="202107"/>
    <x v="18"/>
    <n v="2021"/>
    <s v=" July "/>
    <x v="8"/>
    <x v="1"/>
    <s v="Visayas"/>
    <n v="97.98"/>
  </r>
  <r>
    <n v="202108"/>
    <x v="19"/>
    <n v="2021"/>
    <s v=" August "/>
    <x v="8"/>
    <x v="1"/>
    <s v="Visayas"/>
    <n v="84.59"/>
  </r>
  <r>
    <n v="202109"/>
    <x v="20"/>
    <n v="2021"/>
    <s v=" September "/>
    <x v="8"/>
    <x v="1"/>
    <s v="Visayas"/>
    <n v="76.650000000000006"/>
  </r>
  <r>
    <n v="202110"/>
    <x v="21"/>
    <n v="2021"/>
    <s v=" October "/>
    <x v="8"/>
    <x v="1"/>
    <s v="Visayas"/>
    <n v="92.89"/>
  </r>
  <r>
    <n v="202111"/>
    <x v="22"/>
    <n v="2021"/>
    <s v=" November "/>
    <x v="8"/>
    <x v="1"/>
    <s v="Visayas"/>
    <n v="98.74"/>
  </r>
  <r>
    <n v="202112"/>
    <x v="23"/>
    <n v="2021"/>
    <s v=" December "/>
    <x v="8"/>
    <x v="1"/>
    <s v="Visayas"/>
    <n v="99.92"/>
  </r>
  <r>
    <n v="202101"/>
    <x v="12"/>
    <n v="2021"/>
    <s v=" January "/>
    <x v="8"/>
    <x v="1"/>
    <s v="Visayas"/>
    <n v="730.76"/>
  </r>
  <r>
    <n v="202102"/>
    <x v="13"/>
    <n v="2021"/>
    <s v=" February "/>
    <x v="8"/>
    <x v="1"/>
    <s v="Visayas"/>
    <n v="402.62"/>
  </r>
  <r>
    <n v="202103"/>
    <x v="14"/>
    <n v="2021"/>
    <s v=" March "/>
    <x v="8"/>
    <x v="1"/>
    <s v="Visayas"/>
    <n v="472.8"/>
  </r>
  <r>
    <n v="202104"/>
    <x v="15"/>
    <n v="2021"/>
    <s v=" April "/>
    <x v="8"/>
    <x v="1"/>
    <s v="Visayas"/>
    <n v="808.91"/>
  </r>
  <r>
    <n v="202105"/>
    <x v="16"/>
    <n v="2021"/>
    <s v=" May "/>
    <x v="8"/>
    <x v="1"/>
    <s v="Visayas"/>
    <n v="530.38"/>
  </r>
  <r>
    <n v="202106"/>
    <x v="17"/>
    <n v="2021"/>
    <s v=" June "/>
    <x v="8"/>
    <x v="1"/>
    <s v="Visayas"/>
    <n v="497.29"/>
  </r>
  <r>
    <n v="202107"/>
    <x v="18"/>
    <n v="2021"/>
    <s v=" July "/>
    <x v="8"/>
    <x v="1"/>
    <s v="Visayas"/>
    <n v="563.51"/>
  </r>
  <r>
    <n v="202108"/>
    <x v="19"/>
    <n v="2021"/>
    <s v=" August "/>
    <x v="8"/>
    <x v="1"/>
    <s v="Visayas"/>
    <n v="513.9"/>
  </r>
  <r>
    <n v="202109"/>
    <x v="20"/>
    <n v="2021"/>
    <s v=" September "/>
    <x v="8"/>
    <x v="1"/>
    <s v="Visayas"/>
    <n v="445.76"/>
  </r>
  <r>
    <n v="202110"/>
    <x v="21"/>
    <n v="2021"/>
    <s v=" October "/>
    <x v="8"/>
    <x v="1"/>
    <s v="Visayas"/>
    <n v="544.21"/>
  </r>
  <r>
    <n v="202111"/>
    <x v="22"/>
    <n v="2021"/>
    <s v=" November "/>
    <x v="8"/>
    <x v="1"/>
    <s v="Visayas"/>
    <n v="528.95000000000005"/>
  </r>
  <r>
    <n v="202112"/>
    <x v="23"/>
    <n v="2021"/>
    <s v=" December "/>
    <x v="8"/>
    <x v="1"/>
    <s v="Visayas"/>
    <n v="691.68"/>
  </r>
  <r>
    <n v="202101"/>
    <x v="12"/>
    <n v="2021"/>
    <s v=" January "/>
    <x v="9"/>
    <x v="1"/>
    <s v="Visayas"/>
    <n v="719.07"/>
  </r>
  <r>
    <n v="202102"/>
    <x v="13"/>
    <n v="2021"/>
    <s v=" February "/>
    <x v="9"/>
    <x v="1"/>
    <s v="Visayas"/>
    <n v="488.87"/>
  </r>
  <r>
    <n v="202103"/>
    <x v="14"/>
    <n v="2021"/>
    <s v=" March "/>
    <x v="9"/>
    <x v="1"/>
    <s v="Visayas"/>
    <n v="535.54"/>
  </r>
  <r>
    <n v="202104"/>
    <x v="15"/>
    <n v="2021"/>
    <s v=" April "/>
    <x v="9"/>
    <x v="1"/>
    <s v="Visayas"/>
    <n v="827.55"/>
  </r>
  <r>
    <n v="202105"/>
    <x v="16"/>
    <n v="2021"/>
    <s v=" May "/>
    <x v="9"/>
    <x v="1"/>
    <s v="Visayas"/>
    <n v="639.45000000000005"/>
  </r>
  <r>
    <n v="202106"/>
    <x v="17"/>
    <n v="2021"/>
    <s v=" June "/>
    <x v="9"/>
    <x v="1"/>
    <s v="Visayas"/>
    <n v="695.13"/>
  </r>
  <r>
    <n v="202107"/>
    <x v="18"/>
    <n v="2021"/>
    <s v=" July "/>
    <x v="9"/>
    <x v="1"/>
    <s v="Visayas"/>
    <n v="645.1"/>
  </r>
  <r>
    <n v="202108"/>
    <x v="19"/>
    <n v="2021"/>
    <s v=" August "/>
    <x v="9"/>
    <x v="1"/>
    <s v="Visayas"/>
    <n v="602.73"/>
  </r>
  <r>
    <n v="202109"/>
    <x v="20"/>
    <n v="2021"/>
    <s v=" September "/>
    <x v="9"/>
    <x v="1"/>
    <s v="Visayas"/>
    <n v="540.5"/>
  </r>
  <r>
    <n v="202110"/>
    <x v="21"/>
    <n v="2021"/>
    <s v=" October "/>
    <x v="9"/>
    <x v="1"/>
    <s v="Visayas"/>
    <n v="634.47"/>
  </r>
  <r>
    <n v="202111"/>
    <x v="22"/>
    <n v="2021"/>
    <s v=" November "/>
    <x v="9"/>
    <x v="1"/>
    <s v="Visayas"/>
    <n v="709.82"/>
  </r>
  <r>
    <n v="202112"/>
    <x v="23"/>
    <n v="2021"/>
    <s v=" December "/>
    <x v="9"/>
    <x v="1"/>
    <s v="Visayas"/>
    <n v="559.16"/>
  </r>
  <r>
    <n v="202101"/>
    <x v="12"/>
    <n v="2021"/>
    <s v=" January "/>
    <x v="9"/>
    <x v="1"/>
    <s v="Visayas"/>
    <n v="241.84"/>
  </r>
  <r>
    <n v="202102"/>
    <x v="13"/>
    <n v="2021"/>
    <s v=" February "/>
    <x v="9"/>
    <x v="1"/>
    <s v="Visayas"/>
    <n v="278.94"/>
  </r>
  <r>
    <n v="202103"/>
    <x v="14"/>
    <n v="2021"/>
    <s v=" March "/>
    <x v="9"/>
    <x v="1"/>
    <s v="Visayas"/>
    <n v="211.58"/>
  </r>
  <r>
    <n v="202104"/>
    <x v="15"/>
    <n v="2021"/>
    <s v=" April "/>
    <x v="9"/>
    <x v="1"/>
    <s v="Visayas"/>
    <n v="290.39"/>
  </r>
  <r>
    <n v="202105"/>
    <x v="16"/>
    <n v="2021"/>
    <s v=" May "/>
    <x v="9"/>
    <x v="1"/>
    <s v="Visayas"/>
    <n v="195.03"/>
  </r>
  <r>
    <n v="202106"/>
    <x v="17"/>
    <n v="2021"/>
    <s v=" June "/>
    <x v="9"/>
    <x v="1"/>
    <s v="Visayas"/>
    <n v="179.12"/>
  </r>
  <r>
    <n v="202107"/>
    <x v="18"/>
    <n v="2021"/>
    <s v=" July "/>
    <x v="9"/>
    <x v="1"/>
    <s v="Visayas"/>
    <n v="192.42"/>
  </r>
  <r>
    <n v="202108"/>
    <x v="19"/>
    <n v="2021"/>
    <s v=" August "/>
    <x v="9"/>
    <x v="1"/>
    <s v="Visayas"/>
    <n v="195.16"/>
  </r>
  <r>
    <n v="202109"/>
    <x v="20"/>
    <n v="2021"/>
    <s v=" September "/>
    <x v="9"/>
    <x v="1"/>
    <s v="Visayas"/>
    <n v="179.26"/>
  </r>
  <r>
    <n v="202110"/>
    <x v="21"/>
    <n v="2021"/>
    <s v=" October "/>
    <x v="9"/>
    <x v="1"/>
    <s v="Visayas"/>
    <n v="218.3"/>
  </r>
  <r>
    <n v="202111"/>
    <x v="22"/>
    <n v="2021"/>
    <s v=" November "/>
    <x v="9"/>
    <x v="1"/>
    <s v="Visayas"/>
    <n v="232.77"/>
  </r>
  <r>
    <n v="202112"/>
    <x v="23"/>
    <n v="2021"/>
    <s v=" December "/>
    <x v="9"/>
    <x v="1"/>
    <s v="Visayas"/>
    <n v="227.94"/>
  </r>
  <r>
    <n v="202101"/>
    <x v="12"/>
    <n v="2021"/>
    <s v=" January "/>
    <x v="10"/>
    <x v="1"/>
    <s v="Visayas"/>
    <n v="204.43"/>
  </r>
  <r>
    <n v="202102"/>
    <x v="13"/>
    <n v="2021"/>
    <s v=" February "/>
    <x v="10"/>
    <x v="1"/>
    <s v="Visayas"/>
    <n v="148.63"/>
  </r>
  <r>
    <n v="202103"/>
    <x v="14"/>
    <n v="2021"/>
    <s v=" March "/>
    <x v="10"/>
    <x v="1"/>
    <s v="Visayas"/>
    <n v="184.19"/>
  </r>
  <r>
    <n v="202104"/>
    <x v="15"/>
    <n v="2021"/>
    <s v=" April "/>
    <x v="10"/>
    <x v="1"/>
    <s v="Visayas"/>
    <n v="258.13"/>
  </r>
  <r>
    <n v="202105"/>
    <x v="16"/>
    <n v="2021"/>
    <s v=" May "/>
    <x v="10"/>
    <x v="1"/>
    <s v="Visayas"/>
    <n v="173.41"/>
  </r>
  <r>
    <n v="202106"/>
    <x v="17"/>
    <n v="2021"/>
    <s v=" June "/>
    <x v="10"/>
    <x v="1"/>
    <s v="Visayas"/>
    <n v="279.79000000000002"/>
  </r>
  <r>
    <n v="202107"/>
    <x v="18"/>
    <n v="2021"/>
    <s v=" July "/>
    <x v="10"/>
    <x v="1"/>
    <s v="Visayas"/>
    <n v="174.59"/>
  </r>
  <r>
    <n v="202108"/>
    <x v="19"/>
    <n v="2021"/>
    <s v=" August "/>
    <x v="10"/>
    <x v="1"/>
    <s v="Visayas"/>
    <n v="232.99"/>
  </r>
  <r>
    <n v="202109"/>
    <x v="20"/>
    <n v="2021"/>
    <s v=" September "/>
    <x v="10"/>
    <x v="1"/>
    <s v="Visayas"/>
    <n v="216.6"/>
  </r>
  <r>
    <n v="202110"/>
    <x v="21"/>
    <n v="2021"/>
    <s v=" October "/>
    <x v="10"/>
    <x v="1"/>
    <s v="Visayas"/>
    <n v="221.78"/>
  </r>
  <r>
    <n v="202111"/>
    <x v="22"/>
    <n v="2021"/>
    <s v=" November "/>
    <x v="10"/>
    <x v="1"/>
    <s v="Visayas"/>
    <n v="210.99"/>
  </r>
  <r>
    <n v="202112"/>
    <x v="23"/>
    <n v="2021"/>
    <s v=" December "/>
    <x v="10"/>
    <x v="1"/>
    <s v="Visayas"/>
    <n v="198.45"/>
  </r>
  <r>
    <n v="202101"/>
    <x v="12"/>
    <n v="2021"/>
    <s v=" January "/>
    <x v="10"/>
    <x v="1"/>
    <s v="Visayas"/>
    <n v="1494.11"/>
  </r>
  <r>
    <n v="202102"/>
    <x v="13"/>
    <n v="2021"/>
    <s v=" February "/>
    <x v="10"/>
    <x v="1"/>
    <s v="Visayas"/>
    <n v="868.97"/>
  </r>
  <r>
    <n v="202103"/>
    <x v="14"/>
    <n v="2021"/>
    <s v=" March "/>
    <x v="10"/>
    <x v="1"/>
    <s v="Visayas"/>
    <n v="1111.56"/>
  </r>
  <r>
    <n v="202104"/>
    <x v="15"/>
    <n v="2021"/>
    <s v=" April "/>
    <x v="10"/>
    <x v="1"/>
    <s v="Visayas"/>
    <n v="1729.25"/>
  </r>
  <r>
    <n v="202105"/>
    <x v="16"/>
    <n v="2021"/>
    <s v=" May "/>
    <x v="10"/>
    <x v="1"/>
    <s v="Visayas"/>
    <n v="1168.03"/>
  </r>
  <r>
    <n v="202106"/>
    <x v="17"/>
    <n v="2021"/>
    <s v=" June "/>
    <x v="10"/>
    <x v="1"/>
    <s v="Visayas"/>
    <n v="1104.68"/>
  </r>
  <r>
    <n v="202107"/>
    <x v="18"/>
    <n v="2021"/>
    <s v=" July "/>
    <x v="10"/>
    <x v="1"/>
    <s v="Visayas"/>
    <n v="1207.67"/>
  </r>
  <r>
    <n v="202108"/>
    <x v="19"/>
    <n v="2021"/>
    <s v=" August "/>
    <x v="10"/>
    <x v="1"/>
    <s v="Visayas"/>
    <n v="1246.33"/>
  </r>
  <r>
    <n v="202109"/>
    <x v="20"/>
    <n v="2021"/>
    <s v=" September "/>
    <x v="10"/>
    <x v="1"/>
    <s v="Visayas"/>
    <n v="1098.02"/>
  </r>
  <r>
    <n v="202110"/>
    <x v="21"/>
    <n v="2021"/>
    <s v=" October "/>
    <x v="10"/>
    <x v="1"/>
    <s v="Visayas"/>
    <n v="1165.23"/>
  </r>
  <r>
    <n v="202111"/>
    <x v="22"/>
    <n v="2021"/>
    <s v=" November "/>
    <x v="10"/>
    <x v="1"/>
    <s v="Visayas"/>
    <n v="1567.06"/>
  </r>
  <r>
    <n v="202112"/>
    <x v="23"/>
    <n v="2021"/>
    <s v=" December "/>
    <x v="10"/>
    <x v="1"/>
    <s v="Visayas"/>
    <n v="926.96"/>
  </r>
  <r>
    <n v="202101"/>
    <x v="12"/>
    <n v="2021"/>
    <s v=" January "/>
    <x v="10"/>
    <x v="1"/>
    <s v="Visayas"/>
    <n v="1363.36"/>
  </r>
  <r>
    <n v="202102"/>
    <x v="13"/>
    <n v="2021"/>
    <s v=" February "/>
    <x v="10"/>
    <x v="1"/>
    <s v="Visayas"/>
    <n v="854.11"/>
  </r>
  <r>
    <n v="202103"/>
    <x v="14"/>
    <n v="2021"/>
    <s v=" March "/>
    <x v="10"/>
    <x v="1"/>
    <s v="Visayas"/>
    <n v="1152.02"/>
  </r>
  <r>
    <n v="202104"/>
    <x v="15"/>
    <n v="2021"/>
    <s v=" April "/>
    <x v="10"/>
    <x v="1"/>
    <s v="Visayas"/>
    <n v="2248.1799999999998"/>
  </r>
  <r>
    <n v="202105"/>
    <x v="16"/>
    <n v="2021"/>
    <s v=" May "/>
    <x v="10"/>
    <x v="1"/>
    <s v="Visayas"/>
    <n v="1216.3699999999999"/>
  </r>
  <r>
    <n v="202106"/>
    <x v="17"/>
    <n v="2021"/>
    <s v=" June "/>
    <x v="10"/>
    <x v="1"/>
    <s v="Visayas"/>
    <n v="1112.6600000000001"/>
  </r>
  <r>
    <n v="202107"/>
    <x v="18"/>
    <n v="2021"/>
    <s v=" July "/>
    <x v="10"/>
    <x v="1"/>
    <s v="Visayas"/>
    <n v="1133.73"/>
  </r>
  <r>
    <n v="202108"/>
    <x v="19"/>
    <n v="2021"/>
    <s v=" August "/>
    <x v="10"/>
    <x v="1"/>
    <s v="Visayas"/>
    <n v="1404.58"/>
  </r>
  <r>
    <n v="202109"/>
    <x v="20"/>
    <n v="2021"/>
    <s v=" September "/>
    <x v="10"/>
    <x v="1"/>
    <s v="Visayas"/>
    <n v="1054.7"/>
  </r>
  <r>
    <n v="202110"/>
    <x v="21"/>
    <n v="2021"/>
    <s v=" October "/>
    <x v="10"/>
    <x v="1"/>
    <s v="Visayas"/>
    <n v="1571.18"/>
  </r>
  <r>
    <n v="202111"/>
    <x v="22"/>
    <n v="2021"/>
    <s v=" November "/>
    <x v="10"/>
    <x v="1"/>
    <s v="Visayas"/>
    <n v="1440.19"/>
  </r>
  <r>
    <n v="202112"/>
    <x v="23"/>
    <n v="2021"/>
    <s v=" December "/>
    <x v="10"/>
    <x v="1"/>
    <s v="Visayas"/>
    <n v="1088.3699999999999"/>
  </r>
  <r>
    <n v="202101"/>
    <x v="12"/>
    <n v="2021"/>
    <s v=" January "/>
    <x v="10"/>
    <x v="1"/>
    <s v="Visayas"/>
    <n v="2326.16"/>
  </r>
  <r>
    <n v="202102"/>
    <x v="13"/>
    <n v="2021"/>
    <s v=" February "/>
    <x v="10"/>
    <x v="1"/>
    <s v="Visayas"/>
    <n v="1531.98"/>
  </r>
  <r>
    <n v="202103"/>
    <x v="14"/>
    <n v="2021"/>
    <s v=" March "/>
    <x v="10"/>
    <x v="1"/>
    <s v="Visayas"/>
    <n v="1542.6"/>
  </r>
  <r>
    <n v="202104"/>
    <x v="15"/>
    <n v="2021"/>
    <s v=" April "/>
    <x v="10"/>
    <x v="1"/>
    <s v="Visayas"/>
    <n v="3114.88"/>
  </r>
  <r>
    <n v="202105"/>
    <x v="16"/>
    <n v="2021"/>
    <s v=" May "/>
    <x v="10"/>
    <x v="1"/>
    <s v="Visayas"/>
    <n v="2557.62"/>
  </r>
  <r>
    <n v="202106"/>
    <x v="17"/>
    <n v="2021"/>
    <s v=" June "/>
    <x v="10"/>
    <x v="1"/>
    <s v="Visayas"/>
    <n v="1491.12"/>
  </r>
  <r>
    <n v="202107"/>
    <x v="18"/>
    <n v="2021"/>
    <s v=" July "/>
    <x v="10"/>
    <x v="1"/>
    <s v="Visayas"/>
    <n v="2195.94"/>
  </r>
  <r>
    <n v="202108"/>
    <x v="19"/>
    <n v="2021"/>
    <s v=" August "/>
    <x v="10"/>
    <x v="1"/>
    <s v="Visayas"/>
    <n v="2990.92"/>
  </r>
  <r>
    <n v="202109"/>
    <x v="20"/>
    <n v="2021"/>
    <s v=" September "/>
    <x v="10"/>
    <x v="1"/>
    <s v="Visayas"/>
    <n v="1870.91"/>
  </r>
  <r>
    <n v="202110"/>
    <x v="21"/>
    <n v="2021"/>
    <s v=" October "/>
    <x v="10"/>
    <x v="1"/>
    <s v="Visayas"/>
    <n v="1891.07"/>
  </r>
  <r>
    <n v="202111"/>
    <x v="22"/>
    <n v="2021"/>
    <s v=" November "/>
    <x v="10"/>
    <x v="1"/>
    <s v="Visayas"/>
    <n v="3080.76"/>
  </r>
  <r>
    <n v="202112"/>
    <x v="23"/>
    <n v="2021"/>
    <s v=" December "/>
    <x v="10"/>
    <x v="1"/>
    <s v="Visayas"/>
    <n v="2007.21"/>
  </r>
  <r>
    <n v="202101"/>
    <x v="12"/>
    <n v="2021"/>
    <s v=" January "/>
    <x v="11"/>
    <x v="1"/>
    <s v="Visayas"/>
    <n v="66.88"/>
  </r>
  <r>
    <n v="202102"/>
    <x v="13"/>
    <n v="2021"/>
    <s v=" February "/>
    <x v="11"/>
    <x v="1"/>
    <s v="Visayas"/>
    <n v="38.74"/>
  </r>
  <r>
    <n v="202103"/>
    <x v="14"/>
    <n v="2021"/>
    <s v=" March "/>
    <x v="11"/>
    <x v="1"/>
    <s v="Visayas"/>
    <n v="48.99"/>
  </r>
  <r>
    <n v="202104"/>
    <x v="15"/>
    <n v="2021"/>
    <s v=" April "/>
    <x v="11"/>
    <x v="1"/>
    <s v="Visayas"/>
    <n v="53.91"/>
  </r>
  <r>
    <n v="202105"/>
    <x v="16"/>
    <n v="2021"/>
    <s v=" May "/>
    <x v="11"/>
    <x v="1"/>
    <s v="Visayas"/>
    <n v="53.79"/>
  </r>
  <r>
    <n v="202106"/>
    <x v="17"/>
    <n v="2021"/>
    <s v=" June "/>
    <x v="11"/>
    <x v="1"/>
    <s v="Visayas"/>
    <n v="44.68"/>
  </r>
  <r>
    <n v="202107"/>
    <x v="18"/>
    <n v="2021"/>
    <s v=" July "/>
    <x v="11"/>
    <x v="1"/>
    <s v="Visayas"/>
    <n v="45.47"/>
  </r>
  <r>
    <n v="202108"/>
    <x v="19"/>
    <n v="2021"/>
    <s v=" August "/>
    <x v="11"/>
    <x v="1"/>
    <s v="Visayas"/>
    <n v="48.59"/>
  </r>
  <r>
    <n v="202109"/>
    <x v="20"/>
    <n v="2021"/>
    <s v=" September "/>
    <x v="11"/>
    <x v="1"/>
    <s v="Visayas"/>
    <n v="45.45"/>
  </r>
  <r>
    <n v="202110"/>
    <x v="21"/>
    <n v="2021"/>
    <s v=" October "/>
    <x v="11"/>
    <x v="1"/>
    <s v="Visayas"/>
    <n v="56.82"/>
  </r>
  <r>
    <n v="202111"/>
    <x v="22"/>
    <n v="2021"/>
    <s v=" November "/>
    <x v="11"/>
    <x v="1"/>
    <s v="Visayas"/>
    <n v="52.32"/>
  </r>
  <r>
    <n v="202112"/>
    <x v="23"/>
    <n v="2021"/>
    <s v=" December "/>
    <x v="11"/>
    <x v="1"/>
    <s v="Visayas"/>
    <n v="43.41"/>
  </r>
  <r>
    <n v="202101"/>
    <x v="12"/>
    <n v="2021"/>
    <s v=" January "/>
    <x v="11"/>
    <x v="1"/>
    <s v="Visayas"/>
    <n v="143.88"/>
  </r>
  <r>
    <n v="202102"/>
    <x v="13"/>
    <n v="2021"/>
    <s v=" February "/>
    <x v="11"/>
    <x v="1"/>
    <s v="Visayas"/>
    <n v="100.02"/>
  </r>
  <r>
    <n v="202103"/>
    <x v="14"/>
    <n v="2021"/>
    <s v=" March "/>
    <x v="11"/>
    <x v="1"/>
    <s v="Visayas"/>
    <n v="111.34"/>
  </r>
  <r>
    <n v="202104"/>
    <x v="15"/>
    <n v="2021"/>
    <s v=" April "/>
    <x v="11"/>
    <x v="1"/>
    <s v="Visayas"/>
    <n v="196.45"/>
  </r>
  <r>
    <n v="202105"/>
    <x v="16"/>
    <n v="2021"/>
    <s v=" May "/>
    <x v="11"/>
    <x v="1"/>
    <s v="Visayas"/>
    <n v="129.31"/>
  </r>
  <r>
    <n v="202106"/>
    <x v="17"/>
    <n v="2021"/>
    <s v=" June "/>
    <x v="11"/>
    <x v="1"/>
    <s v="Visayas"/>
    <n v="110.2"/>
  </r>
  <r>
    <n v="202107"/>
    <x v="18"/>
    <n v="2021"/>
    <s v=" July "/>
    <x v="11"/>
    <x v="1"/>
    <s v="Visayas"/>
    <n v="122.31"/>
  </r>
  <r>
    <n v="202108"/>
    <x v="19"/>
    <n v="2021"/>
    <s v=" August "/>
    <x v="11"/>
    <x v="1"/>
    <s v="Visayas"/>
    <n v="155.53"/>
  </r>
  <r>
    <n v="202109"/>
    <x v="20"/>
    <n v="2021"/>
    <s v=" September "/>
    <x v="11"/>
    <x v="1"/>
    <s v="Visayas"/>
    <n v="107.63"/>
  </r>
  <r>
    <n v="202110"/>
    <x v="21"/>
    <n v="2021"/>
    <s v=" October "/>
    <x v="11"/>
    <x v="1"/>
    <s v="Visayas"/>
    <n v="139.54"/>
  </r>
  <r>
    <n v="202111"/>
    <x v="22"/>
    <n v="2021"/>
    <s v=" November "/>
    <x v="11"/>
    <x v="1"/>
    <s v="Visayas"/>
    <n v="151.81"/>
  </r>
  <r>
    <n v="202112"/>
    <x v="23"/>
    <n v="2021"/>
    <s v=" December "/>
    <x v="11"/>
    <x v="1"/>
    <s v="Visayas"/>
    <n v="129.65"/>
  </r>
  <r>
    <n v="202101"/>
    <x v="12"/>
    <n v="2021"/>
    <s v=" January "/>
    <x v="11"/>
    <x v="1"/>
    <s v="Visayas"/>
    <n v="86.14"/>
  </r>
  <r>
    <n v="202102"/>
    <x v="13"/>
    <n v="2021"/>
    <s v=" February "/>
    <x v="11"/>
    <x v="1"/>
    <s v="Visayas"/>
    <n v="44.22"/>
  </r>
  <r>
    <n v="202103"/>
    <x v="14"/>
    <n v="2021"/>
    <s v=" March "/>
    <x v="11"/>
    <x v="1"/>
    <s v="Visayas"/>
    <n v="61.12"/>
  </r>
  <r>
    <n v="202104"/>
    <x v="15"/>
    <n v="2021"/>
    <s v=" April "/>
    <x v="11"/>
    <x v="1"/>
    <s v="Visayas"/>
    <n v="60.26"/>
  </r>
  <r>
    <n v="202105"/>
    <x v="16"/>
    <n v="2021"/>
    <s v=" May "/>
    <x v="11"/>
    <x v="1"/>
    <s v="Visayas"/>
    <n v="49.86"/>
  </r>
  <r>
    <n v="202106"/>
    <x v="17"/>
    <n v="2021"/>
    <s v=" June "/>
    <x v="11"/>
    <x v="1"/>
    <s v="Visayas"/>
    <n v="57.07"/>
  </r>
  <r>
    <n v="202107"/>
    <x v="18"/>
    <n v="2021"/>
    <s v=" July "/>
    <x v="11"/>
    <x v="1"/>
    <s v="Visayas"/>
    <n v="54.32"/>
  </r>
  <r>
    <n v="202108"/>
    <x v="19"/>
    <n v="2021"/>
    <s v=" August "/>
    <x v="11"/>
    <x v="1"/>
    <s v="Visayas"/>
    <n v="67.290000000000006"/>
  </r>
  <r>
    <n v="202109"/>
    <x v="20"/>
    <n v="2021"/>
    <s v=" September "/>
    <x v="11"/>
    <x v="1"/>
    <s v="Visayas"/>
    <n v="53.91"/>
  </r>
  <r>
    <n v="202110"/>
    <x v="21"/>
    <n v="2021"/>
    <s v=" October "/>
    <x v="11"/>
    <x v="1"/>
    <s v="Visayas"/>
    <n v="54.96"/>
  </r>
  <r>
    <n v="202111"/>
    <x v="22"/>
    <n v="2021"/>
    <s v=" November "/>
    <x v="11"/>
    <x v="1"/>
    <s v="Visayas"/>
    <n v="64.87"/>
  </r>
  <r>
    <n v="202112"/>
    <x v="23"/>
    <n v="2021"/>
    <s v=" December "/>
    <x v="11"/>
    <x v="1"/>
    <s v="Visayas"/>
    <n v="56.85"/>
  </r>
  <r>
    <n v="202101"/>
    <x v="12"/>
    <n v="2021"/>
    <s v=" January "/>
    <x v="11"/>
    <x v="1"/>
    <s v="Visayas"/>
    <n v="116.65"/>
  </r>
  <r>
    <n v="202102"/>
    <x v="13"/>
    <n v="2021"/>
    <s v=" February "/>
    <x v="11"/>
    <x v="1"/>
    <s v="Visayas"/>
    <n v="58.62"/>
  </r>
  <r>
    <n v="202103"/>
    <x v="14"/>
    <n v="2021"/>
    <s v=" March "/>
    <x v="11"/>
    <x v="1"/>
    <s v="Visayas"/>
    <n v="76.91"/>
  </r>
  <r>
    <n v="202104"/>
    <x v="15"/>
    <n v="2021"/>
    <s v=" April "/>
    <x v="11"/>
    <x v="1"/>
    <s v="Visayas"/>
    <n v="100.74"/>
  </r>
  <r>
    <n v="202105"/>
    <x v="16"/>
    <n v="2021"/>
    <s v=" May "/>
    <x v="11"/>
    <x v="1"/>
    <s v="Visayas"/>
    <n v="73.900000000000006"/>
  </r>
  <r>
    <n v="202106"/>
    <x v="17"/>
    <n v="2021"/>
    <s v=" June "/>
    <x v="11"/>
    <x v="1"/>
    <s v="Visayas"/>
    <n v="84.91"/>
  </r>
  <r>
    <n v="202107"/>
    <x v="18"/>
    <n v="2021"/>
    <s v=" July "/>
    <x v="11"/>
    <x v="1"/>
    <s v="Visayas"/>
    <n v="89.93"/>
  </r>
  <r>
    <n v="202108"/>
    <x v="19"/>
    <n v="2021"/>
    <s v=" August "/>
    <x v="11"/>
    <x v="1"/>
    <s v="Visayas"/>
    <n v="79.849999999999994"/>
  </r>
  <r>
    <n v="202109"/>
    <x v="20"/>
    <n v="2021"/>
    <s v=" September "/>
    <x v="11"/>
    <x v="1"/>
    <s v="Visayas"/>
    <n v="82.84"/>
  </r>
  <r>
    <n v="202110"/>
    <x v="21"/>
    <n v="2021"/>
    <s v=" October "/>
    <x v="11"/>
    <x v="1"/>
    <s v="Visayas"/>
    <n v="98.59"/>
  </r>
  <r>
    <n v="202111"/>
    <x v="22"/>
    <n v="2021"/>
    <s v=" November "/>
    <x v="11"/>
    <x v="1"/>
    <s v="Visayas"/>
    <n v="95.89"/>
  </r>
  <r>
    <n v="202112"/>
    <x v="23"/>
    <n v="2021"/>
    <s v=" December "/>
    <x v="11"/>
    <x v="1"/>
    <s v="Visayas"/>
    <n v="93.07"/>
  </r>
  <r>
    <n v="202101"/>
    <x v="12"/>
    <n v="2021"/>
    <s v=" January "/>
    <x v="11"/>
    <x v="1"/>
    <s v="Visayas"/>
    <n v="70.77"/>
  </r>
  <r>
    <n v="202102"/>
    <x v="13"/>
    <n v="2021"/>
    <s v=" February "/>
    <x v="11"/>
    <x v="1"/>
    <s v="Visayas"/>
    <n v="38.049999999999997"/>
  </r>
  <r>
    <n v="202103"/>
    <x v="14"/>
    <n v="2021"/>
    <s v=" March "/>
    <x v="11"/>
    <x v="1"/>
    <s v="Visayas"/>
    <n v="43.38"/>
  </r>
  <r>
    <n v="202104"/>
    <x v="15"/>
    <n v="2021"/>
    <s v=" April "/>
    <x v="11"/>
    <x v="1"/>
    <s v="Visayas"/>
    <n v="77.13"/>
  </r>
  <r>
    <n v="202105"/>
    <x v="16"/>
    <n v="2021"/>
    <s v=" May "/>
    <x v="11"/>
    <x v="1"/>
    <s v="Visayas"/>
    <n v="52.32"/>
  </r>
  <r>
    <n v="202106"/>
    <x v="17"/>
    <n v="2021"/>
    <s v=" June "/>
    <x v="11"/>
    <x v="1"/>
    <s v="Visayas"/>
    <n v="43.86"/>
  </r>
  <r>
    <n v="202107"/>
    <x v="18"/>
    <n v="2021"/>
    <s v=" July "/>
    <x v="11"/>
    <x v="1"/>
    <s v="Visayas"/>
    <n v="49.98"/>
  </r>
  <r>
    <n v="202108"/>
    <x v="19"/>
    <n v="2021"/>
    <s v=" August "/>
    <x v="11"/>
    <x v="1"/>
    <s v="Visayas"/>
    <n v="64.03"/>
  </r>
  <r>
    <n v="202109"/>
    <x v="20"/>
    <n v="2021"/>
    <s v=" September "/>
    <x v="11"/>
    <x v="1"/>
    <s v="Visayas"/>
    <n v="46.51"/>
  </r>
  <r>
    <n v="202110"/>
    <x v="21"/>
    <n v="2021"/>
    <s v=" October "/>
    <x v="11"/>
    <x v="1"/>
    <s v="Visayas"/>
    <n v="55.84"/>
  </r>
  <r>
    <n v="202111"/>
    <x v="22"/>
    <n v="2021"/>
    <s v=" November "/>
    <x v="11"/>
    <x v="1"/>
    <s v="Visayas"/>
    <n v="68.34"/>
  </r>
  <r>
    <n v="202112"/>
    <x v="23"/>
    <n v="2021"/>
    <s v=" December "/>
    <x v="11"/>
    <x v="1"/>
    <s v="Visayas"/>
    <n v="42.36"/>
  </r>
  <r>
    <n v="202101"/>
    <x v="12"/>
    <n v="2021"/>
    <s v=" January "/>
    <x v="11"/>
    <x v="1"/>
    <s v="Visayas"/>
    <n v="324.56"/>
  </r>
  <r>
    <n v="202102"/>
    <x v="13"/>
    <n v="2021"/>
    <s v=" February "/>
    <x v="11"/>
    <x v="1"/>
    <s v="Visayas"/>
    <n v="211.57"/>
  </r>
  <r>
    <n v="202103"/>
    <x v="14"/>
    <n v="2021"/>
    <s v=" March "/>
    <x v="11"/>
    <x v="1"/>
    <s v="Visayas"/>
    <n v="235.43"/>
  </r>
  <r>
    <n v="202104"/>
    <x v="15"/>
    <n v="2021"/>
    <s v=" April "/>
    <x v="11"/>
    <x v="1"/>
    <s v="Visayas"/>
    <n v="312.55"/>
  </r>
  <r>
    <n v="202105"/>
    <x v="16"/>
    <n v="2021"/>
    <s v=" May "/>
    <x v="11"/>
    <x v="1"/>
    <s v="Visayas"/>
    <n v="248.01"/>
  </r>
  <r>
    <n v="202106"/>
    <x v="17"/>
    <n v="2021"/>
    <s v=" June "/>
    <x v="11"/>
    <x v="1"/>
    <s v="Visayas"/>
    <n v="275.56"/>
  </r>
  <r>
    <n v="202107"/>
    <x v="18"/>
    <n v="2021"/>
    <s v=" July "/>
    <x v="11"/>
    <x v="1"/>
    <s v="Visayas"/>
    <n v="270.51"/>
  </r>
  <r>
    <n v="202108"/>
    <x v="19"/>
    <n v="2021"/>
    <s v=" August "/>
    <x v="11"/>
    <x v="1"/>
    <s v="Visayas"/>
    <n v="260.8"/>
  </r>
  <r>
    <n v="202109"/>
    <x v="20"/>
    <n v="2021"/>
    <s v=" September "/>
    <x v="11"/>
    <x v="1"/>
    <s v="Visayas"/>
    <n v="274.32"/>
  </r>
  <r>
    <n v="202110"/>
    <x v="21"/>
    <n v="2021"/>
    <s v=" October "/>
    <x v="11"/>
    <x v="1"/>
    <s v="Visayas"/>
    <n v="291.95999999999998"/>
  </r>
  <r>
    <n v="202111"/>
    <x v="22"/>
    <n v="2021"/>
    <s v=" November "/>
    <x v="11"/>
    <x v="1"/>
    <s v="Visayas"/>
    <n v="268.81"/>
  </r>
  <r>
    <n v="202112"/>
    <x v="23"/>
    <n v="2021"/>
    <s v=" December "/>
    <x v="11"/>
    <x v="1"/>
    <s v="Visayas"/>
    <n v="272"/>
  </r>
  <r>
    <n v="202101"/>
    <x v="12"/>
    <n v="2021"/>
    <s v=" January "/>
    <x v="12"/>
    <x v="1"/>
    <s v="Mindanao"/>
    <n v="160.91"/>
  </r>
  <r>
    <n v="202102"/>
    <x v="13"/>
    <n v="2021"/>
    <s v=" February "/>
    <x v="12"/>
    <x v="1"/>
    <s v="Mindanao"/>
    <n v="112.99"/>
  </r>
  <r>
    <n v="202103"/>
    <x v="14"/>
    <n v="2021"/>
    <s v=" March "/>
    <x v="12"/>
    <x v="1"/>
    <s v="Mindanao"/>
    <n v="128.22999999999999"/>
  </r>
  <r>
    <n v="202104"/>
    <x v="15"/>
    <n v="2021"/>
    <s v=" April "/>
    <x v="12"/>
    <x v="1"/>
    <s v="Mindanao"/>
    <n v="206.47"/>
  </r>
  <r>
    <n v="202105"/>
    <x v="16"/>
    <n v="2021"/>
    <s v=" May "/>
    <x v="12"/>
    <x v="1"/>
    <s v="Mindanao"/>
    <n v="137.59"/>
  </r>
  <r>
    <n v="202106"/>
    <x v="17"/>
    <n v="2021"/>
    <s v=" June "/>
    <x v="12"/>
    <x v="1"/>
    <s v="Mindanao"/>
    <n v="132.22"/>
  </r>
  <r>
    <n v="202107"/>
    <x v="18"/>
    <n v="2021"/>
    <s v=" July "/>
    <x v="12"/>
    <x v="1"/>
    <s v="Mindanao"/>
    <n v="134.25"/>
  </r>
  <r>
    <n v="202108"/>
    <x v="19"/>
    <n v="2021"/>
    <s v=" August "/>
    <x v="12"/>
    <x v="1"/>
    <s v="Mindanao"/>
    <n v="145.97"/>
  </r>
  <r>
    <n v="202109"/>
    <x v="20"/>
    <n v="2021"/>
    <s v=" September "/>
    <x v="12"/>
    <x v="1"/>
    <s v="Mindanao"/>
    <n v="145.83000000000001"/>
  </r>
  <r>
    <n v="202110"/>
    <x v="21"/>
    <n v="2021"/>
    <s v=" October "/>
    <x v="12"/>
    <x v="1"/>
    <s v="Mindanao"/>
    <n v="178.59"/>
  </r>
  <r>
    <n v="202111"/>
    <x v="22"/>
    <n v="2021"/>
    <s v=" November "/>
    <x v="12"/>
    <x v="1"/>
    <s v="Mindanao"/>
    <n v="138.91"/>
  </r>
  <r>
    <n v="202112"/>
    <x v="23"/>
    <n v="2021"/>
    <s v=" December "/>
    <x v="12"/>
    <x v="1"/>
    <s v="Mindanao"/>
    <n v="132.66"/>
  </r>
  <r>
    <n v="202101"/>
    <x v="12"/>
    <n v="2021"/>
    <s v=" January "/>
    <x v="12"/>
    <x v="1"/>
    <s v="Mindanao"/>
    <n v="177.66"/>
  </r>
  <r>
    <n v="202102"/>
    <x v="13"/>
    <n v="2021"/>
    <s v=" February "/>
    <x v="12"/>
    <x v="1"/>
    <s v="Mindanao"/>
    <n v="87.71"/>
  </r>
  <r>
    <n v="202103"/>
    <x v="14"/>
    <n v="2021"/>
    <s v=" March "/>
    <x v="12"/>
    <x v="1"/>
    <s v="Mindanao"/>
    <n v="151.53"/>
  </r>
  <r>
    <n v="202104"/>
    <x v="15"/>
    <n v="2021"/>
    <s v=" April "/>
    <x v="12"/>
    <x v="1"/>
    <s v="Mindanao"/>
    <n v="138.57"/>
  </r>
  <r>
    <n v="202105"/>
    <x v="16"/>
    <n v="2021"/>
    <s v=" May "/>
    <x v="12"/>
    <x v="1"/>
    <s v="Mindanao"/>
    <n v="106.04"/>
  </r>
  <r>
    <n v="202106"/>
    <x v="17"/>
    <n v="2021"/>
    <s v=" June "/>
    <x v="12"/>
    <x v="1"/>
    <s v="Mindanao"/>
    <n v="97.9"/>
  </r>
  <r>
    <n v="202107"/>
    <x v="18"/>
    <n v="2021"/>
    <s v=" July "/>
    <x v="12"/>
    <x v="1"/>
    <s v="Mindanao"/>
    <n v="126.02"/>
  </r>
  <r>
    <n v="202108"/>
    <x v="19"/>
    <n v="2021"/>
    <s v=" August "/>
    <x v="12"/>
    <x v="1"/>
    <s v="Mindanao"/>
    <n v="119.2"/>
  </r>
  <r>
    <n v="202109"/>
    <x v="20"/>
    <n v="2021"/>
    <s v=" September "/>
    <x v="12"/>
    <x v="1"/>
    <s v="Mindanao"/>
    <n v="99.97"/>
  </r>
  <r>
    <n v="202110"/>
    <x v="21"/>
    <n v="2021"/>
    <s v=" October "/>
    <x v="12"/>
    <x v="1"/>
    <s v="Mindanao"/>
    <n v="128.33000000000001"/>
  </r>
  <r>
    <n v="202111"/>
    <x v="22"/>
    <n v="2021"/>
    <s v=" November "/>
    <x v="12"/>
    <x v="1"/>
    <s v="Mindanao"/>
    <n v="124.08"/>
  </r>
  <r>
    <n v="202112"/>
    <x v="23"/>
    <n v="2021"/>
    <s v=" December "/>
    <x v="12"/>
    <x v="1"/>
    <s v="Mindanao"/>
    <n v="132.76"/>
  </r>
  <r>
    <n v="202101"/>
    <x v="12"/>
    <n v="2021"/>
    <s v=" January "/>
    <x v="12"/>
    <x v="1"/>
    <s v="Mindanao"/>
    <n v="54.76"/>
  </r>
  <r>
    <n v="202102"/>
    <x v="13"/>
    <n v="2021"/>
    <s v=" February "/>
    <x v="12"/>
    <x v="1"/>
    <s v="Mindanao"/>
    <n v="40.33"/>
  </r>
  <r>
    <n v="202103"/>
    <x v="14"/>
    <n v="2021"/>
    <s v=" March "/>
    <x v="12"/>
    <x v="1"/>
    <s v="Mindanao"/>
    <n v="38.6"/>
  </r>
  <r>
    <n v="202104"/>
    <x v="15"/>
    <n v="2021"/>
    <s v=" April "/>
    <x v="12"/>
    <x v="1"/>
    <s v="Mindanao"/>
    <n v="46.44"/>
  </r>
  <r>
    <n v="202105"/>
    <x v="16"/>
    <n v="2021"/>
    <s v=" May "/>
    <x v="12"/>
    <x v="1"/>
    <s v="Mindanao"/>
    <n v="35.17"/>
  </r>
  <r>
    <n v="202106"/>
    <x v="17"/>
    <n v="2021"/>
    <s v=" June "/>
    <x v="12"/>
    <x v="1"/>
    <s v="Mindanao"/>
    <n v="34.130000000000003"/>
  </r>
  <r>
    <n v="202107"/>
    <x v="18"/>
    <n v="2021"/>
    <s v=" July "/>
    <x v="12"/>
    <x v="1"/>
    <s v="Mindanao"/>
    <n v="45.62"/>
  </r>
  <r>
    <n v="202108"/>
    <x v="19"/>
    <n v="2021"/>
    <s v=" August "/>
    <x v="12"/>
    <x v="1"/>
    <s v="Mindanao"/>
    <n v="42.3"/>
  </r>
  <r>
    <n v="202109"/>
    <x v="20"/>
    <n v="2021"/>
    <s v=" September "/>
    <x v="12"/>
    <x v="1"/>
    <s v="Mindanao"/>
    <n v="48.49"/>
  </r>
  <r>
    <n v="202110"/>
    <x v="21"/>
    <n v="2021"/>
    <s v=" October "/>
    <x v="12"/>
    <x v="1"/>
    <s v="Mindanao"/>
    <n v="37.25"/>
  </r>
  <r>
    <n v="202111"/>
    <x v="22"/>
    <n v="2021"/>
    <s v=" November "/>
    <x v="12"/>
    <x v="1"/>
    <s v="Mindanao"/>
    <n v="40.450000000000003"/>
  </r>
  <r>
    <n v="202112"/>
    <x v="23"/>
    <n v="2021"/>
    <s v=" December "/>
    <x v="12"/>
    <x v="1"/>
    <s v="Mindanao"/>
    <n v="60.73"/>
  </r>
  <r>
    <n v="202101"/>
    <x v="12"/>
    <n v="2021"/>
    <s v=" January "/>
    <x v="12"/>
    <x v="1"/>
    <s v="Mindanao"/>
    <n v="256.7"/>
  </r>
  <r>
    <n v="202102"/>
    <x v="13"/>
    <n v="2021"/>
    <s v=" February "/>
    <x v="12"/>
    <x v="1"/>
    <s v="Mindanao"/>
    <n v="161.91"/>
  </r>
  <r>
    <n v="202103"/>
    <x v="14"/>
    <n v="2021"/>
    <s v=" March "/>
    <x v="12"/>
    <x v="1"/>
    <s v="Mindanao"/>
    <n v="185.63"/>
  </r>
  <r>
    <n v="202104"/>
    <x v="15"/>
    <n v="2021"/>
    <s v=" April "/>
    <x v="12"/>
    <x v="1"/>
    <s v="Mindanao"/>
    <n v="268.83999999999997"/>
  </r>
  <r>
    <n v="202105"/>
    <x v="16"/>
    <n v="2021"/>
    <s v=" May "/>
    <x v="12"/>
    <x v="1"/>
    <s v="Mindanao"/>
    <n v="194.08"/>
  </r>
  <r>
    <n v="202106"/>
    <x v="17"/>
    <n v="2021"/>
    <s v=" June "/>
    <x v="12"/>
    <x v="1"/>
    <s v="Mindanao"/>
    <n v="210.43"/>
  </r>
  <r>
    <n v="202107"/>
    <x v="18"/>
    <n v="2021"/>
    <s v=" July "/>
    <x v="12"/>
    <x v="1"/>
    <s v="Mindanao"/>
    <n v="221"/>
  </r>
  <r>
    <n v="202108"/>
    <x v="19"/>
    <n v="2021"/>
    <s v=" August "/>
    <x v="12"/>
    <x v="1"/>
    <s v="Mindanao"/>
    <n v="217.8"/>
  </r>
  <r>
    <n v="202109"/>
    <x v="20"/>
    <n v="2021"/>
    <s v=" September "/>
    <x v="12"/>
    <x v="1"/>
    <s v="Mindanao"/>
    <n v="206.97"/>
  </r>
  <r>
    <n v="202110"/>
    <x v="21"/>
    <n v="2021"/>
    <s v=" October "/>
    <x v="12"/>
    <x v="1"/>
    <s v="Mindanao"/>
    <n v="208.62"/>
  </r>
  <r>
    <n v="202111"/>
    <x v="22"/>
    <n v="2021"/>
    <s v=" November "/>
    <x v="12"/>
    <x v="1"/>
    <s v="Mindanao"/>
    <n v="252.02"/>
  </r>
  <r>
    <n v="202112"/>
    <x v="23"/>
    <n v="2021"/>
    <s v=" December "/>
    <x v="12"/>
    <x v="1"/>
    <s v="Mindanao"/>
    <n v="217.36"/>
  </r>
  <r>
    <n v="202101"/>
    <x v="12"/>
    <n v="2021"/>
    <s v=" January "/>
    <x v="13"/>
    <x v="1"/>
    <s v="Mindanao"/>
    <n v="262.44"/>
  </r>
  <r>
    <n v="202102"/>
    <x v="13"/>
    <n v="2021"/>
    <s v=" February "/>
    <x v="13"/>
    <x v="1"/>
    <s v="Mindanao"/>
    <n v="131.09"/>
  </r>
  <r>
    <n v="202103"/>
    <x v="14"/>
    <n v="2021"/>
    <s v=" March "/>
    <x v="13"/>
    <x v="1"/>
    <s v="Mindanao"/>
    <n v="151.86000000000001"/>
  </r>
  <r>
    <n v="202104"/>
    <x v="15"/>
    <n v="2021"/>
    <s v=" April "/>
    <x v="13"/>
    <x v="1"/>
    <s v="Mindanao"/>
    <n v="265.75"/>
  </r>
  <r>
    <n v="202105"/>
    <x v="16"/>
    <n v="2021"/>
    <s v=" May "/>
    <x v="13"/>
    <x v="1"/>
    <s v="Mindanao"/>
    <n v="194.16"/>
  </r>
  <r>
    <n v="202106"/>
    <x v="17"/>
    <n v="2021"/>
    <s v=" June "/>
    <x v="13"/>
    <x v="1"/>
    <s v="Mindanao"/>
    <n v="200.63"/>
  </r>
  <r>
    <n v="202107"/>
    <x v="18"/>
    <n v="2021"/>
    <s v=" July "/>
    <x v="13"/>
    <x v="1"/>
    <s v="Mindanao"/>
    <n v="186.16"/>
  </r>
  <r>
    <n v="202108"/>
    <x v="19"/>
    <n v="2021"/>
    <s v=" August "/>
    <x v="13"/>
    <x v="1"/>
    <s v="Mindanao"/>
    <n v="169.57"/>
  </r>
  <r>
    <n v="202109"/>
    <x v="20"/>
    <n v="2021"/>
    <s v=" September "/>
    <x v="13"/>
    <x v="1"/>
    <s v="Mindanao"/>
    <n v="155.83000000000001"/>
  </r>
  <r>
    <n v="202110"/>
    <x v="21"/>
    <n v="2021"/>
    <s v=" October "/>
    <x v="13"/>
    <x v="1"/>
    <s v="Mindanao"/>
    <n v="187.33"/>
  </r>
  <r>
    <n v="202111"/>
    <x v="22"/>
    <n v="2021"/>
    <s v=" November "/>
    <x v="13"/>
    <x v="1"/>
    <s v="Mindanao"/>
    <n v="207.38"/>
  </r>
  <r>
    <n v="202112"/>
    <x v="23"/>
    <n v="2021"/>
    <s v=" December "/>
    <x v="13"/>
    <x v="1"/>
    <s v="Mindanao"/>
    <n v="202.36"/>
  </r>
  <r>
    <n v="202101"/>
    <x v="12"/>
    <n v="2021"/>
    <s v=" January "/>
    <x v="13"/>
    <x v="1"/>
    <s v="Mindanao"/>
    <n v="150.72"/>
  </r>
  <r>
    <n v="202102"/>
    <x v="13"/>
    <n v="2021"/>
    <s v=" February "/>
    <x v="13"/>
    <x v="1"/>
    <s v="Mindanao"/>
    <n v="118.09"/>
  </r>
  <r>
    <n v="202103"/>
    <x v="14"/>
    <n v="2021"/>
    <s v=" March "/>
    <x v="13"/>
    <x v="1"/>
    <s v="Mindanao"/>
    <n v="126.26"/>
  </r>
  <r>
    <n v="202104"/>
    <x v="15"/>
    <n v="2021"/>
    <s v=" April "/>
    <x v="13"/>
    <x v="1"/>
    <s v="Mindanao"/>
    <n v="154.55000000000001"/>
  </r>
  <r>
    <n v="202105"/>
    <x v="16"/>
    <n v="2021"/>
    <s v=" May "/>
    <x v="13"/>
    <x v="1"/>
    <s v="Mindanao"/>
    <n v="132.25"/>
  </r>
  <r>
    <n v="202106"/>
    <x v="17"/>
    <n v="2021"/>
    <s v=" June "/>
    <x v="13"/>
    <x v="1"/>
    <s v="Mindanao"/>
    <n v="130"/>
  </r>
  <r>
    <n v="202107"/>
    <x v="18"/>
    <n v="2021"/>
    <s v=" July "/>
    <x v="13"/>
    <x v="1"/>
    <s v="Mindanao"/>
    <n v="110.04"/>
  </r>
  <r>
    <n v="202108"/>
    <x v="19"/>
    <n v="2021"/>
    <s v=" August "/>
    <x v="13"/>
    <x v="1"/>
    <s v="Mindanao"/>
    <n v="147.31"/>
  </r>
  <r>
    <n v="202109"/>
    <x v="20"/>
    <n v="2021"/>
    <s v=" September "/>
    <x v="13"/>
    <x v="1"/>
    <s v="Mindanao"/>
    <n v="111"/>
  </r>
  <r>
    <n v="202110"/>
    <x v="21"/>
    <n v="2021"/>
    <s v=" October "/>
    <x v="13"/>
    <x v="1"/>
    <s v="Mindanao"/>
    <n v="122.58"/>
  </r>
  <r>
    <n v="202111"/>
    <x v="22"/>
    <n v="2021"/>
    <s v=" November "/>
    <x v="13"/>
    <x v="1"/>
    <s v="Mindanao"/>
    <n v="134.44999999999999"/>
  </r>
  <r>
    <n v="202112"/>
    <x v="23"/>
    <n v="2021"/>
    <s v=" December "/>
    <x v="13"/>
    <x v="1"/>
    <s v="Mindanao"/>
    <n v="166.64"/>
  </r>
  <r>
    <n v="202101"/>
    <x v="12"/>
    <n v="2021"/>
    <s v=" January "/>
    <x v="13"/>
    <x v="1"/>
    <s v="Mindanao"/>
    <n v="146.05000000000001"/>
  </r>
  <r>
    <n v="202102"/>
    <x v="13"/>
    <n v="2021"/>
    <s v=" February "/>
    <x v="13"/>
    <x v="1"/>
    <s v="Mindanao"/>
    <n v="86.56"/>
  </r>
  <r>
    <n v="202103"/>
    <x v="14"/>
    <n v="2021"/>
    <s v=" March "/>
    <x v="13"/>
    <x v="1"/>
    <s v="Mindanao"/>
    <n v="87.15"/>
  </r>
  <r>
    <n v="202104"/>
    <x v="15"/>
    <n v="2021"/>
    <s v=" April "/>
    <x v="13"/>
    <x v="1"/>
    <s v="Mindanao"/>
    <n v="130.44999999999999"/>
  </r>
  <r>
    <n v="202105"/>
    <x v="16"/>
    <n v="2021"/>
    <s v=" May "/>
    <x v="13"/>
    <x v="1"/>
    <s v="Mindanao"/>
    <n v="92.22"/>
  </r>
  <r>
    <n v="202106"/>
    <x v="17"/>
    <n v="2021"/>
    <s v=" June "/>
    <x v="13"/>
    <x v="1"/>
    <s v="Mindanao"/>
    <n v="94.43"/>
  </r>
  <r>
    <n v="202107"/>
    <x v="18"/>
    <n v="2021"/>
    <s v=" July "/>
    <x v="13"/>
    <x v="1"/>
    <s v="Mindanao"/>
    <n v="101.25"/>
  </r>
  <r>
    <n v="202108"/>
    <x v="19"/>
    <n v="2021"/>
    <s v=" August "/>
    <x v="13"/>
    <x v="1"/>
    <s v="Mindanao"/>
    <n v="83.9"/>
  </r>
  <r>
    <n v="202109"/>
    <x v="20"/>
    <n v="2021"/>
    <s v=" September "/>
    <x v="13"/>
    <x v="1"/>
    <s v="Mindanao"/>
    <n v="97"/>
  </r>
  <r>
    <n v="202110"/>
    <x v="21"/>
    <n v="2021"/>
    <s v=" October "/>
    <x v="13"/>
    <x v="1"/>
    <s v="Mindanao"/>
    <n v="100.18"/>
  </r>
  <r>
    <n v="202111"/>
    <x v="22"/>
    <n v="2021"/>
    <s v=" November "/>
    <x v="13"/>
    <x v="1"/>
    <s v="Mindanao"/>
    <n v="132.75"/>
  </r>
  <r>
    <n v="202112"/>
    <x v="23"/>
    <n v="2021"/>
    <s v=" December "/>
    <x v="13"/>
    <x v="1"/>
    <s v="Mindanao"/>
    <n v="115.18"/>
  </r>
  <r>
    <n v="202101"/>
    <x v="12"/>
    <n v="2021"/>
    <s v=" January "/>
    <x v="13"/>
    <x v="1"/>
    <s v="Mindanao"/>
    <n v="70.290000000000006"/>
  </r>
  <r>
    <n v="202102"/>
    <x v="13"/>
    <n v="2021"/>
    <s v=" February "/>
    <x v="13"/>
    <x v="1"/>
    <s v="Mindanao"/>
    <n v="52.55"/>
  </r>
  <r>
    <n v="202103"/>
    <x v="14"/>
    <n v="2021"/>
    <s v=" March "/>
    <x v="13"/>
    <x v="1"/>
    <s v="Mindanao"/>
    <n v="50.88"/>
  </r>
  <r>
    <n v="202104"/>
    <x v="15"/>
    <n v="2021"/>
    <s v=" April "/>
    <x v="13"/>
    <x v="1"/>
    <s v="Mindanao"/>
    <n v="80.540000000000006"/>
  </r>
  <r>
    <n v="202105"/>
    <x v="16"/>
    <n v="2021"/>
    <s v=" May "/>
    <x v="13"/>
    <x v="1"/>
    <s v="Mindanao"/>
    <n v="64.010000000000005"/>
  </r>
  <r>
    <n v="202106"/>
    <x v="17"/>
    <n v="2021"/>
    <s v=" June "/>
    <x v="13"/>
    <x v="1"/>
    <s v="Mindanao"/>
    <n v="42.86"/>
  </r>
  <r>
    <n v="202107"/>
    <x v="18"/>
    <n v="2021"/>
    <s v=" July "/>
    <x v="13"/>
    <x v="1"/>
    <s v="Mindanao"/>
    <n v="58.31"/>
  </r>
  <r>
    <n v="202108"/>
    <x v="19"/>
    <n v="2021"/>
    <s v=" August "/>
    <x v="13"/>
    <x v="1"/>
    <s v="Mindanao"/>
    <n v="47.04"/>
  </r>
  <r>
    <n v="202109"/>
    <x v="20"/>
    <n v="2021"/>
    <s v=" September "/>
    <x v="13"/>
    <x v="1"/>
    <s v="Mindanao"/>
    <n v="45.58"/>
  </r>
  <r>
    <n v="202110"/>
    <x v="21"/>
    <n v="2021"/>
    <s v=" October "/>
    <x v="13"/>
    <x v="1"/>
    <s v="Mindanao"/>
    <n v="56.98"/>
  </r>
  <r>
    <n v="202111"/>
    <x v="22"/>
    <n v="2021"/>
    <s v=" November "/>
    <x v="13"/>
    <x v="1"/>
    <s v="Mindanao"/>
    <n v="53.76"/>
  </r>
  <r>
    <n v="202112"/>
    <x v="23"/>
    <n v="2021"/>
    <s v=" December "/>
    <x v="13"/>
    <x v="1"/>
    <s v="Mindanao"/>
    <n v="55.88"/>
  </r>
  <r>
    <n v="202101"/>
    <x v="12"/>
    <n v="2021"/>
    <s v=" January "/>
    <x v="13"/>
    <x v="1"/>
    <s v="Mindanao"/>
    <n v="584.91"/>
  </r>
  <r>
    <n v="202102"/>
    <x v="13"/>
    <n v="2021"/>
    <s v=" February "/>
    <x v="13"/>
    <x v="1"/>
    <s v="Mindanao"/>
    <n v="406.14"/>
  </r>
  <r>
    <n v="202103"/>
    <x v="14"/>
    <n v="2021"/>
    <s v=" March "/>
    <x v="13"/>
    <x v="1"/>
    <s v="Mindanao"/>
    <n v="453.6"/>
  </r>
  <r>
    <n v="202104"/>
    <x v="15"/>
    <n v="2021"/>
    <s v=" April "/>
    <x v="13"/>
    <x v="1"/>
    <s v="Mindanao"/>
    <n v="596.65"/>
  </r>
  <r>
    <n v="202105"/>
    <x v="16"/>
    <n v="2021"/>
    <s v=" May "/>
    <x v="13"/>
    <x v="1"/>
    <s v="Mindanao"/>
    <n v="473.69"/>
  </r>
  <r>
    <n v="202106"/>
    <x v="17"/>
    <n v="2021"/>
    <s v=" June "/>
    <x v="13"/>
    <x v="1"/>
    <s v="Mindanao"/>
    <n v="416.55"/>
  </r>
  <r>
    <n v="202107"/>
    <x v="18"/>
    <n v="2021"/>
    <s v=" July "/>
    <x v="13"/>
    <x v="1"/>
    <s v="Mindanao"/>
    <n v="422.53"/>
  </r>
  <r>
    <n v="202108"/>
    <x v="19"/>
    <n v="2021"/>
    <s v=" August "/>
    <x v="13"/>
    <x v="1"/>
    <s v="Mindanao"/>
    <n v="551.64"/>
  </r>
  <r>
    <n v="202109"/>
    <x v="20"/>
    <n v="2021"/>
    <s v=" September "/>
    <x v="13"/>
    <x v="1"/>
    <s v="Mindanao"/>
    <n v="397.55"/>
  </r>
  <r>
    <n v="202110"/>
    <x v="21"/>
    <n v="2021"/>
    <s v=" October "/>
    <x v="13"/>
    <x v="1"/>
    <s v="Mindanao"/>
    <n v="417.83"/>
  </r>
  <r>
    <n v="202111"/>
    <x v="22"/>
    <n v="2021"/>
    <s v=" November "/>
    <x v="13"/>
    <x v="1"/>
    <s v="Mindanao"/>
    <n v="560.65"/>
  </r>
  <r>
    <n v="202112"/>
    <x v="23"/>
    <n v="2021"/>
    <s v=" December "/>
    <x v="13"/>
    <x v="1"/>
    <s v="Mindanao"/>
    <n v="491.4"/>
  </r>
  <r>
    <n v="202101"/>
    <x v="12"/>
    <n v="2021"/>
    <s v=" January "/>
    <x v="14"/>
    <x v="1"/>
    <s v="Mindanao"/>
    <n v="313.87"/>
  </r>
  <r>
    <n v="202102"/>
    <x v="13"/>
    <n v="2021"/>
    <s v=" February "/>
    <x v="14"/>
    <x v="1"/>
    <s v="Mindanao"/>
    <n v="281.41000000000003"/>
  </r>
  <r>
    <n v="202103"/>
    <x v="14"/>
    <n v="2021"/>
    <s v=" March "/>
    <x v="14"/>
    <x v="1"/>
    <s v="Mindanao"/>
    <n v="270.92"/>
  </r>
  <r>
    <n v="202104"/>
    <x v="15"/>
    <n v="2021"/>
    <s v=" April "/>
    <x v="14"/>
    <x v="1"/>
    <s v="Mindanao"/>
    <n v="390.72"/>
  </r>
  <r>
    <n v="202105"/>
    <x v="16"/>
    <n v="2021"/>
    <s v=" May "/>
    <x v="14"/>
    <x v="1"/>
    <s v="Mindanao"/>
    <n v="298.08999999999997"/>
  </r>
  <r>
    <n v="202106"/>
    <x v="17"/>
    <n v="2021"/>
    <s v=" June "/>
    <x v="14"/>
    <x v="1"/>
    <s v="Mindanao"/>
    <n v="287.68"/>
  </r>
  <r>
    <n v="202107"/>
    <x v="18"/>
    <n v="2021"/>
    <s v=" July "/>
    <x v="14"/>
    <x v="1"/>
    <s v="Mindanao"/>
    <n v="288.41000000000003"/>
  </r>
  <r>
    <n v="202108"/>
    <x v="19"/>
    <n v="2021"/>
    <s v=" August "/>
    <x v="14"/>
    <x v="1"/>
    <s v="Mindanao"/>
    <n v="324.88"/>
  </r>
  <r>
    <n v="202109"/>
    <x v="20"/>
    <n v="2021"/>
    <s v=" September "/>
    <x v="14"/>
    <x v="1"/>
    <s v="Mindanao"/>
    <n v="277.86"/>
  </r>
  <r>
    <n v="202110"/>
    <x v="21"/>
    <n v="2021"/>
    <s v=" October "/>
    <x v="14"/>
    <x v="1"/>
    <s v="Mindanao"/>
    <n v="316.75"/>
  </r>
  <r>
    <n v="202111"/>
    <x v="22"/>
    <n v="2021"/>
    <s v=" November "/>
    <x v="14"/>
    <x v="1"/>
    <s v="Mindanao"/>
    <n v="358.61"/>
  </r>
  <r>
    <n v="202112"/>
    <x v="23"/>
    <n v="2021"/>
    <s v=" December "/>
    <x v="14"/>
    <x v="1"/>
    <s v="Mindanao"/>
    <n v="264.51"/>
  </r>
  <r>
    <n v="202101"/>
    <x v="12"/>
    <n v="2021"/>
    <s v=" January "/>
    <x v="14"/>
    <x v="1"/>
    <s v="Mindanao"/>
    <n v="114.28"/>
  </r>
  <r>
    <n v="202102"/>
    <x v="13"/>
    <n v="2021"/>
    <s v=" February "/>
    <x v="14"/>
    <x v="1"/>
    <s v="Mindanao"/>
    <n v="92.57"/>
  </r>
  <r>
    <n v="202103"/>
    <x v="14"/>
    <n v="2021"/>
    <s v=" March "/>
    <x v="14"/>
    <x v="1"/>
    <s v="Mindanao"/>
    <n v="81.08"/>
  </r>
  <r>
    <n v="202104"/>
    <x v="15"/>
    <n v="2021"/>
    <s v=" April "/>
    <x v="14"/>
    <x v="1"/>
    <s v="Mindanao"/>
    <n v="138.81"/>
  </r>
  <r>
    <n v="202105"/>
    <x v="16"/>
    <n v="2021"/>
    <s v=" May "/>
    <x v="14"/>
    <x v="1"/>
    <s v="Mindanao"/>
    <n v="93.29"/>
  </r>
  <r>
    <n v="202106"/>
    <x v="17"/>
    <n v="2021"/>
    <s v=" June "/>
    <x v="14"/>
    <x v="1"/>
    <s v="Mindanao"/>
    <n v="101.35"/>
  </r>
  <r>
    <n v="202107"/>
    <x v="18"/>
    <n v="2021"/>
    <s v=" July "/>
    <x v="14"/>
    <x v="1"/>
    <s v="Mindanao"/>
    <n v="97.9"/>
  </r>
  <r>
    <n v="202108"/>
    <x v="19"/>
    <n v="2021"/>
    <s v=" August "/>
    <x v="14"/>
    <x v="1"/>
    <s v="Mindanao"/>
    <n v="118.65"/>
  </r>
  <r>
    <n v="202109"/>
    <x v="20"/>
    <n v="2021"/>
    <s v=" September "/>
    <x v="14"/>
    <x v="1"/>
    <s v="Mindanao"/>
    <n v="96.44"/>
  </r>
  <r>
    <n v="202110"/>
    <x v="21"/>
    <n v="2021"/>
    <s v=" October "/>
    <x v="14"/>
    <x v="1"/>
    <s v="Mindanao"/>
    <n v="129.85"/>
  </r>
  <r>
    <n v="202111"/>
    <x v="22"/>
    <n v="2021"/>
    <s v=" November "/>
    <x v="14"/>
    <x v="1"/>
    <s v="Mindanao"/>
    <n v="125.88"/>
  </r>
  <r>
    <n v="202112"/>
    <x v="23"/>
    <n v="2021"/>
    <s v=" December "/>
    <x v="14"/>
    <x v="1"/>
    <s v="Mindanao"/>
    <n v="85.59"/>
  </r>
  <r>
    <n v="202101"/>
    <x v="12"/>
    <n v="2021"/>
    <s v=" January "/>
    <x v="14"/>
    <x v="1"/>
    <s v="Mindanao"/>
    <n v="84.23"/>
  </r>
  <r>
    <n v="202102"/>
    <x v="13"/>
    <n v="2021"/>
    <s v=" February "/>
    <x v="14"/>
    <x v="1"/>
    <s v="Mindanao"/>
    <n v="44.24"/>
  </r>
  <r>
    <n v="202103"/>
    <x v="14"/>
    <n v="2021"/>
    <s v=" March "/>
    <x v="14"/>
    <x v="1"/>
    <s v="Mindanao"/>
    <n v="63.62"/>
  </r>
  <r>
    <n v="202104"/>
    <x v="15"/>
    <n v="2021"/>
    <s v=" April "/>
    <x v="14"/>
    <x v="1"/>
    <s v="Mindanao"/>
    <n v="69.989999999999995"/>
  </r>
  <r>
    <n v="202105"/>
    <x v="16"/>
    <n v="2021"/>
    <s v=" May "/>
    <x v="14"/>
    <x v="1"/>
    <s v="Mindanao"/>
    <n v="61.76"/>
  </r>
  <r>
    <n v="202106"/>
    <x v="17"/>
    <n v="2021"/>
    <s v=" June "/>
    <x v="14"/>
    <x v="1"/>
    <s v="Mindanao"/>
    <n v="57.99"/>
  </r>
  <r>
    <n v="202107"/>
    <x v="18"/>
    <n v="2021"/>
    <s v=" July "/>
    <x v="14"/>
    <x v="1"/>
    <s v="Mindanao"/>
    <n v="58.4"/>
  </r>
  <r>
    <n v="202108"/>
    <x v="19"/>
    <n v="2021"/>
    <s v=" August "/>
    <x v="14"/>
    <x v="1"/>
    <s v="Mindanao"/>
    <n v="56.52"/>
  </r>
  <r>
    <n v="202109"/>
    <x v="20"/>
    <n v="2021"/>
    <s v=" September "/>
    <x v="14"/>
    <x v="1"/>
    <s v="Mindanao"/>
    <n v="51.69"/>
  </r>
  <r>
    <n v="202110"/>
    <x v="21"/>
    <n v="2021"/>
    <s v=" October "/>
    <x v="14"/>
    <x v="1"/>
    <s v="Mindanao"/>
    <n v="61.88"/>
  </r>
  <r>
    <n v="202111"/>
    <x v="22"/>
    <n v="2021"/>
    <s v=" November "/>
    <x v="14"/>
    <x v="1"/>
    <s v="Mindanao"/>
    <n v="64.27"/>
  </r>
  <r>
    <n v="202112"/>
    <x v="23"/>
    <n v="2021"/>
    <s v=" December "/>
    <x v="14"/>
    <x v="1"/>
    <s v="Mindanao"/>
    <n v="73.02"/>
  </r>
  <r>
    <n v="202101"/>
    <x v="12"/>
    <n v="2021"/>
    <s v=" January "/>
    <x v="14"/>
    <x v="1"/>
    <s v="Mindanao"/>
    <n v="1162.99"/>
  </r>
  <r>
    <n v="202102"/>
    <x v="13"/>
    <n v="2021"/>
    <s v=" February "/>
    <x v="14"/>
    <x v="1"/>
    <s v="Mindanao"/>
    <n v="779.6"/>
  </r>
  <r>
    <n v="202103"/>
    <x v="14"/>
    <n v="2021"/>
    <s v=" March "/>
    <x v="14"/>
    <x v="1"/>
    <s v="Mindanao"/>
    <n v="935.52"/>
  </r>
  <r>
    <n v="202104"/>
    <x v="15"/>
    <n v="2021"/>
    <s v=" April "/>
    <x v="14"/>
    <x v="1"/>
    <s v="Mindanao"/>
    <n v="1280.3900000000001"/>
  </r>
  <r>
    <n v="202105"/>
    <x v="16"/>
    <n v="2021"/>
    <s v=" May "/>
    <x v="14"/>
    <x v="1"/>
    <s v="Mindanao"/>
    <n v="1004.25"/>
  </r>
  <r>
    <n v="202106"/>
    <x v="17"/>
    <n v="2021"/>
    <s v=" June "/>
    <x v="14"/>
    <x v="1"/>
    <s v="Mindanao"/>
    <n v="954.64"/>
  </r>
  <r>
    <n v="202107"/>
    <x v="18"/>
    <n v="2021"/>
    <s v=" July "/>
    <x v="14"/>
    <x v="1"/>
    <s v="Mindanao"/>
    <n v="950.35"/>
  </r>
  <r>
    <n v="202108"/>
    <x v="19"/>
    <n v="2021"/>
    <s v=" August "/>
    <x v="14"/>
    <x v="1"/>
    <s v="Mindanao"/>
    <n v="1103.0899999999999"/>
  </r>
  <r>
    <n v="202109"/>
    <x v="20"/>
    <n v="2021"/>
    <s v=" September "/>
    <x v="14"/>
    <x v="1"/>
    <s v="Mindanao"/>
    <n v="885.19"/>
  </r>
  <r>
    <n v="202110"/>
    <x v="21"/>
    <n v="2021"/>
    <s v=" October "/>
    <x v="14"/>
    <x v="1"/>
    <s v="Mindanao"/>
    <n v="1131.83"/>
  </r>
  <r>
    <n v="202111"/>
    <x v="22"/>
    <n v="2021"/>
    <s v=" November "/>
    <x v="14"/>
    <x v="1"/>
    <s v="Mindanao"/>
    <n v="1267.48"/>
  </r>
  <r>
    <n v="202112"/>
    <x v="23"/>
    <n v="2021"/>
    <s v=" December "/>
    <x v="14"/>
    <x v="1"/>
    <s v="Mindanao"/>
    <n v="1101.95"/>
  </r>
  <r>
    <n v="202101"/>
    <x v="12"/>
    <n v="2021"/>
    <s v=" January "/>
    <x v="14"/>
    <x v="1"/>
    <s v="Mindanao"/>
    <n v="1663.56"/>
  </r>
  <r>
    <n v="202102"/>
    <x v="13"/>
    <n v="2021"/>
    <s v=" February "/>
    <x v="14"/>
    <x v="1"/>
    <s v="Mindanao"/>
    <n v="829"/>
  </r>
  <r>
    <n v="202103"/>
    <x v="14"/>
    <n v="2021"/>
    <s v=" March "/>
    <x v="14"/>
    <x v="1"/>
    <s v="Mindanao"/>
    <n v="1029.81"/>
  </r>
  <r>
    <n v="202104"/>
    <x v="15"/>
    <n v="2021"/>
    <s v=" April "/>
    <x v="14"/>
    <x v="1"/>
    <s v="Mindanao"/>
    <n v="2244.48"/>
  </r>
  <r>
    <n v="202105"/>
    <x v="16"/>
    <n v="2021"/>
    <s v=" May "/>
    <x v="14"/>
    <x v="1"/>
    <s v="Mindanao"/>
    <n v="1652.44"/>
  </r>
  <r>
    <n v="202106"/>
    <x v="17"/>
    <n v="2021"/>
    <s v=" June "/>
    <x v="14"/>
    <x v="1"/>
    <s v="Mindanao"/>
    <n v="1010.02"/>
  </r>
  <r>
    <n v="202107"/>
    <x v="18"/>
    <n v="2021"/>
    <s v=" July "/>
    <x v="14"/>
    <x v="1"/>
    <s v="Mindanao"/>
    <n v="1760.35"/>
  </r>
  <r>
    <n v="202108"/>
    <x v="19"/>
    <n v="2021"/>
    <s v=" August "/>
    <x v="14"/>
    <x v="1"/>
    <s v="Mindanao"/>
    <n v="1552.6"/>
  </r>
  <r>
    <n v="202109"/>
    <x v="20"/>
    <n v="2021"/>
    <s v=" September "/>
    <x v="14"/>
    <x v="1"/>
    <s v="Mindanao"/>
    <n v="1247.48"/>
  </r>
  <r>
    <n v="202110"/>
    <x v="21"/>
    <n v="2021"/>
    <s v=" October "/>
    <x v="14"/>
    <x v="1"/>
    <s v="Mindanao"/>
    <n v="1094.0899999999999"/>
  </r>
  <r>
    <n v="202111"/>
    <x v="22"/>
    <n v="2021"/>
    <s v=" November "/>
    <x v="14"/>
    <x v="1"/>
    <s v="Mindanao"/>
    <n v="1619.97"/>
  </r>
  <r>
    <n v="202112"/>
    <x v="23"/>
    <n v="2021"/>
    <s v=" December "/>
    <x v="14"/>
    <x v="1"/>
    <s v="Mindanao"/>
    <n v="1237.72"/>
  </r>
  <r>
    <n v="202101"/>
    <x v="12"/>
    <n v="2021"/>
    <s v=" January "/>
    <x v="15"/>
    <x v="1"/>
    <s v="Mindanao"/>
    <n v="148.97999999999999"/>
  </r>
  <r>
    <n v="202102"/>
    <x v="13"/>
    <n v="2021"/>
    <s v=" February "/>
    <x v="15"/>
    <x v="1"/>
    <s v="Mindanao"/>
    <n v="110.48"/>
  </r>
  <r>
    <n v="202103"/>
    <x v="14"/>
    <n v="2021"/>
    <s v=" March "/>
    <x v="15"/>
    <x v="1"/>
    <s v="Mindanao"/>
    <n v="108.83"/>
  </r>
  <r>
    <n v="202104"/>
    <x v="15"/>
    <n v="2021"/>
    <s v=" April "/>
    <x v="15"/>
    <x v="1"/>
    <s v="Mindanao"/>
    <n v="158"/>
  </r>
  <r>
    <n v="202105"/>
    <x v="16"/>
    <n v="2021"/>
    <s v=" May "/>
    <x v="15"/>
    <x v="1"/>
    <s v="Mindanao"/>
    <n v="121.68"/>
  </r>
  <r>
    <n v="202106"/>
    <x v="17"/>
    <n v="2021"/>
    <s v=" June "/>
    <x v="15"/>
    <x v="1"/>
    <s v="Mindanao"/>
    <n v="122.84"/>
  </r>
  <r>
    <n v="202107"/>
    <x v="18"/>
    <n v="2021"/>
    <s v=" July "/>
    <x v="15"/>
    <x v="1"/>
    <s v="Mindanao"/>
    <n v="128.88"/>
  </r>
  <r>
    <n v="202108"/>
    <x v="19"/>
    <n v="2021"/>
    <s v=" August "/>
    <x v="15"/>
    <x v="1"/>
    <s v="Mindanao"/>
    <n v="126.74"/>
  </r>
  <r>
    <n v="202109"/>
    <x v="20"/>
    <n v="2021"/>
    <s v=" September "/>
    <x v="15"/>
    <x v="1"/>
    <s v="Mindanao"/>
    <n v="109.22"/>
  </r>
  <r>
    <n v="202110"/>
    <x v="21"/>
    <n v="2021"/>
    <s v=" October "/>
    <x v="15"/>
    <x v="1"/>
    <s v="Mindanao"/>
    <n v="135.62"/>
  </r>
  <r>
    <n v="202111"/>
    <x v="22"/>
    <n v="2021"/>
    <s v=" November "/>
    <x v="15"/>
    <x v="1"/>
    <s v="Mindanao"/>
    <n v="126.69"/>
  </r>
  <r>
    <n v="202112"/>
    <x v="23"/>
    <n v="2021"/>
    <s v=" December "/>
    <x v="15"/>
    <x v="1"/>
    <s v="Mindanao"/>
    <n v="139.74"/>
  </r>
  <r>
    <n v="202101"/>
    <x v="12"/>
    <n v="2021"/>
    <s v=" January "/>
    <x v="15"/>
    <x v="1"/>
    <s v="Mindanao"/>
    <n v="270.22000000000003"/>
  </r>
  <r>
    <n v="202102"/>
    <x v="13"/>
    <n v="2021"/>
    <s v=" February "/>
    <x v="15"/>
    <x v="1"/>
    <s v="Mindanao"/>
    <n v="170.85"/>
  </r>
  <r>
    <n v="202103"/>
    <x v="14"/>
    <n v="2021"/>
    <s v=" March "/>
    <x v="15"/>
    <x v="1"/>
    <s v="Mindanao"/>
    <n v="196.68"/>
  </r>
  <r>
    <n v="202104"/>
    <x v="15"/>
    <n v="2021"/>
    <s v=" April "/>
    <x v="15"/>
    <x v="1"/>
    <s v="Mindanao"/>
    <n v="336.29"/>
  </r>
  <r>
    <n v="202105"/>
    <x v="16"/>
    <n v="2021"/>
    <s v=" May "/>
    <x v="15"/>
    <x v="1"/>
    <s v="Mindanao"/>
    <n v="263.8"/>
  </r>
  <r>
    <n v="202106"/>
    <x v="17"/>
    <n v="2021"/>
    <s v=" June "/>
    <x v="15"/>
    <x v="1"/>
    <s v="Mindanao"/>
    <n v="203.81"/>
  </r>
  <r>
    <n v="202107"/>
    <x v="18"/>
    <n v="2021"/>
    <s v=" July "/>
    <x v="15"/>
    <x v="1"/>
    <s v="Mindanao"/>
    <n v="208.8"/>
  </r>
  <r>
    <n v="202108"/>
    <x v="19"/>
    <n v="2021"/>
    <s v=" August "/>
    <x v="15"/>
    <x v="1"/>
    <s v="Mindanao"/>
    <n v="325.54000000000002"/>
  </r>
  <r>
    <n v="202109"/>
    <x v="20"/>
    <n v="2021"/>
    <s v=" September "/>
    <x v="15"/>
    <x v="1"/>
    <s v="Mindanao"/>
    <n v="194.96"/>
  </r>
  <r>
    <n v="202110"/>
    <x v="21"/>
    <n v="2021"/>
    <s v=" October "/>
    <x v="15"/>
    <x v="1"/>
    <s v="Mindanao"/>
    <n v="209.37"/>
  </r>
  <r>
    <n v="202111"/>
    <x v="22"/>
    <n v="2021"/>
    <s v=" November "/>
    <x v="15"/>
    <x v="1"/>
    <s v="Mindanao"/>
    <n v="256.77"/>
  </r>
  <r>
    <n v="202112"/>
    <x v="23"/>
    <n v="2021"/>
    <s v=" December "/>
    <x v="15"/>
    <x v="1"/>
    <s v="Mindanao"/>
    <n v="242.38"/>
  </r>
  <r>
    <n v="202101"/>
    <x v="12"/>
    <n v="2021"/>
    <s v=" January "/>
    <x v="15"/>
    <x v="1"/>
    <s v="Mindanao"/>
    <n v="211.52"/>
  </r>
  <r>
    <n v="202102"/>
    <x v="13"/>
    <n v="2021"/>
    <s v=" February "/>
    <x v="15"/>
    <x v="1"/>
    <s v="Mindanao"/>
    <n v="111.07"/>
  </r>
  <r>
    <n v="202103"/>
    <x v="14"/>
    <n v="2021"/>
    <s v=" March "/>
    <x v="15"/>
    <x v="1"/>
    <s v="Mindanao"/>
    <n v="134.91999999999999"/>
  </r>
  <r>
    <n v="202104"/>
    <x v="15"/>
    <n v="2021"/>
    <s v=" April "/>
    <x v="15"/>
    <x v="1"/>
    <s v="Mindanao"/>
    <n v="181.83"/>
  </r>
  <r>
    <n v="202105"/>
    <x v="16"/>
    <n v="2021"/>
    <s v=" May "/>
    <x v="15"/>
    <x v="1"/>
    <s v="Mindanao"/>
    <n v="141.76"/>
  </r>
  <r>
    <n v="202106"/>
    <x v="17"/>
    <n v="2021"/>
    <s v=" June "/>
    <x v="15"/>
    <x v="1"/>
    <s v="Mindanao"/>
    <n v="132.75"/>
  </r>
  <r>
    <n v="202107"/>
    <x v="18"/>
    <n v="2021"/>
    <s v=" July "/>
    <x v="15"/>
    <x v="1"/>
    <s v="Mindanao"/>
    <n v="142.43"/>
  </r>
  <r>
    <n v="202108"/>
    <x v="19"/>
    <n v="2021"/>
    <s v=" August "/>
    <x v="15"/>
    <x v="1"/>
    <s v="Mindanao"/>
    <n v="123.15"/>
  </r>
  <r>
    <n v="202109"/>
    <x v="20"/>
    <n v="2021"/>
    <s v=" September "/>
    <x v="15"/>
    <x v="1"/>
    <s v="Mindanao"/>
    <n v="128.96"/>
  </r>
  <r>
    <n v="202110"/>
    <x v="21"/>
    <n v="2021"/>
    <s v=" October "/>
    <x v="15"/>
    <x v="1"/>
    <s v="Mindanao"/>
    <n v="157.44999999999999"/>
  </r>
  <r>
    <n v="202111"/>
    <x v="22"/>
    <n v="2021"/>
    <s v=" November "/>
    <x v="15"/>
    <x v="1"/>
    <s v="Mindanao"/>
    <n v="156.47"/>
  </r>
  <r>
    <n v="202112"/>
    <x v="23"/>
    <n v="2021"/>
    <s v=" December "/>
    <x v="15"/>
    <x v="1"/>
    <s v="Mindanao"/>
    <n v="159.31"/>
  </r>
  <r>
    <n v="202101"/>
    <x v="12"/>
    <n v="2021"/>
    <s v=" January "/>
    <x v="15"/>
    <x v="1"/>
    <s v="Mindanao"/>
    <n v="157.69999999999999"/>
  </r>
  <r>
    <n v="202102"/>
    <x v="13"/>
    <n v="2021"/>
    <s v=" February "/>
    <x v="15"/>
    <x v="1"/>
    <s v="Mindanao"/>
    <n v="93.91"/>
  </r>
  <r>
    <n v="202103"/>
    <x v="14"/>
    <n v="2021"/>
    <s v=" March "/>
    <x v="15"/>
    <x v="1"/>
    <s v="Mindanao"/>
    <n v="80.930000000000007"/>
  </r>
  <r>
    <n v="202104"/>
    <x v="15"/>
    <n v="2021"/>
    <s v=" April "/>
    <x v="15"/>
    <x v="1"/>
    <s v="Mindanao"/>
    <n v="109.43"/>
  </r>
  <r>
    <n v="202105"/>
    <x v="16"/>
    <n v="2021"/>
    <s v=" May "/>
    <x v="15"/>
    <x v="1"/>
    <s v="Mindanao"/>
    <n v="77.709999999999994"/>
  </r>
  <r>
    <n v="202106"/>
    <x v="17"/>
    <n v="2021"/>
    <s v=" June "/>
    <x v="15"/>
    <x v="1"/>
    <s v="Mindanao"/>
    <n v="81.13"/>
  </r>
  <r>
    <n v="202107"/>
    <x v="18"/>
    <n v="2021"/>
    <s v=" July "/>
    <x v="15"/>
    <x v="1"/>
    <s v="Mindanao"/>
    <n v="91.43"/>
  </r>
  <r>
    <n v="202108"/>
    <x v="19"/>
    <n v="2021"/>
    <s v=" August "/>
    <x v="15"/>
    <x v="1"/>
    <s v="Mindanao"/>
    <n v="93.53"/>
  </r>
  <r>
    <n v="202109"/>
    <x v="20"/>
    <n v="2021"/>
    <s v=" September "/>
    <x v="15"/>
    <x v="1"/>
    <s v="Mindanao"/>
    <n v="78.77"/>
  </r>
  <r>
    <n v="202110"/>
    <x v="21"/>
    <n v="2021"/>
    <s v=" October "/>
    <x v="15"/>
    <x v="1"/>
    <s v="Mindanao"/>
    <n v="77.709999999999994"/>
  </r>
  <r>
    <n v="202111"/>
    <x v="22"/>
    <n v="2021"/>
    <s v=" November "/>
    <x v="15"/>
    <x v="1"/>
    <s v="Mindanao"/>
    <n v="87.63"/>
  </r>
  <r>
    <n v="202112"/>
    <x v="23"/>
    <n v="2021"/>
    <s v=" December "/>
    <x v="15"/>
    <x v="1"/>
    <s v="Mindanao"/>
    <n v="105.05"/>
  </r>
  <r>
    <n v="202101"/>
    <x v="12"/>
    <n v="2021"/>
    <s v=" January "/>
    <x v="16"/>
    <x v="1"/>
    <s v="Mindanao"/>
    <n v="269.35000000000002"/>
  </r>
  <r>
    <n v="202102"/>
    <x v="13"/>
    <n v="2021"/>
    <s v=" February "/>
    <x v="16"/>
    <x v="1"/>
    <s v="Mindanao"/>
    <n v="161.06"/>
  </r>
  <r>
    <n v="202103"/>
    <x v="14"/>
    <n v="2021"/>
    <s v=" March "/>
    <x v="16"/>
    <x v="1"/>
    <s v="Mindanao"/>
    <n v="190.01"/>
  </r>
  <r>
    <n v="202104"/>
    <x v="15"/>
    <n v="2021"/>
    <s v=" April "/>
    <x v="16"/>
    <x v="1"/>
    <s v="Mindanao"/>
    <n v="262.5"/>
  </r>
  <r>
    <n v="202105"/>
    <x v="16"/>
    <n v="2021"/>
    <s v=" May "/>
    <x v="16"/>
    <x v="1"/>
    <s v="Mindanao"/>
    <n v="203.82"/>
  </r>
  <r>
    <n v="202106"/>
    <x v="17"/>
    <n v="2021"/>
    <s v=" June "/>
    <x v="16"/>
    <x v="1"/>
    <s v="Mindanao"/>
    <n v="221.93"/>
  </r>
  <r>
    <n v="202107"/>
    <x v="18"/>
    <n v="2021"/>
    <s v=" July "/>
    <x v="16"/>
    <x v="1"/>
    <s v="Mindanao"/>
    <n v="206.17"/>
  </r>
  <r>
    <n v="202108"/>
    <x v="19"/>
    <n v="2021"/>
    <s v=" August "/>
    <x v="16"/>
    <x v="1"/>
    <s v="Mindanao"/>
    <n v="201.14"/>
  </r>
  <r>
    <n v="202109"/>
    <x v="20"/>
    <n v="2021"/>
    <s v=" September "/>
    <x v="16"/>
    <x v="1"/>
    <s v="Mindanao"/>
    <n v="206.43"/>
  </r>
  <r>
    <n v="202110"/>
    <x v="21"/>
    <n v="2021"/>
    <s v=" October "/>
    <x v="16"/>
    <x v="1"/>
    <s v="Mindanao"/>
    <n v="204.78"/>
  </r>
  <r>
    <n v="202111"/>
    <x v="22"/>
    <n v="2021"/>
    <s v=" November "/>
    <x v="16"/>
    <x v="1"/>
    <s v="Mindanao"/>
    <n v="224.72"/>
  </r>
  <r>
    <n v="202112"/>
    <x v="23"/>
    <n v="2021"/>
    <s v=" December "/>
    <x v="16"/>
    <x v="1"/>
    <s v="Mindanao"/>
    <n v="175.12"/>
  </r>
  <r>
    <n v="202101"/>
    <x v="12"/>
    <n v="2021"/>
    <s v=" January "/>
    <x v="16"/>
    <x v="1"/>
    <s v="Mindanao"/>
    <n v="153.30000000000001"/>
  </r>
  <r>
    <n v="202102"/>
    <x v="13"/>
    <n v="2021"/>
    <s v=" February "/>
    <x v="16"/>
    <x v="1"/>
    <s v="Mindanao"/>
    <n v="76.290000000000006"/>
  </r>
  <r>
    <n v="202103"/>
    <x v="14"/>
    <n v="2021"/>
    <s v=" March "/>
    <x v="16"/>
    <x v="1"/>
    <s v="Mindanao"/>
    <n v="87.64"/>
  </r>
  <r>
    <n v="202104"/>
    <x v="15"/>
    <n v="2021"/>
    <s v=" April "/>
    <x v="16"/>
    <x v="1"/>
    <s v="Mindanao"/>
    <n v="129.24"/>
  </r>
  <r>
    <n v="202105"/>
    <x v="16"/>
    <n v="2021"/>
    <s v=" May "/>
    <x v="16"/>
    <x v="1"/>
    <s v="Mindanao"/>
    <n v="88.04"/>
  </r>
  <r>
    <n v="202106"/>
    <x v="17"/>
    <n v="2021"/>
    <s v=" June "/>
    <x v="16"/>
    <x v="1"/>
    <s v="Mindanao"/>
    <n v="84.24"/>
  </r>
  <r>
    <n v="202107"/>
    <x v="18"/>
    <n v="2021"/>
    <s v=" July "/>
    <x v="16"/>
    <x v="1"/>
    <s v="Mindanao"/>
    <n v="95.97"/>
  </r>
  <r>
    <n v="202108"/>
    <x v="19"/>
    <n v="2021"/>
    <s v=" August "/>
    <x v="16"/>
    <x v="1"/>
    <s v="Mindanao"/>
    <n v="97.91"/>
  </r>
  <r>
    <n v="202109"/>
    <x v="20"/>
    <n v="2021"/>
    <s v=" September "/>
    <x v="16"/>
    <x v="1"/>
    <s v="Mindanao"/>
    <n v="84.9"/>
  </r>
  <r>
    <n v="202110"/>
    <x v="21"/>
    <n v="2021"/>
    <s v=" October "/>
    <x v="16"/>
    <x v="1"/>
    <s v="Mindanao"/>
    <n v="98.89"/>
  </r>
  <r>
    <n v="202111"/>
    <x v="22"/>
    <n v="2021"/>
    <s v=" November "/>
    <x v="16"/>
    <x v="1"/>
    <s v="Mindanao"/>
    <n v="100.3"/>
  </r>
  <r>
    <n v="202112"/>
    <x v="23"/>
    <n v="2021"/>
    <s v=" December "/>
    <x v="16"/>
    <x v="1"/>
    <s v="Mindanao"/>
    <n v="88.01"/>
  </r>
  <r>
    <n v="202101"/>
    <x v="12"/>
    <n v="2021"/>
    <s v=" January "/>
    <x v="16"/>
    <x v="1"/>
    <s v="Mindanao"/>
    <n v="140.36000000000001"/>
  </r>
  <r>
    <n v="202102"/>
    <x v="13"/>
    <n v="2021"/>
    <s v=" February "/>
    <x v="16"/>
    <x v="1"/>
    <s v="Mindanao"/>
    <n v="75.66"/>
  </r>
  <r>
    <n v="202103"/>
    <x v="14"/>
    <n v="2021"/>
    <s v=" March "/>
    <x v="16"/>
    <x v="1"/>
    <s v="Mindanao"/>
    <n v="85.76"/>
  </r>
  <r>
    <n v="202104"/>
    <x v="15"/>
    <n v="2021"/>
    <s v=" April "/>
    <x v="16"/>
    <x v="1"/>
    <s v="Mindanao"/>
    <n v="115.33"/>
  </r>
  <r>
    <n v="202105"/>
    <x v="16"/>
    <n v="2021"/>
    <s v=" May "/>
    <x v="16"/>
    <x v="1"/>
    <s v="Mindanao"/>
    <n v="126.73"/>
  </r>
  <r>
    <n v="202106"/>
    <x v="17"/>
    <n v="2021"/>
    <s v=" June "/>
    <x v="16"/>
    <x v="1"/>
    <s v="Mindanao"/>
    <n v="93.43"/>
  </r>
  <r>
    <n v="202107"/>
    <x v="18"/>
    <n v="2021"/>
    <s v=" July "/>
    <x v="16"/>
    <x v="1"/>
    <s v="Mindanao"/>
    <n v="113.14"/>
  </r>
  <r>
    <n v="202108"/>
    <x v="19"/>
    <n v="2021"/>
    <s v=" August "/>
    <x v="16"/>
    <x v="1"/>
    <s v="Mindanao"/>
    <n v="100.86"/>
  </r>
  <r>
    <n v="202109"/>
    <x v="20"/>
    <n v="2021"/>
    <s v=" September "/>
    <x v="16"/>
    <x v="1"/>
    <s v="Mindanao"/>
    <n v="102.47"/>
  </r>
  <r>
    <n v="202110"/>
    <x v="21"/>
    <n v="2021"/>
    <s v=" October "/>
    <x v="16"/>
    <x v="1"/>
    <s v="Mindanao"/>
    <n v="99.87"/>
  </r>
  <r>
    <n v="202111"/>
    <x v="22"/>
    <n v="2021"/>
    <s v=" November "/>
    <x v="16"/>
    <x v="1"/>
    <s v="Mindanao"/>
    <n v="113.12"/>
  </r>
  <r>
    <n v="202112"/>
    <x v="23"/>
    <n v="2021"/>
    <s v=" December "/>
    <x v="16"/>
    <x v="1"/>
    <s v="Mindanao"/>
    <n v="92.47"/>
  </r>
  <r>
    <n v="202101"/>
    <x v="12"/>
    <n v="2021"/>
    <s v=" January "/>
    <x v="16"/>
    <x v="1"/>
    <s v="Mindanao"/>
    <n v="97.08"/>
  </r>
  <r>
    <n v="202102"/>
    <x v="13"/>
    <n v="2021"/>
    <s v=" February "/>
    <x v="16"/>
    <x v="1"/>
    <s v="Mindanao"/>
    <n v="61.41"/>
  </r>
  <r>
    <n v="202103"/>
    <x v="14"/>
    <n v="2021"/>
    <s v=" March "/>
    <x v="16"/>
    <x v="1"/>
    <s v="Mindanao"/>
    <n v="64.34"/>
  </r>
  <r>
    <n v="202104"/>
    <x v="15"/>
    <n v="2021"/>
    <s v=" April "/>
    <x v="16"/>
    <x v="1"/>
    <s v="Mindanao"/>
    <n v="105.34"/>
  </r>
  <r>
    <n v="202105"/>
    <x v="16"/>
    <n v="2021"/>
    <s v=" May "/>
    <x v="16"/>
    <x v="1"/>
    <s v="Mindanao"/>
    <n v="85.61"/>
  </r>
  <r>
    <n v="202106"/>
    <x v="17"/>
    <n v="2021"/>
    <s v=" June "/>
    <x v="16"/>
    <x v="1"/>
    <s v="Mindanao"/>
    <n v="51.74"/>
  </r>
  <r>
    <n v="202107"/>
    <x v="18"/>
    <n v="2021"/>
    <s v=" July "/>
    <x v="16"/>
    <x v="1"/>
    <s v="Mindanao"/>
    <n v="74.319999999999993"/>
  </r>
  <r>
    <n v="202108"/>
    <x v="19"/>
    <n v="2021"/>
    <s v=" August "/>
    <x v="16"/>
    <x v="1"/>
    <s v="Mindanao"/>
    <n v="83.71"/>
  </r>
  <r>
    <n v="202109"/>
    <x v="20"/>
    <n v="2021"/>
    <s v=" September "/>
    <x v="16"/>
    <x v="1"/>
    <s v="Mindanao"/>
    <n v="67.16"/>
  </r>
  <r>
    <n v="202110"/>
    <x v="21"/>
    <n v="2021"/>
    <s v=" October "/>
    <x v="16"/>
    <x v="1"/>
    <s v="Mindanao"/>
    <n v="75.7"/>
  </r>
  <r>
    <n v="202111"/>
    <x v="22"/>
    <n v="2021"/>
    <s v=" November "/>
    <x v="16"/>
    <x v="1"/>
    <s v="Mindanao"/>
    <n v="102.33"/>
  </r>
  <r>
    <n v="202112"/>
    <x v="23"/>
    <n v="2021"/>
    <s v=" December "/>
    <x v="16"/>
    <x v="1"/>
    <s v="Mindanao"/>
    <n v="98.93"/>
  </r>
  <r>
    <n v="202101"/>
    <x v="12"/>
    <n v="2021"/>
    <s v=" January "/>
    <x v="17"/>
    <x v="1"/>
    <s v="Mindanao"/>
    <n v="27.39"/>
  </r>
  <r>
    <n v="202102"/>
    <x v="13"/>
    <n v="2021"/>
    <s v=" February "/>
    <x v="17"/>
    <x v="1"/>
    <s v="Mindanao"/>
    <n v="26.98"/>
  </r>
  <r>
    <n v="202103"/>
    <x v="14"/>
    <n v="2021"/>
    <s v=" March "/>
    <x v="17"/>
    <x v="1"/>
    <s v="Mindanao"/>
    <n v="13.59"/>
  </r>
  <r>
    <n v="202104"/>
    <x v="15"/>
    <n v="2021"/>
    <s v=" April "/>
    <x v="17"/>
    <x v="1"/>
    <s v="Mindanao"/>
    <n v="24.22"/>
  </r>
  <r>
    <n v="202105"/>
    <x v="16"/>
    <n v="2021"/>
    <s v=" May "/>
    <x v="17"/>
    <x v="1"/>
    <s v="Mindanao"/>
    <n v="27.46"/>
  </r>
  <r>
    <n v="202106"/>
    <x v="17"/>
    <n v="2021"/>
    <s v=" June "/>
    <x v="17"/>
    <x v="1"/>
    <s v="Mindanao"/>
    <n v="16.260000000000002"/>
  </r>
  <r>
    <n v="202107"/>
    <x v="18"/>
    <n v="2021"/>
    <s v=" July "/>
    <x v="17"/>
    <x v="1"/>
    <s v="Mindanao"/>
    <n v="42.51"/>
  </r>
  <r>
    <n v="202108"/>
    <x v="19"/>
    <n v="2021"/>
    <s v=" August "/>
    <x v="17"/>
    <x v="1"/>
    <s v="Mindanao"/>
    <n v="14.25"/>
  </r>
  <r>
    <n v="202109"/>
    <x v="20"/>
    <n v="2021"/>
    <s v=" September "/>
    <x v="17"/>
    <x v="1"/>
    <s v="Mindanao"/>
    <n v="16.989999999999998"/>
  </r>
  <r>
    <n v="202110"/>
    <x v="21"/>
    <n v="2021"/>
    <s v=" October "/>
    <x v="17"/>
    <x v="1"/>
    <s v="Mindanao"/>
    <n v="28.05"/>
  </r>
  <r>
    <n v="202111"/>
    <x v="22"/>
    <n v="2021"/>
    <s v=" November "/>
    <x v="17"/>
    <x v="1"/>
    <s v="Mindanao"/>
    <n v="30.02"/>
  </r>
  <r>
    <n v="202112"/>
    <x v="23"/>
    <n v="2021"/>
    <s v=" December "/>
    <x v="17"/>
    <x v="1"/>
    <s v="Mindanao"/>
    <n v="17.57"/>
  </r>
  <r>
    <n v="202101"/>
    <x v="12"/>
    <n v="2021"/>
    <s v=" January "/>
    <x v="17"/>
    <x v="1"/>
    <s v="Mindanao"/>
    <n v="54.43"/>
  </r>
  <r>
    <n v="202102"/>
    <x v="13"/>
    <n v="2021"/>
    <s v=" February "/>
    <x v="17"/>
    <x v="1"/>
    <s v="Mindanao"/>
    <n v="50.16"/>
  </r>
  <r>
    <n v="202103"/>
    <x v="14"/>
    <n v="2021"/>
    <s v=" March "/>
    <x v="17"/>
    <x v="1"/>
    <s v="Mindanao"/>
    <n v="74.48"/>
  </r>
  <r>
    <n v="202104"/>
    <x v="15"/>
    <n v="2021"/>
    <s v=" April "/>
    <x v="17"/>
    <x v="1"/>
    <s v="Mindanao"/>
    <n v="61.37"/>
  </r>
  <r>
    <n v="202105"/>
    <x v="16"/>
    <n v="2021"/>
    <s v=" May "/>
    <x v="17"/>
    <x v="1"/>
    <s v="Mindanao"/>
    <n v="46.92"/>
  </r>
  <r>
    <n v="202106"/>
    <x v="17"/>
    <n v="2021"/>
    <s v=" June "/>
    <x v="17"/>
    <x v="1"/>
    <s v="Mindanao"/>
    <n v="72.23"/>
  </r>
  <r>
    <n v="202107"/>
    <x v="18"/>
    <n v="2021"/>
    <s v=" July "/>
    <x v="17"/>
    <x v="1"/>
    <s v="Mindanao"/>
    <n v="46.89"/>
  </r>
  <r>
    <n v="202108"/>
    <x v="19"/>
    <n v="2021"/>
    <s v=" August "/>
    <x v="17"/>
    <x v="1"/>
    <s v="Mindanao"/>
    <n v="46"/>
  </r>
  <r>
    <n v="202109"/>
    <x v="20"/>
    <n v="2021"/>
    <s v=" September "/>
    <x v="17"/>
    <x v="1"/>
    <s v="Mindanao"/>
    <n v="119.31"/>
  </r>
  <r>
    <n v="202110"/>
    <x v="21"/>
    <n v="2021"/>
    <s v=" October "/>
    <x v="17"/>
    <x v="1"/>
    <s v="Mindanao"/>
    <n v="88.06"/>
  </r>
  <r>
    <n v="202111"/>
    <x v="22"/>
    <n v="2021"/>
    <s v=" November "/>
    <x v="17"/>
    <x v="1"/>
    <s v="Mindanao"/>
    <n v="49.73"/>
  </r>
  <r>
    <n v="202112"/>
    <x v="23"/>
    <n v="2021"/>
    <s v=" December "/>
    <x v="17"/>
    <x v="1"/>
    <s v="Mindanao"/>
    <n v="69.75"/>
  </r>
  <r>
    <n v="202101"/>
    <x v="12"/>
    <n v="2021"/>
    <s v=" January "/>
    <x v="17"/>
    <x v="1"/>
    <s v="Mindanao"/>
    <n v="247.23"/>
  </r>
  <r>
    <n v="202102"/>
    <x v="13"/>
    <n v="2021"/>
    <s v=" February "/>
    <x v="17"/>
    <x v="1"/>
    <s v="Mindanao"/>
    <n v="183.49"/>
  </r>
  <r>
    <n v="202103"/>
    <x v="14"/>
    <n v="2021"/>
    <s v=" March "/>
    <x v="17"/>
    <x v="1"/>
    <s v="Mindanao"/>
    <n v="135.06"/>
  </r>
  <r>
    <n v="202104"/>
    <x v="15"/>
    <n v="2021"/>
    <s v=" April "/>
    <x v="17"/>
    <x v="1"/>
    <s v="Mindanao"/>
    <n v="206.58"/>
  </r>
  <r>
    <n v="202105"/>
    <x v="16"/>
    <n v="2021"/>
    <s v=" May "/>
    <x v="17"/>
    <x v="1"/>
    <s v="Mindanao"/>
    <n v="139.65"/>
  </r>
  <r>
    <n v="202106"/>
    <x v="17"/>
    <n v="2021"/>
    <s v=" June "/>
    <x v="17"/>
    <x v="1"/>
    <s v="Mindanao"/>
    <n v="146.97"/>
  </r>
  <r>
    <n v="202107"/>
    <x v="18"/>
    <n v="2021"/>
    <s v=" July "/>
    <x v="17"/>
    <x v="1"/>
    <s v="Mindanao"/>
    <n v="215.6"/>
  </r>
  <r>
    <n v="202108"/>
    <x v="19"/>
    <n v="2021"/>
    <s v=" August "/>
    <x v="17"/>
    <x v="1"/>
    <s v="Mindanao"/>
    <n v="179.61"/>
  </r>
  <r>
    <n v="202109"/>
    <x v="20"/>
    <n v="2021"/>
    <s v=" September "/>
    <x v="17"/>
    <x v="1"/>
    <s v="Mindanao"/>
    <n v="151.11000000000001"/>
  </r>
  <r>
    <n v="202110"/>
    <x v="21"/>
    <n v="2021"/>
    <s v=" October "/>
    <x v="17"/>
    <x v="1"/>
    <s v="Mindanao"/>
    <n v="198.13"/>
  </r>
  <r>
    <n v="202111"/>
    <x v="22"/>
    <n v="2021"/>
    <s v=" November "/>
    <x v="17"/>
    <x v="1"/>
    <s v="Mindanao"/>
    <n v="170.73"/>
  </r>
  <r>
    <n v="202112"/>
    <x v="23"/>
    <n v="2021"/>
    <s v=" December "/>
    <x v="17"/>
    <x v="1"/>
    <s v="Mindanao"/>
    <n v="193.06"/>
  </r>
  <r>
    <n v="202101"/>
    <x v="12"/>
    <n v="2021"/>
    <s v=" January "/>
    <x v="17"/>
    <x v="1"/>
    <s v="Mindanao"/>
    <n v="4.07"/>
  </r>
  <r>
    <n v="202102"/>
    <x v="13"/>
    <n v="2021"/>
    <s v=" February "/>
    <x v="17"/>
    <x v="1"/>
    <s v="Mindanao"/>
    <n v="41.66"/>
  </r>
  <r>
    <n v="202103"/>
    <x v="14"/>
    <n v="2021"/>
    <s v=" March "/>
    <x v="17"/>
    <x v="1"/>
    <s v="Mindanao"/>
    <n v="12.96"/>
  </r>
  <r>
    <n v="202104"/>
    <x v="15"/>
    <n v="2021"/>
    <s v=" April "/>
    <x v="17"/>
    <x v="1"/>
    <s v="Mindanao"/>
    <n v="22.2"/>
  </r>
  <r>
    <n v="202105"/>
    <x v="16"/>
    <n v="2021"/>
    <s v=" May "/>
    <x v="17"/>
    <x v="1"/>
    <s v="Mindanao"/>
    <n v="19.86"/>
  </r>
  <r>
    <n v="202106"/>
    <x v="17"/>
    <n v="2021"/>
    <s v=" June "/>
    <x v="17"/>
    <x v="1"/>
    <s v="Mindanao"/>
    <n v="11.67"/>
  </r>
  <r>
    <n v="202107"/>
    <x v="18"/>
    <n v="2021"/>
    <s v=" July "/>
    <x v="17"/>
    <x v="1"/>
    <s v="Mindanao"/>
    <n v="50.45"/>
  </r>
  <r>
    <n v="202108"/>
    <x v="19"/>
    <n v="2021"/>
    <s v=" August "/>
    <x v="17"/>
    <x v="1"/>
    <s v="Mindanao"/>
    <n v="25.09"/>
  </r>
  <r>
    <n v="202109"/>
    <x v="20"/>
    <n v="2021"/>
    <s v=" September "/>
    <x v="17"/>
    <x v="1"/>
    <s v="Mindanao"/>
    <n v="16.309999999999999"/>
  </r>
  <r>
    <n v="202110"/>
    <x v="21"/>
    <n v="2021"/>
    <s v=" October "/>
    <x v="17"/>
    <x v="1"/>
    <s v="Mindanao"/>
    <n v="16.73"/>
  </r>
  <r>
    <n v="202111"/>
    <x v="22"/>
    <n v="2021"/>
    <s v=" November "/>
    <x v="17"/>
    <x v="1"/>
    <s v="Mindanao"/>
    <n v="33.33"/>
  </r>
  <r>
    <n v="202112"/>
    <x v="23"/>
    <n v="2021"/>
    <s v=" December "/>
    <x v="17"/>
    <x v="1"/>
    <s v="Mindanao"/>
    <n v="24.42"/>
  </r>
  <r>
    <n v="202101"/>
    <x v="12"/>
    <n v="2021"/>
    <s v=" January "/>
    <x v="17"/>
    <x v="1"/>
    <s v="Mindanao"/>
    <n v="19.579999999999998"/>
  </r>
  <r>
    <n v="202102"/>
    <x v="13"/>
    <n v="2021"/>
    <s v=" February "/>
    <x v="17"/>
    <x v="1"/>
    <s v="Mindanao"/>
    <n v="17.72"/>
  </r>
  <r>
    <n v="202103"/>
    <x v="14"/>
    <n v="2021"/>
    <s v=" March "/>
    <x v="17"/>
    <x v="1"/>
    <s v="Mindanao"/>
    <n v="16.27"/>
  </r>
  <r>
    <n v="202104"/>
    <x v="15"/>
    <n v="2021"/>
    <s v=" April "/>
    <x v="17"/>
    <x v="1"/>
    <s v="Mindanao"/>
    <n v="34.85"/>
  </r>
  <r>
    <n v="202105"/>
    <x v="16"/>
    <n v="2021"/>
    <s v=" May "/>
    <x v="17"/>
    <x v="1"/>
    <s v="Mindanao"/>
    <n v="26.05"/>
  </r>
  <r>
    <n v="202106"/>
    <x v="17"/>
    <n v="2021"/>
    <s v=" June "/>
    <x v="17"/>
    <x v="1"/>
    <s v="Mindanao"/>
    <n v="16.739999999999998"/>
  </r>
  <r>
    <n v="202107"/>
    <x v="18"/>
    <n v="2021"/>
    <s v=" July "/>
    <x v="17"/>
    <x v="1"/>
    <s v="Mindanao"/>
    <n v="24.91"/>
  </r>
  <r>
    <n v="202108"/>
    <x v="19"/>
    <n v="2021"/>
    <s v=" August "/>
    <x v="17"/>
    <x v="1"/>
    <s v="Mindanao"/>
    <n v="27.97"/>
  </r>
  <r>
    <n v="202109"/>
    <x v="20"/>
    <n v="2021"/>
    <s v=" September "/>
    <x v="17"/>
    <x v="1"/>
    <s v="Mindanao"/>
    <n v="21.92"/>
  </r>
  <r>
    <n v="202110"/>
    <x v="21"/>
    <n v="2021"/>
    <s v=" October "/>
    <x v="17"/>
    <x v="1"/>
    <s v="Mindanao"/>
    <n v="18.8"/>
  </r>
  <r>
    <n v="202111"/>
    <x v="22"/>
    <n v="2021"/>
    <s v=" November "/>
    <x v="17"/>
    <x v="1"/>
    <s v="Mindanao"/>
    <n v="22.12"/>
  </r>
  <r>
    <n v="202112"/>
    <x v="23"/>
    <n v="2021"/>
    <s v=" December "/>
    <x v="17"/>
    <x v="1"/>
    <s v="Mindanao"/>
    <n v="34.26"/>
  </r>
  <r>
    <n v="202201"/>
    <x v="24"/>
    <n v="2022"/>
    <s v=" January "/>
    <x v="0"/>
    <x v="0"/>
    <s v="Luzon"/>
    <n v="572.62"/>
  </r>
  <r>
    <n v="202202"/>
    <x v="25"/>
    <n v="2022"/>
    <s v=" February "/>
    <x v="0"/>
    <x v="0"/>
    <s v="Luzon"/>
    <n v="381.11"/>
  </r>
  <r>
    <n v="202203"/>
    <x v="26"/>
    <n v="2022"/>
    <s v=" March "/>
    <x v="0"/>
    <x v="0"/>
    <s v="Luzon"/>
    <n v="468.2"/>
  </r>
  <r>
    <n v="202204"/>
    <x v="27"/>
    <n v="2022"/>
    <s v=" April "/>
    <x v="0"/>
    <x v="0"/>
    <s v="Luzon"/>
    <n v="657.71"/>
  </r>
  <r>
    <n v="202205"/>
    <x v="28"/>
    <n v="2022"/>
    <s v=" May "/>
    <x v="0"/>
    <x v="0"/>
    <s v="Luzon"/>
    <n v="548.20000000000005"/>
  </r>
  <r>
    <n v="202206"/>
    <x v="29"/>
    <n v="2022"/>
    <s v=" June "/>
    <x v="0"/>
    <x v="0"/>
    <s v="Luzon"/>
    <n v="516.19000000000005"/>
  </r>
  <r>
    <n v="202207"/>
    <x v="30"/>
    <n v="2022"/>
    <s v=" July "/>
    <x v="0"/>
    <x v="0"/>
    <s v="Luzon"/>
    <n v="469.24"/>
  </r>
  <r>
    <n v="202208"/>
    <x v="31"/>
    <n v="2022"/>
    <s v=" August "/>
    <x v="0"/>
    <x v="0"/>
    <s v="Luzon"/>
    <n v="489.71"/>
  </r>
  <r>
    <n v="202209"/>
    <x v="32"/>
    <n v="2022"/>
    <s v=" September "/>
    <x v="0"/>
    <x v="0"/>
    <s v="Luzon"/>
    <n v="501.29"/>
  </r>
  <r>
    <n v="202210"/>
    <x v="33"/>
    <n v="2022"/>
    <s v=" October "/>
    <x v="0"/>
    <x v="0"/>
    <s v="Luzon"/>
    <n v="562.79"/>
  </r>
  <r>
    <n v="202211"/>
    <x v="34"/>
    <n v="2022"/>
    <s v=" November "/>
    <x v="0"/>
    <x v="0"/>
    <s v="Luzon"/>
    <n v="580.29"/>
  </r>
  <r>
    <n v="202212"/>
    <x v="35"/>
    <n v="2022"/>
    <s v=" December "/>
    <x v="0"/>
    <x v="0"/>
    <s v="Luzon"/>
    <n v="456.87"/>
  </r>
  <r>
    <n v="202201"/>
    <x v="24"/>
    <n v="2022"/>
    <s v=" January "/>
    <x v="0"/>
    <x v="0"/>
    <s v="Luzon"/>
    <n v="515.88"/>
  </r>
  <r>
    <n v="202202"/>
    <x v="25"/>
    <n v="2022"/>
    <s v=" February "/>
    <x v="0"/>
    <x v="0"/>
    <s v="Luzon"/>
    <n v="411.98"/>
  </r>
  <r>
    <n v="202203"/>
    <x v="26"/>
    <n v="2022"/>
    <s v=" March "/>
    <x v="0"/>
    <x v="0"/>
    <s v="Luzon"/>
    <n v="585.65"/>
  </r>
  <r>
    <n v="202204"/>
    <x v="27"/>
    <n v="2022"/>
    <s v=" April "/>
    <x v="0"/>
    <x v="0"/>
    <s v="Luzon"/>
    <n v="939.62"/>
  </r>
  <r>
    <n v="202205"/>
    <x v="28"/>
    <n v="2022"/>
    <s v=" May "/>
    <x v="0"/>
    <x v="0"/>
    <s v="Luzon"/>
    <n v="846.91"/>
  </r>
  <r>
    <n v="202206"/>
    <x v="29"/>
    <n v="2022"/>
    <s v=" June "/>
    <x v="0"/>
    <x v="0"/>
    <s v="Luzon"/>
    <n v="787.95"/>
  </r>
  <r>
    <n v="202207"/>
    <x v="30"/>
    <n v="2022"/>
    <s v=" July "/>
    <x v="0"/>
    <x v="0"/>
    <s v="Luzon"/>
    <n v="528.80999999999995"/>
  </r>
  <r>
    <n v="202208"/>
    <x v="31"/>
    <n v="2022"/>
    <s v=" August "/>
    <x v="0"/>
    <x v="0"/>
    <s v="Luzon"/>
    <n v="660.87"/>
  </r>
  <r>
    <n v="202209"/>
    <x v="32"/>
    <n v="2022"/>
    <s v=" September "/>
    <x v="0"/>
    <x v="0"/>
    <s v="Luzon"/>
    <n v="526.79999999999995"/>
  </r>
  <r>
    <n v="202210"/>
    <x v="33"/>
    <n v="2022"/>
    <s v=" October "/>
    <x v="0"/>
    <x v="0"/>
    <s v="Luzon"/>
    <n v="507.29"/>
  </r>
  <r>
    <n v="202211"/>
    <x v="34"/>
    <n v="2022"/>
    <s v=" November "/>
    <x v="0"/>
    <x v="0"/>
    <s v="Luzon"/>
    <n v="661.07"/>
  </r>
  <r>
    <n v="202212"/>
    <x v="35"/>
    <n v="2022"/>
    <s v=" December "/>
    <x v="0"/>
    <x v="0"/>
    <s v="Luzon"/>
    <n v="546.53"/>
  </r>
  <r>
    <n v="202201"/>
    <x v="24"/>
    <n v="2022"/>
    <s v=" January "/>
    <x v="0"/>
    <x v="0"/>
    <s v="Luzon"/>
    <n v="10455.5"/>
  </r>
  <r>
    <n v="202202"/>
    <x v="25"/>
    <n v="2022"/>
    <s v=" February "/>
    <x v="0"/>
    <x v="0"/>
    <s v="Luzon"/>
    <n v="7555.99"/>
  </r>
  <r>
    <n v="202203"/>
    <x v="26"/>
    <n v="2022"/>
    <s v=" March "/>
    <x v="0"/>
    <x v="0"/>
    <s v="Luzon"/>
    <n v="8109.02"/>
  </r>
  <r>
    <n v="202204"/>
    <x v="27"/>
    <n v="2022"/>
    <s v=" April "/>
    <x v="0"/>
    <x v="0"/>
    <s v="Luzon"/>
    <n v="14260.52"/>
  </r>
  <r>
    <n v="202205"/>
    <x v="28"/>
    <n v="2022"/>
    <s v=" May "/>
    <x v="0"/>
    <x v="0"/>
    <s v="Luzon"/>
    <n v="13998.1"/>
  </r>
  <r>
    <n v="202206"/>
    <x v="29"/>
    <n v="2022"/>
    <s v=" June "/>
    <x v="0"/>
    <x v="0"/>
    <s v="Luzon"/>
    <n v="10858.31"/>
  </r>
  <r>
    <n v="202207"/>
    <x v="30"/>
    <n v="2022"/>
    <s v=" July "/>
    <x v="0"/>
    <x v="0"/>
    <s v="Luzon"/>
    <n v="10030.84"/>
  </r>
  <r>
    <n v="202208"/>
    <x v="31"/>
    <n v="2022"/>
    <s v=" August "/>
    <x v="0"/>
    <x v="0"/>
    <s v="Luzon"/>
    <n v="12029.45"/>
  </r>
  <r>
    <n v="202209"/>
    <x v="32"/>
    <n v="2022"/>
    <s v=" September "/>
    <x v="0"/>
    <x v="0"/>
    <s v="Luzon"/>
    <n v="10294.42"/>
  </r>
  <r>
    <n v="202210"/>
    <x v="33"/>
    <n v="2022"/>
    <s v=" October "/>
    <x v="0"/>
    <x v="0"/>
    <s v="Luzon"/>
    <n v="9332.5499999999993"/>
  </r>
  <r>
    <n v="202211"/>
    <x v="34"/>
    <n v="2022"/>
    <s v=" November "/>
    <x v="0"/>
    <x v="0"/>
    <s v="Luzon"/>
    <n v="12983.42"/>
  </r>
  <r>
    <n v="202212"/>
    <x v="35"/>
    <n v="2022"/>
    <s v=" December "/>
    <x v="0"/>
    <x v="0"/>
    <s v="Luzon"/>
    <n v="9633.4500000000007"/>
  </r>
  <r>
    <n v="202201"/>
    <x v="24"/>
    <n v="2022"/>
    <s v=" January "/>
    <x v="0"/>
    <x v="0"/>
    <s v="Luzon"/>
    <n v="352.35"/>
  </r>
  <r>
    <n v="202202"/>
    <x v="25"/>
    <n v="2022"/>
    <s v=" February "/>
    <x v="0"/>
    <x v="0"/>
    <s v="Luzon"/>
    <n v="228.76"/>
  </r>
  <r>
    <n v="202203"/>
    <x v="26"/>
    <n v="2022"/>
    <s v=" March "/>
    <x v="0"/>
    <x v="0"/>
    <s v="Luzon"/>
    <n v="283.52"/>
  </r>
  <r>
    <n v="202204"/>
    <x v="27"/>
    <n v="2022"/>
    <s v=" April "/>
    <x v="0"/>
    <x v="0"/>
    <s v="Luzon"/>
    <n v="446.56"/>
  </r>
  <r>
    <n v="202205"/>
    <x v="28"/>
    <n v="2022"/>
    <s v=" May "/>
    <x v="0"/>
    <x v="0"/>
    <s v="Luzon"/>
    <n v="324.32"/>
  </r>
  <r>
    <n v="202206"/>
    <x v="29"/>
    <n v="2022"/>
    <s v=" June "/>
    <x v="0"/>
    <x v="0"/>
    <s v="Luzon"/>
    <n v="309.27999999999997"/>
  </r>
  <r>
    <n v="202207"/>
    <x v="30"/>
    <n v="2022"/>
    <s v=" July "/>
    <x v="0"/>
    <x v="0"/>
    <s v="Luzon"/>
    <n v="281.97000000000003"/>
  </r>
  <r>
    <n v="202208"/>
    <x v="31"/>
    <n v="2022"/>
    <s v=" August "/>
    <x v="0"/>
    <x v="0"/>
    <s v="Luzon"/>
    <n v="290.5"/>
  </r>
  <r>
    <n v="202209"/>
    <x v="32"/>
    <n v="2022"/>
    <s v=" September "/>
    <x v="0"/>
    <x v="0"/>
    <s v="Luzon"/>
    <n v="265.47000000000003"/>
  </r>
  <r>
    <n v="202210"/>
    <x v="33"/>
    <n v="2022"/>
    <s v=" October "/>
    <x v="0"/>
    <x v="0"/>
    <s v="Luzon"/>
    <n v="304.23"/>
  </r>
  <r>
    <n v="202211"/>
    <x v="34"/>
    <n v="2022"/>
    <s v=" November "/>
    <x v="0"/>
    <x v="0"/>
    <s v="Luzon"/>
    <n v="358.4"/>
  </r>
  <r>
    <n v="202212"/>
    <x v="35"/>
    <n v="2022"/>
    <s v=" December "/>
    <x v="0"/>
    <x v="0"/>
    <s v="Luzon"/>
    <n v="296.74"/>
  </r>
  <r>
    <n v="202201"/>
    <x v="24"/>
    <n v="2022"/>
    <s v=" January "/>
    <x v="0"/>
    <x v="0"/>
    <s v="Luzon"/>
    <n v="2500.14"/>
  </r>
  <r>
    <n v="202202"/>
    <x v="25"/>
    <n v="2022"/>
    <s v=" February "/>
    <x v="0"/>
    <x v="0"/>
    <s v="Luzon"/>
    <n v="1460.01"/>
  </r>
  <r>
    <n v="202203"/>
    <x v="26"/>
    <n v="2022"/>
    <s v=" March "/>
    <x v="0"/>
    <x v="0"/>
    <s v="Luzon"/>
    <n v="1707"/>
  </r>
  <r>
    <n v="202204"/>
    <x v="27"/>
    <n v="2022"/>
    <s v=" April "/>
    <x v="0"/>
    <x v="0"/>
    <s v="Luzon"/>
    <n v="2711.97"/>
  </r>
  <r>
    <n v="202205"/>
    <x v="28"/>
    <n v="2022"/>
    <s v=" May "/>
    <x v="0"/>
    <x v="0"/>
    <s v="Luzon"/>
    <n v="3154.08"/>
  </r>
  <r>
    <n v="202206"/>
    <x v="29"/>
    <n v="2022"/>
    <s v=" June "/>
    <x v="0"/>
    <x v="0"/>
    <s v="Luzon"/>
    <n v="1943.63"/>
  </r>
  <r>
    <n v="202207"/>
    <x v="30"/>
    <n v="2022"/>
    <s v=" July "/>
    <x v="0"/>
    <x v="0"/>
    <s v="Luzon"/>
    <n v="1844.74"/>
  </r>
  <r>
    <n v="202208"/>
    <x v="31"/>
    <n v="2022"/>
    <s v=" August "/>
    <x v="0"/>
    <x v="0"/>
    <s v="Luzon"/>
    <n v="2352.5700000000002"/>
  </r>
  <r>
    <n v="202209"/>
    <x v="32"/>
    <n v="2022"/>
    <s v=" September "/>
    <x v="0"/>
    <x v="0"/>
    <s v="Luzon"/>
    <n v="1766.22"/>
  </r>
  <r>
    <n v="202210"/>
    <x v="33"/>
    <n v="2022"/>
    <s v=" October "/>
    <x v="0"/>
    <x v="0"/>
    <s v="Luzon"/>
    <n v="2177.4299999999998"/>
  </r>
  <r>
    <n v="202211"/>
    <x v="34"/>
    <n v="2022"/>
    <s v=" November "/>
    <x v="0"/>
    <x v="0"/>
    <s v="Luzon"/>
    <n v="2409.65"/>
  </r>
  <r>
    <n v="202212"/>
    <x v="35"/>
    <n v="2022"/>
    <s v=" December "/>
    <x v="0"/>
    <x v="0"/>
    <s v="Luzon"/>
    <n v="1915.92"/>
  </r>
  <r>
    <n v="202201"/>
    <x v="24"/>
    <n v="2022"/>
    <s v=" January "/>
    <x v="0"/>
    <x v="0"/>
    <s v="Luzon"/>
    <n v="4775.1099999999997"/>
  </r>
  <r>
    <n v="202202"/>
    <x v="25"/>
    <n v="2022"/>
    <s v=" February "/>
    <x v="0"/>
    <x v="0"/>
    <s v="Luzon"/>
    <n v="3074.99"/>
  </r>
  <r>
    <n v="202203"/>
    <x v="26"/>
    <n v="2022"/>
    <s v=" March "/>
    <x v="0"/>
    <x v="0"/>
    <s v="Luzon"/>
    <n v="3687.9"/>
  </r>
  <r>
    <n v="202204"/>
    <x v="27"/>
    <n v="2022"/>
    <s v=" April "/>
    <x v="0"/>
    <x v="0"/>
    <s v="Luzon"/>
    <n v="5145.32"/>
  </r>
  <r>
    <n v="202205"/>
    <x v="28"/>
    <n v="2022"/>
    <s v=" May "/>
    <x v="0"/>
    <x v="0"/>
    <s v="Luzon"/>
    <n v="4809.92"/>
  </r>
  <r>
    <n v="202206"/>
    <x v="29"/>
    <n v="2022"/>
    <s v=" June "/>
    <x v="0"/>
    <x v="0"/>
    <s v="Luzon"/>
    <n v="4270.3599999999997"/>
  </r>
  <r>
    <n v="202207"/>
    <x v="30"/>
    <n v="2022"/>
    <s v=" July "/>
    <x v="0"/>
    <x v="0"/>
    <s v="Luzon"/>
    <n v="5198.32"/>
  </r>
  <r>
    <n v="202208"/>
    <x v="31"/>
    <n v="2022"/>
    <s v=" August "/>
    <x v="0"/>
    <x v="0"/>
    <s v="Luzon"/>
    <n v="5495.78"/>
  </r>
  <r>
    <n v="202209"/>
    <x v="32"/>
    <n v="2022"/>
    <s v=" September "/>
    <x v="0"/>
    <x v="0"/>
    <s v="Luzon"/>
    <n v="3283.87"/>
  </r>
  <r>
    <n v="202210"/>
    <x v="33"/>
    <n v="2022"/>
    <s v=" October "/>
    <x v="0"/>
    <x v="0"/>
    <s v="Luzon"/>
    <n v="3856.66"/>
  </r>
  <r>
    <n v="202211"/>
    <x v="34"/>
    <n v="2022"/>
    <s v=" November "/>
    <x v="0"/>
    <x v="0"/>
    <s v="Luzon"/>
    <n v="4675.5"/>
  </r>
  <r>
    <n v="202212"/>
    <x v="35"/>
    <n v="2022"/>
    <s v=" December "/>
    <x v="0"/>
    <x v="0"/>
    <s v="Luzon"/>
    <n v="4278.01"/>
  </r>
  <r>
    <n v="202201"/>
    <x v="24"/>
    <n v="2022"/>
    <s v=" January "/>
    <x v="0"/>
    <x v="0"/>
    <s v="Luzon"/>
    <n v="619.04"/>
  </r>
  <r>
    <n v="202202"/>
    <x v="25"/>
    <n v="2022"/>
    <s v=" February "/>
    <x v="0"/>
    <x v="0"/>
    <s v="Luzon"/>
    <n v="572.82000000000005"/>
  </r>
  <r>
    <n v="202203"/>
    <x v="26"/>
    <n v="2022"/>
    <s v=" March "/>
    <x v="0"/>
    <x v="0"/>
    <s v="Luzon"/>
    <n v="598.80999999999995"/>
  </r>
  <r>
    <n v="202204"/>
    <x v="27"/>
    <n v="2022"/>
    <s v=" April "/>
    <x v="0"/>
    <x v="0"/>
    <s v="Luzon"/>
    <n v="1019.94"/>
  </r>
  <r>
    <n v="202205"/>
    <x v="28"/>
    <n v="2022"/>
    <s v=" May "/>
    <x v="0"/>
    <x v="0"/>
    <s v="Luzon"/>
    <n v="789.85"/>
  </r>
  <r>
    <n v="202206"/>
    <x v="29"/>
    <n v="2022"/>
    <s v=" June "/>
    <x v="0"/>
    <x v="0"/>
    <s v="Luzon"/>
    <n v="687.87"/>
  </r>
  <r>
    <n v="202207"/>
    <x v="30"/>
    <n v="2022"/>
    <s v=" July "/>
    <x v="0"/>
    <x v="0"/>
    <s v="Luzon"/>
    <n v="637.23"/>
  </r>
  <r>
    <n v="202208"/>
    <x v="31"/>
    <n v="2022"/>
    <s v=" August "/>
    <x v="0"/>
    <x v="0"/>
    <s v="Luzon"/>
    <n v="703.69"/>
  </r>
  <r>
    <n v="202209"/>
    <x v="32"/>
    <n v="2022"/>
    <s v=" September "/>
    <x v="0"/>
    <x v="0"/>
    <s v="Luzon"/>
    <n v="611.54"/>
  </r>
  <r>
    <n v="202210"/>
    <x v="33"/>
    <n v="2022"/>
    <s v=" October "/>
    <x v="0"/>
    <x v="0"/>
    <s v="Luzon"/>
    <n v="644.62"/>
  </r>
  <r>
    <n v="202211"/>
    <x v="34"/>
    <n v="2022"/>
    <s v=" November "/>
    <x v="0"/>
    <x v="0"/>
    <s v="Luzon"/>
    <n v="897.61"/>
  </r>
  <r>
    <n v="202212"/>
    <x v="35"/>
    <n v="2022"/>
    <s v=" December "/>
    <x v="0"/>
    <x v="0"/>
    <s v="Luzon"/>
    <n v="679.67"/>
  </r>
  <r>
    <n v="202201"/>
    <x v="24"/>
    <n v="2022"/>
    <s v=" January "/>
    <x v="0"/>
    <x v="0"/>
    <s v="Luzon"/>
    <n v="1217.57"/>
  </r>
  <r>
    <n v="202202"/>
    <x v="25"/>
    <n v="2022"/>
    <s v=" February "/>
    <x v="0"/>
    <x v="0"/>
    <s v="Luzon"/>
    <n v="899.86"/>
  </r>
  <r>
    <n v="202203"/>
    <x v="26"/>
    <n v="2022"/>
    <s v=" March "/>
    <x v="0"/>
    <x v="0"/>
    <s v="Luzon"/>
    <n v="1088.1400000000001"/>
  </r>
  <r>
    <n v="202204"/>
    <x v="27"/>
    <n v="2022"/>
    <s v=" April "/>
    <x v="0"/>
    <x v="0"/>
    <s v="Luzon"/>
    <n v="1682.83"/>
  </r>
  <r>
    <n v="202205"/>
    <x v="28"/>
    <n v="2022"/>
    <s v=" May "/>
    <x v="0"/>
    <x v="0"/>
    <s v="Luzon"/>
    <n v="1288.97"/>
  </r>
  <r>
    <n v="202206"/>
    <x v="29"/>
    <n v="2022"/>
    <s v=" June "/>
    <x v="0"/>
    <x v="0"/>
    <s v="Luzon"/>
    <n v="1198.26"/>
  </r>
  <r>
    <n v="202207"/>
    <x v="30"/>
    <n v="2022"/>
    <s v=" July "/>
    <x v="0"/>
    <x v="0"/>
    <s v="Luzon"/>
    <n v="1155.8900000000001"/>
  </r>
  <r>
    <n v="202208"/>
    <x v="31"/>
    <n v="2022"/>
    <s v=" August "/>
    <x v="0"/>
    <x v="0"/>
    <s v="Luzon"/>
    <n v="1487.61"/>
  </r>
  <r>
    <n v="202209"/>
    <x v="32"/>
    <n v="2022"/>
    <s v=" September "/>
    <x v="0"/>
    <x v="0"/>
    <s v="Luzon"/>
    <n v="1228.72"/>
  </r>
  <r>
    <n v="202210"/>
    <x v="33"/>
    <n v="2022"/>
    <s v=" October "/>
    <x v="0"/>
    <x v="0"/>
    <s v="Luzon"/>
    <n v="1146.1300000000001"/>
  </r>
  <r>
    <n v="202211"/>
    <x v="34"/>
    <n v="2022"/>
    <s v=" November "/>
    <x v="0"/>
    <x v="0"/>
    <s v="Luzon"/>
    <n v="1591.18"/>
  </r>
  <r>
    <n v="202212"/>
    <x v="35"/>
    <n v="2022"/>
    <s v=" December "/>
    <x v="0"/>
    <x v="0"/>
    <s v="Luzon"/>
    <n v="1199.5999999999999"/>
  </r>
  <r>
    <n v="202201"/>
    <x v="24"/>
    <n v="2022"/>
    <s v=" January "/>
    <x v="0"/>
    <x v="0"/>
    <s v="Luzon"/>
    <n v="2102.9499999999998"/>
  </r>
  <r>
    <n v="202202"/>
    <x v="25"/>
    <n v="2022"/>
    <s v=" February "/>
    <x v="0"/>
    <x v="0"/>
    <s v="Luzon"/>
    <n v="1048.8800000000001"/>
  </r>
  <r>
    <n v="202203"/>
    <x v="26"/>
    <n v="2022"/>
    <s v=" March "/>
    <x v="0"/>
    <x v="0"/>
    <s v="Luzon"/>
    <n v="1163.1600000000001"/>
  </r>
  <r>
    <n v="202204"/>
    <x v="27"/>
    <n v="2022"/>
    <s v=" April "/>
    <x v="0"/>
    <x v="0"/>
    <s v="Luzon"/>
    <n v="1824.1"/>
  </r>
  <r>
    <n v="202205"/>
    <x v="28"/>
    <n v="2022"/>
    <s v=" May "/>
    <x v="0"/>
    <x v="0"/>
    <s v="Luzon"/>
    <n v="1433.16"/>
  </r>
  <r>
    <n v="202206"/>
    <x v="29"/>
    <n v="2022"/>
    <s v=" June "/>
    <x v="0"/>
    <x v="0"/>
    <s v="Luzon"/>
    <n v="1163.6300000000001"/>
  </r>
  <r>
    <n v="202207"/>
    <x v="30"/>
    <n v="2022"/>
    <s v=" July "/>
    <x v="0"/>
    <x v="0"/>
    <s v="Luzon"/>
    <n v="1564.5"/>
  </r>
  <r>
    <n v="202208"/>
    <x v="31"/>
    <n v="2022"/>
    <s v=" August "/>
    <x v="0"/>
    <x v="0"/>
    <s v="Luzon"/>
    <n v="1629.5"/>
  </r>
  <r>
    <n v="202209"/>
    <x v="32"/>
    <n v="2022"/>
    <s v=" September "/>
    <x v="0"/>
    <x v="0"/>
    <s v="Luzon"/>
    <n v="1264.6600000000001"/>
  </r>
  <r>
    <n v="202210"/>
    <x v="33"/>
    <n v="2022"/>
    <s v=" October "/>
    <x v="0"/>
    <x v="0"/>
    <s v="Luzon"/>
    <n v="1538.32"/>
  </r>
  <r>
    <n v="202211"/>
    <x v="34"/>
    <n v="2022"/>
    <s v=" November "/>
    <x v="0"/>
    <x v="0"/>
    <s v="Luzon"/>
    <n v="1726.92"/>
  </r>
  <r>
    <n v="202212"/>
    <x v="35"/>
    <n v="2022"/>
    <s v=" December "/>
    <x v="0"/>
    <x v="0"/>
    <s v="Luzon"/>
    <n v="1582.47"/>
  </r>
  <r>
    <n v="202201"/>
    <x v="24"/>
    <n v="2022"/>
    <s v=" January "/>
    <x v="0"/>
    <x v="0"/>
    <s v="Luzon"/>
    <n v="2717.7"/>
  </r>
  <r>
    <n v="202202"/>
    <x v="25"/>
    <n v="2022"/>
    <s v=" February "/>
    <x v="0"/>
    <x v="0"/>
    <s v="Luzon"/>
    <n v="1207.1199999999999"/>
  </r>
  <r>
    <n v="202203"/>
    <x v="26"/>
    <n v="2022"/>
    <s v=" March "/>
    <x v="0"/>
    <x v="0"/>
    <s v="Luzon"/>
    <n v="2078.14"/>
  </r>
  <r>
    <n v="202204"/>
    <x v="27"/>
    <n v="2022"/>
    <s v=" April "/>
    <x v="0"/>
    <x v="0"/>
    <s v="Luzon"/>
    <n v="2427.0100000000002"/>
  </r>
  <r>
    <n v="202205"/>
    <x v="28"/>
    <n v="2022"/>
    <s v=" May "/>
    <x v="0"/>
    <x v="0"/>
    <s v="Luzon"/>
    <n v="2024.99"/>
  </r>
  <r>
    <n v="202206"/>
    <x v="29"/>
    <n v="2022"/>
    <s v=" June "/>
    <x v="0"/>
    <x v="0"/>
    <s v="Luzon"/>
    <n v="1691.92"/>
  </r>
  <r>
    <n v="202207"/>
    <x v="30"/>
    <n v="2022"/>
    <s v=" July "/>
    <x v="0"/>
    <x v="0"/>
    <s v="Luzon"/>
    <n v="2621.83"/>
  </r>
  <r>
    <n v="202208"/>
    <x v="31"/>
    <n v="2022"/>
    <s v=" August "/>
    <x v="0"/>
    <x v="0"/>
    <s v="Luzon"/>
    <n v="2460.0300000000002"/>
  </r>
  <r>
    <n v="202209"/>
    <x v="32"/>
    <n v="2022"/>
    <s v=" September "/>
    <x v="0"/>
    <x v="0"/>
    <s v="Luzon"/>
    <n v="1575.21"/>
  </r>
  <r>
    <n v="202210"/>
    <x v="33"/>
    <n v="2022"/>
    <s v=" October "/>
    <x v="0"/>
    <x v="0"/>
    <s v="Luzon"/>
    <n v="1755.35"/>
  </r>
  <r>
    <n v="202211"/>
    <x v="34"/>
    <n v="2022"/>
    <s v=" November "/>
    <x v="0"/>
    <x v="0"/>
    <s v="Luzon"/>
    <n v="2345.11"/>
  </r>
  <r>
    <n v="202212"/>
    <x v="35"/>
    <n v="2022"/>
    <s v=" December "/>
    <x v="0"/>
    <x v="0"/>
    <s v="Luzon"/>
    <n v="1778.8"/>
  </r>
  <r>
    <n v="202201"/>
    <x v="24"/>
    <n v="2022"/>
    <s v=" January "/>
    <x v="0"/>
    <x v="0"/>
    <s v="Luzon"/>
    <n v="4382.25"/>
  </r>
  <r>
    <n v="202202"/>
    <x v="25"/>
    <n v="2022"/>
    <s v=" February "/>
    <x v="0"/>
    <x v="0"/>
    <s v="Luzon"/>
    <n v="2919.8"/>
  </r>
  <r>
    <n v="202203"/>
    <x v="26"/>
    <n v="2022"/>
    <s v=" March "/>
    <x v="0"/>
    <x v="0"/>
    <s v="Luzon"/>
    <n v="3307.82"/>
  </r>
  <r>
    <n v="202204"/>
    <x v="27"/>
    <n v="2022"/>
    <s v=" April "/>
    <x v="0"/>
    <x v="0"/>
    <s v="Luzon"/>
    <n v="5233.3"/>
  </r>
  <r>
    <n v="202205"/>
    <x v="28"/>
    <n v="2022"/>
    <s v=" May "/>
    <x v="0"/>
    <x v="0"/>
    <s v="Luzon"/>
    <n v="4798.08"/>
  </r>
  <r>
    <n v="202206"/>
    <x v="29"/>
    <n v="2022"/>
    <s v=" June "/>
    <x v="0"/>
    <x v="0"/>
    <s v="Luzon"/>
    <n v="3711.85"/>
  </r>
  <r>
    <n v="202207"/>
    <x v="30"/>
    <n v="2022"/>
    <s v=" July "/>
    <x v="0"/>
    <x v="0"/>
    <s v="Luzon"/>
    <n v="3863.47"/>
  </r>
  <r>
    <n v="202208"/>
    <x v="31"/>
    <n v="2022"/>
    <s v=" August "/>
    <x v="0"/>
    <x v="0"/>
    <s v="Luzon"/>
    <n v="4664.99"/>
  </r>
  <r>
    <n v="202209"/>
    <x v="32"/>
    <n v="2022"/>
    <s v=" September "/>
    <x v="0"/>
    <x v="0"/>
    <s v="Luzon"/>
    <n v="2974.91"/>
  </r>
  <r>
    <n v="202210"/>
    <x v="33"/>
    <n v="2022"/>
    <s v=" October "/>
    <x v="0"/>
    <x v="0"/>
    <s v="Luzon"/>
    <n v="4130.16"/>
  </r>
  <r>
    <n v="202211"/>
    <x v="34"/>
    <n v="2022"/>
    <s v=" November "/>
    <x v="0"/>
    <x v="0"/>
    <s v="Luzon"/>
    <n v="4601.97"/>
  </r>
  <r>
    <n v="202212"/>
    <x v="35"/>
    <n v="2022"/>
    <s v=" December "/>
    <x v="0"/>
    <x v="0"/>
    <s v="Luzon"/>
    <n v="3664.96"/>
  </r>
  <r>
    <n v="202201"/>
    <x v="24"/>
    <n v="2022"/>
    <s v=" January "/>
    <x v="0"/>
    <x v="0"/>
    <s v="Luzon"/>
    <n v="7459.51"/>
  </r>
  <r>
    <n v="202202"/>
    <x v="25"/>
    <n v="2022"/>
    <s v=" February "/>
    <x v="0"/>
    <x v="0"/>
    <s v="Luzon"/>
    <n v="6044.39"/>
  </r>
  <r>
    <n v="202203"/>
    <x v="26"/>
    <n v="2022"/>
    <s v=" March "/>
    <x v="0"/>
    <x v="0"/>
    <s v="Luzon"/>
    <n v="6352.57"/>
  </r>
  <r>
    <n v="202204"/>
    <x v="27"/>
    <n v="2022"/>
    <s v=" April "/>
    <x v="0"/>
    <x v="0"/>
    <s v="Luzon"/>
    <n v="10213.31"/>
  </r>
  <r>
    <n v="202205"/>
    <x v="28"/>
    <n v="2022"/>
    <s v=" May "/>
    <x v="0"/>
    <x v="0"/>
    <s v="Luzon"/>
    <n v="7869.82"/>
  </r>
  <r>
    <n v="202206"/>
    <x v="29"/>
    <n v="2022"/>
    <s v=" June "/>
    <x v="0"/>
    <x v="0"/>
    <s v="Luzon"/>
    <n v="6888.73"/>
  </r>
  <r>
    <n v="202207"/>
    <x v="30"/>
    <n v="2022"/>
    <s v=" July "/>
    <x v="0"/>
    <x v="0"/>
    <s v="Luzon"/>
    <n v="6458.15"/>
  </r>
  <r>
    <n v="202208"/>
    <x v="31"/>
    <n v="2022"/>
    <s v=" August "/>
    <x v="0"/>
    <x v="0"/>
    <s v="Luzon"/>
    <n v="8054.3"/>
  </r>
  <r>
    <n v="202209"/>
    <x v="32"/>
    <n v="2022"/>
    <s v=" September "/>
    <x v="0"/>
    <x v="0"/>
    <s v="Luzon"/>
    <n v="6346.67"/>
  </r>
  <r>
    <n v="202210"/>
    <x v="33"/>
    <n v="2022"/>
    <s v=" October "/>
    <x v="0"/>
    <x v="0"/>
    <s v="Luzon"/>
    <n v="7091.39"/>
  </r>
  <r>
    <n v="202211"/>
    <x v="34"/>
    <n v="2022"/>
    <s v=" November "/>
    <x v="0"/>
    <x v="0"/>
    <s v="Luzon"/>
    <n v="8161.33"/>
  </r>
  <r>
    <n v="202212"/>
    <x v="35"/>
    <n v="2022"/>
    <s v=" December "/>
    <x v="0"/>
    <x v="0"/>
    <s v="Luzon"/>
    <n v="6714.56"/>
  </r>
  <r>
    <n v="202201"/>
    <x v="24"/>
    <n v="2022"/>
    <s v=" January "/>
    <x v="0"/>
    <x v="0"/>
    <s v="Luzon"/>
    <n v="581.76"/>
  </r>
  <r>
    <n v="202202"/>
    <x v="25"/>
    <n v="2022"/>
    <s v=" February "/>
    <x v="0"/>
    <x v="0"/>
    <s v="Luzon"/>
    <n v="409.43"/>
  </r>
  <r>
    <n v="202203"/>
    <x v="26"/>
    <n v="2022"/>
    <s v=" March "/>
    <x v="0"/>
    <x v="0"/>
    <s v="Luzon"/>
    <n v="471.34"/>
  </r>
  <r>
    <n v="202204"/>
    <x v="27"/>
    <n v="2022"/>
    <s v=" April "/>
    <x v="0"/>
    <x v="0"/>
    <s v="Luzon"/>
    <n v="715.52"/>
  </r>
  <r>
    <n v="202205"/>
    <x v="28"/>
    <n v="2022"/>
    <s v=" May "/>
    <x v="0"/>
    <x v="0"/>
    <s v="Luzon"/>
    <n v="622.35"/>
  </r>
  <r>
    <n v="202206"/>
    <x v="29"/>
    <n v="2022"/>
    <s v=" June "/>
    <x v="0"/>
    <x v="0"/>
    <s v="Luzon"/>
    <n v="553.92999999999995"/>
  </r>
  <r>
    <n v="202207"/>
    <x v="30"/>
    <n v="2022"/>
    <s v=" July "/>
    <x v="0"/>
    <x v="0"/>
    <s v="Luzon"/>
    <n v="473.57"/>
  </r>
  <r>
    <n v="202208"/>
    <x v="31"/>
    <n v="2022"/>
    <s v=" August "/>
    <x v="0"/>
    <x v="0"/>
    <s v="Luzon"/>
    <n v="548.83000000000004"/>
  </r>
  <r>
    <n v="202209"/>
    <x v="32"/>
    <n v="2022"/>
    <s v=" September "/>
    <x v="0"/>
    <x v="0"/>
    <s v="Luzon"/>
    <n v="491.14"/>
  </r>
  <r>
    <n v="202210"/>
    <x v="33"/>
    <n v="2022"/>
    <s v=" October "/>
    <x v="0"/>
    <x v="0"/>
    <s v="Luzon"/>
    <n v="472.4"/>
  </r>
  <r>
    <n v="202211"/>
    <x v="34"/>
    <n v="2022"/>
    <s v=" November "/>
    <x v="0"/>
    <x v="0"/>
    <s v="Luzon"/>
    <n v="668.82"/>
  </r>
  <r>
    <n v="202212"/>
    <x v="35"/>
    <n v="2022"/>
    <s v=" December "/>
    <x v="0"/>
    <x v="0"/>
    <s v="Luzon"/>
    <n v="574.38"/>
  </r>
  <r>
    <n v="202201"/>
    <x v="24"/>
    <n v="2022"/>
    <s v=" January "/>
    <x v="0"/>
    <x v="0"/>
    <s v="Luzon"/>
    <n v="7271.85"/>
  </r>
  <r>
    <n v="202202"/>
    <x v="25"/>
    <n v="2022"/>
    <s v=" February "/>
    <x v="0"/>
    <x v="0"/>
    <s v="Luzon"/>
    <n v="5666.24"/>
  </r>
  <r>
    <n v="202203"/>
    <x v="26"/>
    <n v="2022"/>
    <s v=" March "/>
    <x v="0"/>
    <x v="0"/>
    <s v="Luzon"/>
    <n v="5059.8900000000003"/>
  </r>
  <r>
    <n v="202204"/>
    <x v="27"/>
    <n v="2022"/>
    <s v=" April "/>
    <x v="0"/>
    <x v="0"/>
    <s v="Luzon"/>
    <n v="8457.35"/>
  </r>
  <r>
    <n v="202205"/>
    <x v="28"/>
    <n v="2022"/>
    <s v=" May "/>
    <x v="0"/>
    <x v="0"/>
    <s v="Luzon"/>
    <n v="7182.3"/>
  </r>
  <r>
    <n v="202206"/>
    <x v="29"/>
    <n v="2022"/>
    <s v=" June "/>
    <x v="0"/>
    <x v="0"/>
    <s v="Luzon"/>
    <n v="5271.78"/>
  </r>
  <r>
    <n v="202207"/>
    <x v="30"/>
    <n v="2022"/>
    <s v=" July "/>
    <x v="0"/>
    <x v="0"/>
    <s v="Luzon"/>
    <n v="6396.14"/>
  </r>
  <r>
    <n v="202208"/>
    <x v="31"/>
    <n v="2022"/>
    <s v=" August "/>
    <x v="0"/>
    <x v="0"/>
    <s v="Luzon"/>
    <n v="7716.36"/>
  </r>
  <r>
    <n v="202209"/>
    <x v="32"/>
    <n v="2022"/>
    <s v=" September "/>
    <x v="0"/>
    <x v="0"/>
    <s v="Luzon"/>
    <n v="6321.04"/>
  </r>
  <r>
    <n v="202210"/>
    <x v="33"/>
    <n v="2022"/>
    <s v=" October "/>
    <x v="0"/>
    <x v="0"/>
    <s v="Luzon"/>
    <n v="7369.93"/>
  </r>
  <r>
    <n v="202211"/>
    <x v="34"/>
    <n v="2022"/>
    <s v=" November "/>
    <x v="0"/>
    <x v="0"/>
    <s v="Luzon"/>
    <n v="9482.08"/>
  </r>
  <r>
    <n v="202212"/>
    <x v="35"/>
    <n v="2022"/>
    <s v=" December "/>
    <x v="0"/>
    <x v="0"/>
    <s v="Luzon"/>
    <n v="7207.72"/>
  </r>
  <r>
    <n v="202201"/>
    <x v="24"/>
    <n v="2022"/>
    <s v=" January "/>
    <x v="0"/>
    <x v="0"/>
    <s v="Luzon"/>
    <n v="483.35"/>
  </r>
  <r>
    <n v="202202"/>
    <x v="25"/>
    <n v="2022"/>
    <s v=" February "/>
    <x v="0"/>
    <x v="0"/>
    <s v="Luzon"/>
    <n v="397.73"/>
  </r>
  <r>
    <n v="202203"/>
    <x v="26"/>
    <n v="2022"/>
    <s v=" March "/>
    <x v="0"/>
    <x v="0"/>
    <s v="Luzon"/>
    <n v="504.02"/>
  </r>
  <r>
    <n v="202204"/>
    <x v="27"/>
    <n v="2022"/>
    <s v=" April "/>
    <x v="0"/>
    <x v="0"/>
    <s v="Luzon"/>
    <n v="656.08"/>
  </r>
  <r>
    <n v="202205"/>
    <x v="28"/>
    <n v="2022"/>
    <s v=" May "/>
    <x v="0"/>
    <x v="0"/>
    <s v="Luzon"/>
    <n v="497.15"/>
  </r>
  <r>
    <n v="202206"/>
    <x v="29"/>
    <n v="2022"/>
    <s v=" June "/>
    <x v="0"/>
    <x v="0"/>
    <s v="Luzon"/>
    <n v="426.4"/>
  </r>
  <r>
    <n v="202207"/>
    <x v="30"/>
    <n v="2022"/>
    <s v=" July "/>
    <x v="0"/>
    <x v="0"/>
    <s v="Luzon"/>
    <n v="446.38"/>
  </r>
  <r>
    <n v="202208"/>
    <x v="31"/>
    <n v="2022"/>
    <s v=" August "/>
    <x v="0"/>
    <x v="0"/>
    <s v="Luzon"/>
    <n v="475.54"/>
  </r>
  <r>
    <n v="202209"/>
    <x v="32"/>
    <n v="2022"/>
    <s v=" September "/>
    <x v="0"/>
    <x v="0"/>
    <s v="Luzon"/>
    <n v="377.08"/>
  </r>
  <r>
    <n v="202210"/>
    <x v="33"/>
    <n v="2022"/>
    <s v=" October "/>
    <x v="0"/>
    <x v="0"/>
    <s v="Luzon"/>
    <n v="504.84"/>
  </r>
  <r>
    <n v="202211"/>
    <x v="34"/>
    <n v="2022"/>
    <s v=" November "/>
    <x v="0"/>
    <x v="0"/>
    <s v="Luzon"/>
    <n v="515.42999999999995"/>
  </r>
  <r>
    <n v="202212"/>
    <x v="35"/>
    <n v="2022"/>
    <s v=" December "/>
    <x v="0"/>
    <x v="0"/>
    <s v="Luzon"/>
    <n v="423.73"/>
  </r>
  <r>
    <n v="202201"/>
    <x v="24"/>
    <n v="2022"/>
    <s v=" January "/>
    <x v="0"/>
    <x v="0"/>
    <s v="Luzon"/>
    <n v="107803.92"/>
  </r>
  <r>
    <n v="202202"/>
    <x v="25"/>
    <n v="2022"/>
    <s v=" February "/>
    <x v="0"/>
    <x v="0"/>
    <s v="Luzon"/>
    <n v="77290.320000000007"/>
  </r>
  <r>
    <n v="202203"/>
    <x v="26"/>
    <n v="2022"/>
    <s v=" March "/>
    <x v="0"/>
    <x v="0"/>
    <s v="Luzon"/>
    <n v="100956.15"/>
  </r>
  <r>
    <n v="202204"/>
    <x v="27"/>
    <n v="2022"/>
    <s v=" April "/>
    <x v="0"/>
    <x v="0"/>
    <s v="Luzon"/>
    <n v="129561.04"/>
  </r>
  <r>
    <n v="202205"/>
    <x v="28"/>
    <n v="2022"/>
    <s v=" May "/>
    <x v="0"/>
    <x v="0"/>
    <s v="Luzon"/>
    <n v="126788.61"/>
  </r>
  <r>
    <n v="202206"/>
    <x v="29"/>
    <n v="2022"/>
    <s v=" June "/>
    <x v="0"/>
    <x v="0"/>
    <s v="Luzon"/>
    <n v="98915.42"/>
  </r>
  <r>
    <n v="202207"/>
    <x v="30"/>
    <n v="2022"/>
    <s v=" July "/>
    <x v="0"/>
    <x v="0"/>
    <s v="Luzon"/>
    <n v="117242.97"/>
  </r>
  <r>
    <n v="202208"/>
    <x v="31"/>
    <n v="2022"/>
    <s v=" August "/>
    <x v="0"/>
    <x v="0"/>
    <s v="Luzon"/>
    <n v="138000.23000000001"/>
  </r>
  <r>
    <n v="202209"/>
    <x v="32"/>
    <n v="2022"/>
    <s v=" September "/>
    <x v="0"/>
    <x v="0"/>
    <s v="Luzon"/>
    <n v="99385.3"/>
  </r>
  <r>
    <n v="202210"/>
    <x v="33"/>
    <n v="2022"/>
    <s v=" October "/>
    <x v="0"/>
    <x v="0"/>
    <s v="Luzon"/>
    <n v="109129.96"/>
  </r>
  <r>
    <n v="202211"/>
    <x v="34"/>
    <n v="2022"/>
    <s v=" November "/>
    <x v="0"/>
    <x v="0"/>
    <s v="Luzon"/>
    <n v="140201.82999999999"/>
  </r>
  <r>
    <n v="202212"/>
    <x v="35"/>
    <n v="2022"/>
    <s v=" December "/>
    <x v="0"/>
    <x v="0"/>
    <s v="Luzon"/>
    <n v="103451.23"/>
  </r>
  <r>
    <n v="202201"/>
    <x v="24"/>
    <n v="2022"/>
    <s v=" January "/>
    <x v="1"/>
    <x v="1"/>
    <s v="Luzon"/>
    <n v="61.71"/>
  </r>
  <r>
    <n v="202202"/>
    <x v="25"/>
    <n v="2022"/>
    <s v=" February "/>
    <x v="1"/>
    <x v="1"/>
    <s v="Luzon"/>
    <n v="53.68"/>
  </r>
  <r>
    <n v="202203"/>
    <x v="26"/>
    <n v="2022"/>
    <s v=" March "/>
    <x v="1"/>
    <x v="1"/>
    <s v="Luzon"/>
    <n v="53.9"/>
  </r>
  <r>
    <n v="202204"/>
    <x v="27"/>
    <n v="2022"/>
    <s v=" April "/>
    <x v="1"/>
    <x v="1"/>
    <s v="Luzon"/>
    <n v="106.63"/>
  </r>
  <r>
    <n v="202205"/>
    <x v="28"/>
    <n v="2022"/>
    <s v=" May "/>
    <x v="1"/>
    <x v="1"/>
    <s v="Luzon"/>
    <n v="58.21"/>
  </r>
  <r>
    <n v="202206"/>
    <x v="29"/>
    <n v="2022"/>
    <s v=" June "/>
    <x v="1"/>
    <x v="1"/>
    <s v="Luzon"/>
    <n v="50.99"/>
  </r>
  <r>
    <n v="202207"/>
    <x v="30"/>
    <n v="2022"/>
    <s v=" July "/>
    <x v="1"/>
    <x v="1"/>
    <s v="Luzon"/>
    <n v="55.38"/>
  </r>
  <r>
    <n v="202208"/>
    <x v="31"/>
    <n v="2022"/>
    <s v=" August "/>
    <x v="1"/>
    <x v="1"/>
    <s v="Luzon"/>
    <n v="50.68"/>
  </r>
  <r>
    <n v="202209"/>
    <x v="32"/>
    <n v="2022"/>
    <s v=" September "/>
    <x v="1"/>
    <x v="1"/>
    <s v="Luzon"/>
    <n v="67.06"/>
  </r>
  <r>
    <n v="202210"/>
    <x v="33"/>
    <n v="2022"/>
    <s v=" October "/>
    <x v="1"/>
    <x v="1"/>
    <s v="Luzon"/>
    <n v="58.09"/>
  </r>
  <r>
    <n v="202211"/>
    <x v="34"/>
    <n v="2022"/>
    <s v=" November "/>
    <x v="1"/>
    <x v="1"/>
    <s v="Luzon"/>
    <n v="72.94"/>
  </r>
  <r>
    <n v="202212"/>
    <x v="35"/>
    <n v="2022"/>
    <s v=" December "/>
    <x v="1"/>
    <x v="1"/>
    <s v="Luzon"/>
    <n v="63.53"/>
  </r>
  <r>
    <n v="202201"/>
    <x v="24"/>
    <n v="2022"/>
    <s v=" January "/>
    <x v="1"/>
    <x v="1"/>
    <s v="Luzon"/>
    <n v="102.5"/>
  </r>
  <r>
    <n v="202202"/>
    <x v="25"/>
    <n v="2022"/>
    <s v=" February "/>
    <x v="1"/>
    <x v="1"/>
    <s v="Luzon"/>
    <n v="48.54"/>
  </r>
  <r>
    <n v="202203"/>
    <x v="26"/>
    <n v="2022"/>
    <s v=" March "/>
    <x v="1"/>
    <x v="1"/>
    <s v="Luzon"/>
    <n v="54.18"/>
  </r>
  <r>
    <n v="202204"/>
    <x v="27"/>
    <n v="2022"/>
    <s v=" April "/>
    <x v="1"/>
    <x v="1"/>
    <s v="Luzon"/>
    <n v="95.12"/>
  </r>
  <r>
    <n v="202205"/>
    <x v="28"/>
    <n v="2022"/>
    <s v=" May "/>
    <x v="1"/>
    <x v="1"/>
    <s v="Luzon"/>
    <n v="76.849999999999994"/>
  </r>
  <r>
    <n v="202206"/>
    <x v="29"/>
    <n v="2022"/>
    <s v=" June "/>
    <x v="1"/>
    <x v="1"/>
    <s v="Luzon"/>
    <n v="79.59"/>
  </r>
  <r>
    <n v="202207"/>
    <x v="30"/>
    <n v="2022"/>
    <s v=" July "/>
    <x v="1"/>
    <x v="1"/>
    <s v="Luzon"/>
    <n v="70.12"/>
  </r>
  <r>
    <n v="202208"/>
    <x v="31"/>
    <n v="2022"/>
    <s v=" August "/>
    <x v="1"/>
    <x v="1"/>
    <s v="Luzon"/>
    <n v="69.61"/>
  </r>
  <r>
    <n v="202209"/>
    <x v="32"/>
    <n v="2022"/>
    <s v=" September "/>
    <x v="1"/>
    <x v="1"/>
    <s v="Luzon"/>
    <n v="65.38"/>
  </r>
  <r>
    <n v="202210"/>
    <x v="33"/>
    <n v="2022"/>
    <s v=" October "/>
    <x v="1"/>
    <x v="1"/>
    <s v="Luzon"/>
    <n v="77.11"/>
  </r>
  <r>
    <n v="202211"/>
    <x v="34"/>
    <n v="2022"/>
    <s v=" November "/>
    <x v="1"/>
    <x v="1"/>
    <s v="Luzon"/>
    <n v="96.66"/>
  </r>
  <r>
    <n v="202212"/>
    <x v="35"/>
    <n v="2022"/>
    <s v=" December "/>
    <x v="1"/>
    <x v="1"/>
    <s v="Luzon"/>
    <n v="74.27"/>
  </r>
  <r>
    <n v="202201"/>
    <x v="24"/>
    <n v="2022"/>
    <s v=" January "/>
    <x v="1"/>
    <x v="1"/>
    <s v="Luzon"/>
    <n v="107.1"/>
  </r>
  <r>
    <n v="202202"/>
    <x v="25"/>
    <n v="2022"/>
    <s v=" February "/>
    <x v="1"/>
    <x v="1"/>
    <s v="Luzon"/>
    <n v="85.23"/>
  </r>
  <r>
    <n v="202203"/>
    <x v="26"/>
    <n v="2022"/>
    <s v=" March "/>
    <x v="1"/>
    <x v="1"/>
    <s v="Luzon"/>
    <n v="89.44"/>
  </r>
  <r>
    <n v="202204"/>
    <x v="27"/>
    <n v="2022"/>
    <s v=" April "/>
    <x v="1"/>
    <x v="1"/>
    <s v="Luzon"/>
    <n v="117.5"/>
  </r>
  <r>
    <n v="202205"/>
    <x v="28"/>
    <n v="2022"/>
    <s v=" May "/>
    <x v="1"/>
    <x v="1"/>
    <s v="Luzon"/>
    <n v="91.06"/>
  </r>
  <r>
    <n v="202206"/>
    <x v="29"/>
    <n v="2022"/>
    <s v=" June "/>
    <x v="1"/>
    <x v="1"/>
    <s v="Luzon"/>
    <n v="106.27"/>
  </r>
  <r>
    <n v="202207"/>
    <x v="30"/>
    <n v="2022"/>
    <s v=" July "/>
    <x v="1"/>
    <x v="1"/>
    <s v="Luzon"/>
    <n v="116.04"/>
  </r>
  <r>
    <n v="202208"/>
    <x v="31"/>
    <n v="2022"/>
    <s v=" August "/>
    <x v="1"/>
    <x v="1"/>
    <s v="Luzon"/>
    <n v="96.26"/>
  </r>
  <r>
    <n v="202209"/>
    <x v="32"/>
    <n v="2022"/>
    <s v=" September "/>
    <x v="1"/>
    <x v="1"/>
    <s v="Luzon"/>
    <n v="122.79"/>
  </r>
  <r>
    <n v="202210"/>
    <x v="33"/>
    <n v="2022"/>
    <s v=" October "/>
    <x v="1"/>
    <x v="1"/>
    <s v="Luzon"/>
    <n v="108.4"/>
  </r>
  <r>
    <n v="202211"/>
    <x v="34"/>
    <n v="2022"/>
    <s v=" November "/>
    <x v="1"/>
    <x v="1"/>
    <s v="Luzon"/>
    <n v="111.4"/>
  </r>
  <r>
    <n v="202212"/>
    <x v="35"/>
    <n v="2022"/>
    <s v=" December "/>
    <x v="1"/>
    <x v="1"/>
    <s v="Luzon"/>
    <n v="139.61000000000001"/>
  </r>
  <r>
    <n v="202201"/>
    <x v="24"/>
    <n v="2022"/>
    <s v=" January "/>
    <x v="1"/>
    <x v="1"/>
    <s v="Luzon"/>
    <n v="47.6"/>
  </r>
  <r>
    <n v="202202"/>
    <x v="25"/>
    <n v="2022"/>
    <s v=" February "/>
    <x v="1"/>
    <x v="1"/>
    <s v="Luzon"/>
    <n v="24.44"/>
  </r>
  <r>
    <n v="202203"/>
    <x v="26"/>
    <n v="2022"/>
    <s v=" March "/>
    <x v="1"/>
    <x v="1"/>
    <s v="Luzon"/>
    <n v="27.93"/>
  </r>
  <r>
    <n v="202204"/>
    <x v="27"/>
    <n v="2022"/>
    <s v=" April "/>
    <x v="1"/>
    <x v="1"/>
    <s v="Luzon"/>
    <n v="34.04"/>
  </r>
  <r>
    <n v="202205"/>
    <x v="28"/>
    <n v="2022"/>
    <s v=" May "/>
    <x v="1"/>
    <x v="1"/>
    <s v="Luzon"/>
    <n v="30.05"/>
  </r>
  <r>
    <n v="202206"/>
    <x v="29"/>
    <n v="2022"/>
    <s v=" June "/>
    <x v="1"/>
    <x v="1"/>
    <s v="Luzon"/>
    <n v="38.1"/>
  </r>
  <r>
    <n v="202207"/>
    <x v="30"/>
    <n v="2022"/>
    <s v=" July "/>
    <x v="1"/>
    <x v="1"/>
    <s v="Luzon"/>
    <n v="33.67"/>
  </r>
  <r>
    <n v="202208"/>
    <x v="31"/>
    <n v="2022"/>
    <s v=" August "/>
    <x v="1"/>
    <x v="1"/>
    <s v="Luzon"/>
    <n v="30.15"/>
  </r>
  <r>
    <n v="202209"/>
    <x v="32"/>
    <n v="2022"/>
    <s v=" September "/>
    <x v="1"/>
    <x v="1"/>
    <s v="Luzon"/>
    <n v="35.44"/>
  </r>
  <r>
    <n v="202210"/>
    <x v="33"/>
    <n v="2022"/>
    <s v=" October "/>
    <x v="1"/>
    <x v="1"/>
    <s v="Luzon"/>
    <n v="41.66"/>
  </r>
  <r>
    <n v="202211"/>
    <x v="34"/>
    <n v="2022"/>
    <s v=" November "/>
    <x v="1"/>
    <x v="1"/>
    <s v="Luzon"/>
    <n v="33.07"/>
  </r>
  <r>
    <n v="202212"/>
    <x v="35"/>
    <n v="2022"/>
    <s v=" December "/>
    <x v="1"/>
    <x v="1"/>
    <s v="Luzon"/>
    <n v="45.51"/>
  </r>
  <r>
    <n v="202201"/>
    <x v="24"/>
    <n v="2022"/>
    <s v=" January "/>
    <x v="1"/>
    <x v="1"/>
    <s v="Luzon"/>
    <n v="45.71"/>
  </r>
  <r>
    <n v="202202"/>
    <x v="25"/>
    <n v="2022"/>
    <s v=" February "/>
    <x v="1"/>
    <x v="1"/>
    <s v="Luzon"/>
    <n v="25.1"/>
  </r>
  <r>
    <n v="202203"/>
    <x v="26"/>
    <n v="2022"/>
    <s v=" March "/>
    <x v="1"/>
    <x v="1"/>
    <s v="Luzon"/>
    <n v="27.17"/>
  </r>
  <r>
    <n v="202204"/>
    <x v="27"/>
    <n v="2022"/>
    <s v=" April "/>
    <x v="1"/>
    <x v="1"/>
    <s v="Luzon"/>
    <n v="53.94"/>
  </r>
  <r>
    <n v="202205"/>
    <x v="28"/>
    <n v="2022"/>
    <s v=" May "/>
    <x v="1"/>
    <x v="1"/>
    <s v="Luzon"/>
    <n v="40.86"/>
  </r>
  <r>
    <n v="202206"/>
    <x v="29"/>
    <n v="2022"/>
    <s v=" June "/>
    <x v="1"/>
    <x v="1"/>
    <s v="Luzon"/>
    <n v="32.299999999999997"/>
  </r>
  <r>
    <n v="202207"/>
    <x v="30"/>
    <n v="2022"/>
    <s v=" July "/>
    <x v="1"/>
    <x v="1"/>
    <s v="Luzon"/>
    <n v="34.93"/>
  </r>
  <r>
    <n v="202208"/>
    <x v="31"/>
    <n v="2022"/>
    <s v=" August "/>
    <x v="1"/>
    <x v="1"/>
    <s v="Luzon"/>
    <n v="29.6"/>
  </r>
  <r>
    <n v="202209"/>
    <x v="32"/>
    <n v="2022"/>
    <s v=" September "/>
    <x v="1"/>
    <x v="1"/>
    <s v="Luzon"/>
    <n v="31.12"/>
  </r>
  <r>
    <n v="202210"/>
    <x v="33"/>
    <n v="2022"/>
    <s v=" October "/>
    <x v="1"/>
    <x v="1"/>
    <s v="Luzon"/>
    <n v="38.53"/>
  </r>
  <r>
    <n v="202211"/>
    <x v="34"/>
    <n v="2022"/>
    <s v=" November "/>
    <x v="1"/>
    <x v="1"/>
    <s v="Luzon"/>
    <n v="40.76"/>
  </r>
  <r>
    <n v="202212"/>
    <x v="35"/>
    <n v="2022"/>
    <s v=" December "/>
    <x v="1"/>
    <x v="1"/>
    <s v="Luzon"/>
    <n v="47.55"/>
  </r>
  <r>
    <n v="202201"/>
    <x v="24"/>
    <n v="2022"/>
    <s v=" January "/>
    <x v="1"/>
    <x v="1"/>
    <s v="Luzon"/>
    <n v="285.99"/>
  </r>
  <r>
    <n v="202202"/>
    <x v="25"/>
    <n v="2022"/>
    <s v=" February "/>
    <x v="1"/>
    <x v="1"/>
    <s v="Luzon"/>
    <n v="194.3"/>
  </r>
  <r>
    <n v="202203"/>
    <x v="26"/>
    <n v="2022"/>
    <s v=" March "/>
    <x v="1"/>
    <x v="1"/>
    <s v="Luzon"/>
    <n v="245.93"/>
  </r>
  <r>
    <n v="202204"/>
    <x v="27"/>
    <n v="2022"/>
    <s v=" April "/>
    <x v="1"/>
    <x v="1"/>
    <s v="Luzon"/>
    <n v="383.82"/>
  </r>
  <r>
    <n v="202205"/>
    <x v="28"/>
    <n v="2022"/>
    <s v=" May "/>
    <x v="1"/>
    <x v="1"/>
    <s v="Luzon"/>
    <n v="353.66"/>
  </r>
  <r>
    <n v="202206"/>
    <x v="29"/>
    <n v="2022"/>
    <s v=" June "/>
    <x v="1"/>
    <x v="1"/>
    <s v="Luzon"/>
    <n v="346.24"/>
  </r>
  <r>
    <n v="202207"/>
    <x v="30"/>
    <n v="2022"/>
    <s v=" July "/>
    <x v="1"/>
    <x v="1"/>
    <s v="Luzon"/>
    <n v="372.03"/>
  </r>
  <r>
    <n v="202208"/>
    <x v="31"/>
    <n v="2022"/>
    <s v=" August "/>
    <x v="1"/>
    <x v="1"/>
    <s v="Luzon"/>
    <n v="363.47"/>
  </r>
  <r>
    <n v="202209"/>
    <x v="32"/>
    <n v="2022"/>
    <s v=" September "/>
    <x v="1"/>
    <x v="1"/>
    <s v="Luzon"/>
    <n v="281.85000000000002"/>
  </r>
  <r>
    <n v="202210"/>
    <x v="33"/>
    <n v="2022"/>
    <s v=" October "/>
    <x v="1"/>
    <x v="1"/>
    <s v="Luzon"/>
    <n v="308.56"/>
  </r>
  <r>
    <n v="202211"/>
    <x v="34"/>
    <n v="2022"/>
    <s v=" November "/>
    <x v="1"/>
    <x v="1"/>
    <s v="Luzon"/>
    <n v="351.18"/>
  </r>
  <r>
    <n v="202212"/>
    <x v="35"/>
    <n v="2022"/>
    <s v=" December "/>
    <x v="1"/>
    <x v="1"/>
    <s v="Luzon"/>
    <n v="303.3"/>
  </r>
  <r>
    <n v="202201"/>
    <x v="24"/>
    <n v="2022"/>
    <s v=" January "/>
    <x v="2"/>
    <x v="1"/>
    <s v="Luzon"/>
    <n v="202.59"/>
  </r>
  <r>
    <n v="202202"/>
    <x v="25"/>
    <n v="2022"/>
    <s v=" February "/>
    <x v="2"/>
    <x v="1"/>
    <s v="Luzon"/>
    <n v="108.35"/>
  </r>
  <r>
    <n v="202203"/>
    <x v="26"/>
    <n v="2022"/>
    <s v=" March "/>
    <x v="2"/>
    <x v="1"/>
    <s v="Luzon"/>
    <n v="163.38"/>
  </r>
  <r>
    <n v="202204"/>
    <x v="27"/>
    <n v="2022"/>
    <s v=" April "/>
    <x v="2"/>
    <x v="1"/>
    <s v="Luzon"/>
    <n v="207.82"/>
  </r>
  <r>
    <n v="202205"/>
    <x v="28"/>
    <n v="2022"/>
    <s v=" May "/>
    <x v="2"/>
    <x v="1"/>
    <s v="Luzon"/>
    <n v="190.69"/>
  </r>
  <r>
    <n v="202206"/>
    <x v="29"/>
    <n v="2022"/>
    <s v=" June "/>
    <x v="2"/>
    <x v="1"/>
    <s v="Luzon"/>
    <n v="193.07"/>
  </r>
  <r>
    <n v="202207"/>
    <x v="30"/>
    <n v="2022"/>
    <s v=" July "/>
    <x v="2"/>
    <x v="1"/>
    <s v="Luzon"/>
    <n v="169.89"/>
  </r>
  <r>
    <n v="202208"/>
    <x v="31"/>
    <n v="2022"/>
    <s v=" August "/>
    <x v="2"/>
    <x v="1"/>
    <s v="Luzon"/>
    <n v="205.68"/>
  </r>
  <r>
    <n v="202209"/>
    <x v="32"/>
    <n v="2022"/>
    <s v=" September "/>
    <x v="2"/>
    <x v="1"/>
    <s v="Luzon"/>
    <n v="153.71"/>
  </r>
  <r>
    <n v="202210"/>
    <x v="33"/>
    <n v="2022"/>
    <s v=" October "/>
    <x v="2"/>
    <x v="1"/>
    <s v="Luzon"/>
    <n v="183.27"/>
  </r>
  <r>
    <n v="202211"/>
    <x v="34"/>
    <n v="2022"/>
    <s v=" November "/>
    <x v="2"/>
    <x v="1"/>
    <s v="Luzon"/>
    <n v="189.49"/>
  </r>
  <r>
    <n v="202212"/>
    <x v="35"/>
    <n v="2022"/>
    <s v=" December "/>
    <x v="2"/>
    <x v="1"/>
    <s v="Luzon"/>
    <n v="203.22"/>
  </r>
  <r>
    <n v="202201"/>
    <x v="24"/>
    <n v="2022"/>
    <s v=" January "/>
    <x v="2"/>
    <x v="1"/>
    <s v="Luzon"/>
    <n v="294.82"/>
  </r>
  <r>
    <n v="202202"/>
    <x v="25"/>
    <n v="2022"/>
    <s v=" February "/>
    <x v="2"/>
    <x v="1"/>
    <s v="Luzon"/>
    <n v="126.18"/>
  </r>
  <r>
    <n v="202203"/>
    <x v="26"/>
    <n v="2022"/>
    <s v=" March "/>
    <x v="2"/>
    <x v="1"/>
    <s v="Luzon"/>
    <n v="170.53"/>
  </r>
  <r>
    <n v="202204"/>
    <x v="27"/>
    <n v="2022"/>
    <s v=" April "/>
    <x v="2"/>
    <x v="1"/>
    <s v="Luzon"/>
    <n v="310.75"/>
  </r>
  <r>
    <n v="202205"/>
    <x v="28"/>
    <n v="2022"/>
    <s v=" May "/>
    <x v="2"/>
    <x v="1"/>
    <s v="Luzon"/>
    <n v="215.79"/>
  </r>
  <r>
    <n v="202206"/>
    <x v="29"/>
    <n v="2022"/>
    <s v=" June "/>
    <x v="2"/>
    <x v="1"/>
    <s v="Luzon"/>
    <n v="204.59"/>
  </r>
  <r>
    <n v="202207"/>
    <x v="30"/>
    <n v="2022"/>
    <s v=" July "/>
    <x v="2"/>
    <x v="1"/>
    <s v="Luzon"/>
    <n v="211.58"/>
  </r>
  <r>
    <n v="202208"/>
    <x v="31"/>
    <n v="2022"/>
    <s v=" August "/>
    <x v="2"/>
    <x v="1"/>
    <s v="Luzon"/>
    <n v="210.25"/>
  </r>
  <r>
    <n v="202209"/>
    <x v="32"/>
    <n v="2022"/>
    <s v=" September "/>
    <x v="2"/>
    <x v="1"/>
    <s v="Luzon"/>
    <n v="178.82"/>
  </r>
  <r>
    <n v="202210"/>
    <x v="33"/>
    <n v="2022"/>
    <s v=" October "/>
    <x v="2"/>
    <x v="1"/>
    <s v="Luzon"/>
    <n v="207.02"/>
  </r>
  <r>
    <n v="202211"/>
    <x v="34"/>
    <n v="2022"/>
    <s v=" November "/>
    <x v="2"/>
    <x v="1"/>
    <s v="Luzon"/>
    <n v="215.33"/>
  </r>
  <r>
    <n v="202212"/>
    <x v="35"/>
    <n v="2022"/>
    <s v=" December "/>
    <x v="2"/>
    <x v="1"/>
    <s v="Luzon"/>
    <n v="192.08"/>
  </r>
  <r>
    <n v="202201"/>
    <x v="24"/>
    <n v="2022"/>
    <s v=" January "/>
    <x v="2"/>
    <x v="1"/>
    <s v="Luzon"/>
    <n v="334.63"/>
  </r>
  <r>
    <n v="202202"/>
    <x v="25"/>
    <n v="2022"/>
    <s v=" February "/>
    <x v="2"/>
    <x v="1"/>
    <s v="Luzon"/>
    <n v="203.7"/>
  </r>
  <r>
    <n v="202203"/>
    <x v="26"/>
    <n v="2022"/>
    <s v=" March "/>
    <x v="2"/>
    <x v="1"/>
    <s v="Luzon"/>
    <n v="206.22"/>
  </r>
  <r>
    <n v="202204"/>
    <x v="27"/>
    <n v="2022"/>
    <s v=" April "/>
    <x v="2"/>
    <x v="1"/>
    <s v="Luzon"/>
    <n v="348.58"/>
  </r>
  <r>
    <n v="202205"/>
    <x v="28"/>
    <n v="2022"/>
    <s v=" May "/>
    <x v="2"/>
    <x v="1"/>
    <s v="Luzon"/>
    <n v="345.82"/>
  </r>
  <r>
    <n v="202206"/>
    <x v="29"/>
    <n v="2022"/>
    <s v=" June "/>
    <x v="2"/>
    <x v="1"/>
    <s v="Luzon"/>
    <n v="265.38"/>
  </r>
  <r>
    <n v="202207"/>
    <x v="30"/>
    <n v="2022"/>
    <s v=" July "/>
    <x v="2"/>
    <x v="1"/>
    <s v="Luzon"/>
    <n v="265.52999999999997"/>
  </r>
  <r>
    <n v="202208"/>
    <x v="31"/>
    <n v="2022"/>
    <s v=" August "/>
    <x v="2"/>
    <x v="1"/>
    <s v="Luzon"/>
    <n v="309.72000000000003"/>
  </r>
  <r>
    <n v="202209"/>
    <x v="32"/>
    <n v="2022"/>
    <s v=" September "/>
    <x v="2"/>
    <x v="1"/>
    <s v="Luzon"/>
    <n v="250.53"/>
  </r>
  <r>
    <n v="202210"/>
    <x v="33"/>
    <n v="2022"/>
    <s v=" October "/>
    <x v="2"/>
    <x v="1"/>
    <s v="Luzon"/>
    <n v="278.69"/>
  </r>
  <r>
    <n v="202211"/>
    <x v="34"/>
    <n v="2022"/>
    <s v=" November "/>
    <x v="2"/>
    <x v="1"/>
    <s v="Luzon"/>
    <n v="347.25"/>
  </r>
  <r>
    <n v="202212"/>
    <x v="35"/>
    <n v="2022"/>
    <s v=" December "/>
    <x v="2"/>
    <x v="1"/>
    <s v="Luzon"/>
    <n v="371.83"/>
  </r>
  <r>
    <n v="202201"/>
    <x v="24"/>
    <n v="2022"/>
    <s v=" January "/>
    <x v="2"/>
    <x v="1"/>
    <s v="Luzon"/>
    <n v="706.92"/>
  </r>
  <r>
    <n v="202202"/>
    <x v="25"/>
    <n v="2022"/>
    <s v=" February "/>
    <x v="2"/>
    <x v="1"/>
    <s v="Luzon"/>
    <n v="567.72"/>
  </r>
  <r>
    <n v="202203"/>
    <x v="26"/>
    <n v="2022"/>
    <s v=" March "/>
    <x v="2"/>
    <x v="1"/>
    <s v="Luzon"/>
    <n v="619.30999999999995"/>
  </r>
  <r>
    <n v="202204"/>
    <x v="27"/>
    <n v="2022"/>
    <s v=" April "/>
    <x v="2"/>
    <x v="1"/>
    <s v="Luzon"/>
    <n v="920.58"/>
  </r>
  <r>
    <n v="202205"/>
    <x v="28"/>
    <n v="2022"/>
    <s v=" May "/>
    <x v="2"/>
    <x v="1"/>
    <s v="Luzon"/>
    <n v="713.65"/>
  </r>
  <r>
    <n v="202206"/>
    <x v="29"/>
    <n v="2022"/>
    <s v=" June "/>
    <x v="2"/>
    <x v="1"/>
    <s v="Luzon"/>
    <n v="795.17"/>
  </r>
  <r>
    <n v="202207"/>
    <x v="30"/>
    <n v="2022"/>
    <s v=" July "/>
    <x v="2"/>
    <x v="1"/>
    <s v="Luzon"/>
    <n v="739.01"/>
  </r>
  <r>
    <n v="202208"/>
    <x v="31"/>
    <n v="2022"/>
    <s v=" August "/>
    <x v="2"/>
    <x v="1"/>
    <s v="Luzon"/>
    <n v="801.18"/>
  </r>
  <r>
    <n v="202209"/>
    <x v="32"/>
    <n v="2022"/>
    <s v=" September "/>
    <x v="2"/>
    <x v="1"/>
    <s v="Luzon"/>
    <n v="684.37"/>
  </r>
  <r>
    <n v="202210"/>
    <x v="33"/>
    <n v="2022"/>
    <s v=" October "/>
    <x v="2"/>
    <x v="1"/>
    <s v="Luzon"/>
    <n v="671.53"/>
  </r>
  <r>
    <n v="202211"/>
    <x v="34"/>
    <n v="2022"/>
    <s v=" November "/>
    <x v="2"/>
    <x v="1"/>
    <s v="Luzon"/>
    <n v="882.77"/>
  </r>
  <r>
    <n v="202212"/>
    <x v="35"/>
    <n v="2022"/>
    <s v=" December "/>
    <x v="2"/>
    <x v="1"/>
    <s v="Luzon"/>
    <n v="652"/>
  </r>
  <r>
    <n v="202201"/>
    <x v="24"/>
    <n v="2022"/>
    <s v=" January "/>
    <x v="3"/>
    <x v="1"/>
    <s v="Luzon"/>
    <n v="352.04"/>
  </r>
  <r>
    <n v="202202"/>
    <x v="25"/>
    <n v="2022"/>
    <s v=" February "/>
    <x v="3"/>
    <x v="1"/>
    <s v="Luzon"/>
    <n v="231.69"/>
  </r>
  <r>
    <n v="202203"/>
    <x v="26"/>
    <n v="2022"/>
    <s v=" March "/>
    <x v="3"/>
    <x v="1"/>
    <s v="Luzon"/>
    <n v="285.52"/>
  </r>
  <r>
    <n v="202204"/>
    <x v="27"/>
    <n v="2022"/>
    <s v=" April "/>
    <x v="3"/>
    <x v="1"/>
    <s v="Luzon"/>
    <n v="394.67"/>
  </r>
  <r>
    <n v="202205"/>
    <x v="28"/>
    <n v="2022"/>
    <s v=" May "/>
    <x v="3"/>
    <x v="1"/>
    <s v="Luzon"/>
    <n v="312.8"/>
  </r>
  <r>
    <n v="202206"/>
    <x v="29"/>
    <n v="2022"/>
    <s v=" June "/>
    <x v="3"/>
    <x v="1"/>
    <s v="Luzon"/>
    <n v="338.49"/>
  </r>
  <r>
    <n v="202207"/>
    <x v="30"/>
    <n v="2022"/>
    <s v=" July "/>
    <x v="3"/>
    <x v="1"/>
    <s v="Luzon"/>
    <n v="279.56"/>
  </r>
  <r>
    <n v="202208"/>
    <x v="31"/>
    <n v="2022"/>
    <s v=" August "/>
    <x v="3"/>
    <x v="1"/>
    <s v="Luzon"/>
    <n v="355.35"/>
  </r>
  <r>
    <n v="202209"/>
    <x v="32"/>
    <n v="2022"/>
    <s v=" September "/>
    <x v="3"/>
    <x v="1"/>
    <s v="Luzon"/>
    <n v="310.79000000000002"/>
  </r>
  <r>
    <n v="202210"/>
    <x v="33"/>
    <n v="2022"/>
    <s v=" October "/>
    <x v="3"/>
    <x v="1"/>
    <s v="Luzon"/>
    <n v="298.16000000000003"/>
  </r>
  <r>
    <n v="202211"/>
    <x v="34"/>
    <n v="2022"/>
    <s v=" November "/>
    <x v="3"/>
    <x v="1"/>
    <s v="Luzon"/>
    <n v="372.31"/>
  </r>
  <r>
    <n v="202212"/>
    <x v="35"/>
    <n v="2022"/>
    <s v=" December "/>
    <x v="3"/>
    <x v="1"/>
    <s v="Luzon"/>
    <n v="375.27"/>
  </r>
  <r>
    <n v="202201"/>
    <x v="24"/>
    <n v="2022"/>
    <s v=" January "/>
    <x v="3"/>
    <x v="1"/>
    <s v="Luzon"/>
    <n v="441.63"/>
  </r>
  <r>
    <n v="202202"/>
    <x v="25"/>
    <n v="2022"/>
    <s v=" February "/>
    <x v="3"/>
    <x v="1"/>
    <s v="Luzon"/>
    <n v="283.43"/>
  </r>
  <r>
    <n v="202203"/>
    <x v="26"/>
    <n v="2022"/>
    <s v=" March "/>
    <x v="3"/>
    <x v="1"/>
    <s v="Luzon"/>
    <n v="316.64"/>
  </r>
  <r>
    <n v="202204"/>
    <x v="27"/>
    <n v="2022"/>
    <s v=" April "/>
    <x v="3"/>
    <x v="1"/>
    <s v="Luzon"/>
    <n v="583.33000000000004"/>
  </r>
  <r>
    <n v="202205"/>
    <x v="28"/>
    <n v="2022"/>
    <s v=" May "/>
    <x v="3"/>
    <x v="1"/>
    <s v="Luzon"/>
    <n v="361.32"/>
  </r>
  <r>
    <n v="202206"/>
    <x v="29"/>
    <n v="2022"/>
    <s v=" June "/>
    <x v="3"/>
    <x v="1"/>
    <s v="Luzon"/>
    <n v="388.38"/>
  </r>
  <r>
    <n v="202207"/>
    <x v="30"/>
    <n v="2022"/>
    <s v=" July "/>
    <x v="3"/>
    <x v="1"/>
    <s v="Luzon"/>
    <n v="393.37"/>
  </r>
  <r>
    <n v="202208"/>
    <x v="31"/>
    <n v="2022"/>
    <s v=" August "/>
    <x v="3"/>
    <x v="1"/>
    <s v="Luzon"/>
    <n v="422.54"/>
  </r>
  <r>
    <n v="202209"/>
    <x v="32"/>
    <n v="2022"/>
    <s v=" September "/>
    <x v="3"/>
    <x v="1"/>
    <s v="Luzon"/>
    <n v="378.35"/>
  </r>
  <r>
    <n v="202210"/>
    <x v="33"/>
    <n v="2022"/>
    <s v=" October "/>
    <x v="3"/>
    <x v="1"/>
    <s v="Luzon"/>
    <n v="325.44"/>
  </r>
  <r>
    <n v="202211"/>
    <x v="34"/>
    <n v="2022"/>
    <s v=" November "/>
    <x v="3"/>
    <x v="1"/>
    <s v="Luzon"/>
    <n v="410.95"/>
  </r>
  <r>
    <n v="202212"/>
    <x v="35"/>
    <n v="2022"/>
    <s v=" December "/>
    <x v="3"/>
    <x v="1"/>
    <s v="Luzon"/>
    <n v="366.36"/>
  </r>
  <r>
    <n v="202201"/>
    <x v="24"/>
    <n v="2022"/>
    <s v=" January "/>
    <x v="3"/>
    <x v="1"/>
    <s v="Luzon"/>
    <n v="144.34"/>
  </r>
  <r>
    <n v="202202"/>
    <x v="25"/>
    <n v="2022"/>
    <s v=" February "/>
    <x v="3"/>
    <x v="1"/>
    <s v="Luzon"/>
    <n v="78.150000000000006"/>
  </r>
  <r>
    <n v="202203"/>
    <x v="26"/>
    <n v="2022"/>
    <s v=" March "/>
    <x v="3"/>
    <x v="1"/>
    <s v="Luzon"/>
    <n v="103.26"/>
  </r>
  <r>
    <n v="202204"/>
    <x v="27"/>
    <n v="2022"/>
    <s v=" April "/>
    <x v="3"/>
    <x v="1"/>
    <s v="Luzon"/>
    <n v="152.04"/>
  </r>
  <r>
    <n v="202205"/>
    <x v="28"/>
    <n v="2022"/>
    <s v=" May "/>
    <x v="3"/>
    <x v="1"/>
    <s v="Luzon"/>
    <n v="98.39"/>
  </r>
  <r>
    <n v="202206"/>
    <x v="29"/>
    <n v="2022"/>
    <s v=" June "/>
    <x v="3"/>
    <x v="1"/>
    <s v="Luzon"/>
    <n v="106.51"/>
  </r>
  <r>
    <n v="202207"/>
    <x v="30"/>
    <n v="2022"/>
    <s v=" July "/>
    <x v="3"/>
    <x v="1"/>
    <s v="Luzon"/>
    <n v="120.67"/>
  </r>
  <r>
    <n v="202208"/>
    <x v="31"/>
    <n v="2022"/>
    <s v=" August "/>
    <x v="3"/>
    <x v="1"/>
    <s v="Luzon"/>
    <n v="158.30000000000001"/>
  </r>
  <r>
    <n v="202209"/>
    <x v="32"/>
    <n v="2022"/>
    <s v=" September "/>
    <x v="3"/>
    <x v="1"/>
    <s v="Luzon"/>
    <n v="99.82"/>
  </r>
  <r>
    <n v="202210"/>
    <x v="33"/>
    <n v="2022"/>
    <s v=" October "/>
    <x v="3"/>
    <x v="1"/>
    <s v="Luzon"/>
    <n v="116.82"/>
  </r>
  <r>
    <n v="202211"/>
    <x v="34"/>
    <n v="2022"/>
    <s v=" November "/>
    <x v="3"/>
    <x v="1"/>
    <s v="Luzon"/>
    <n v="118.04"/>
  </r>
  <r>
    <n v="202212"/>
    <x v="35"/>
    <n v="2022"/>
    <s v=" December "/>
    <x v="3"/>
    <x v="1"/>
    <s v="Luzon"/>
    <n v="79.58"/>
  </r>
  <r>
    <n v="202201"/>
    <x v="24"/>
    <n v="2022"/>
    <s v=" January "/>
    <x v="3"/>
    <x v="1"/>
    <s v="Luzon"/>
    <n v="32.799999999999997"/>
  </r>
  <r>
    <n v="202202"/>
    <x v="25"/>
    <n v="2022"/>
    <s v=" February "/>
    <x v="3"/>
    <x v="1"/>
    <s v="Luzon"/>
    <n v="20.93"/>
  </r>
  <r>
    <n v="202203"/>
    <x v="26"/>
    <n v="2022"/>
    <s v=" March "/>
    <x v="3"/>
    <x v="1"/>
    <s v="Luzon"/>
    <n v="28.15"/>
  </r>
  <r>
    <n v="202204"/>
    <x v="27"/>
    <n v="2022"/>
    <s v=" April "/>
    <x v="3"/>
    <x v="1"/>
    <s v="Luzon"/>
    <n v="43.66"/>
  </r>
  <r>
    <n v="202205"/>
    <x v="28"/>
    <n v="2022"/>
    <s v=" May "/>
    <x v="3"/>
    <x v="1"/>
    <s v="Luzon"/>
    <n v="30.69"/>
  </r>
  <r>
    <n v="202206"/>
    <x v="29"/>
    <n v="2022"/>
    <s v=" June "/>
    <x v="3"/>
    <x v="1"/>
    <s v="Luzon"/>
    <n v="31.4"/>
  </r>
  <r>
    <n v="202207"/>
    <x v="30"/>
    <n v="2022"/>
    <s v=" July "/>
    <x v="3"/>
    <x v="1"/>
    <s v="Luzon"/>
    <n v="21.34"/>
  </r>
  <r>
    <n v="202208"/>
    <x v="31"/>
    <n v="2022"/>
    <s v=" August "/>
    <x v="3"/>
    <x v="1"/>
    <s v="Luzon"/>
    <n v="34.57"/>
  </r>
  <r>
    <n v="202209"/>
    <x v="32"/>
    <n v="2022"/>
    <s v=" September "/>
    <x v="3"/>
    <x v="1"/>
    <s v="Luzon"/>
    <n v="18.059999999999999"/>
  </r>
  <r>
    <n v="202210"/>
    <x v="33"/>
    <n v="2022"/>
    <s v=" October "/>
    <x v="3"/>
    <x v="1"/>
    <s v="Luzon"/>
    <n v="32.89"/>
  </r>
  <r>
    <n v="202211"/>
    <x v="34"/>
    <n v="2022"/>
    <s v=" November "/>
    <x v="3"/>
    <x v="1"/>
    <s v="Luzon"/>
    <n v="33.049999999999997"/>
  </r>
  <r>
    <n v="202212"/>
    <x v="35"/>
    <n v="2022"/>
    <s v=" December "/>
    <x v="3"/>
    <x v="1"/>
    <s v="Luzon"/>
    <n v="33.25"/>
  </r>
  <r>
    <n v="202201"/>
    <x v="24"/>
    <n v="2022"/>
    <s v=" January "/>
    <x v="4"/>
    <x v="1"/>
    <s v="Luzon"/>
    <n v="43.49"/>
  </r>
  <r>
    <n v="202202"/>
    <x v="25"/>
    <n v="2022"/>
    <s v=" February "/>
    <x v="4"/>
    <x v="1"/>
    <s v="Luzon"/>
    <n v="31.48"/>
  </r>
  <r>
    <n v="202203"/>
    <x v="26"/>
    <n v="2022"/>
    <s v=" March "/>
    <x v="4"/>
    <x v="1"/>
    <s v="Luzon"/>
    <n v="31.29"/>
  </r>
  <r>
    <n v="202204"/>
    <x v="27"/>
    <n v="2022"/>
    <s v=" April "/>
    <x v="4"/>
    <x v="1"/>
    <s v="Luzon"/>
    <n v="48.9"/>
  </r>
  <r>
    <n v="202205"/>
    <x v="28"/>
    <n v="2022"/>
    <s v=" May "/>
    <x v="4"/>
    <x v="1"/>
    <s v="Luzon"/>
    <n v="34.549999999999997"/>
  </r>
  <r>
    <n v="202206"/>
    <x v="29"/>
    <n v="2022"/>
    <s v=" June "/>
    <x v="4"/>
    <x v="1"/>
    <s v="Luzon"/>
    <n v="39.299999999999997"/>
  </r>
  <r>
    <n v="202207"/>
    <x v="30"/>
    <n v="2022"/>
    <s v=" July "/>
    <x v="4"/>
    <x v="1"/>
    <s v="Luzon"/>
    <n v="44.06"/>
  </r>
  <r>
    <n v="202208"/>
    <x v="31"/>
    <n v="2022"/>
    <s v=" August "/>
    <x v="4"/>
    <x v="1"/>
    <s v="Luzon"/>
    <n v="41.78"/>
  </r>
  <r>
    <n v="202209"/>
    <x v="32"/>
    <n v="2022"/>
    <s v=" September "/>
    <x v="4"/>
    <x v="1"/>
    <s v="Luzon"/>
    <n v="37.590000000000003"/>
  </r>
  <r>
    <n v="202210"/>
    <x v="33"/>
    <n v="2022"/>
    <s v=" October "/>
    <x v="4"/>
    <x v="1"/>
    <s v="Luzon"/>
    <n v="37.39"/>
  </r>
  <r>
    <n v="202211"/>
    <x v="34"/>
    <n v="2022"/>
    <s v=" November "/>
    <x v="4"/>
    <x v="1"/>
    <s v="Luzon"/>
    <n v="42.95"/>
  </r>
  <r>
    <n v="202212"/>
    <x v="35"/>
    <n v="2022"/>
    <s v=" December "/>
    <x v="4"/>
    <x v="1"/>
    <s v="Luzon"/>
    <n v="39.380000000000003"/>
  </r>
  <r>
    <n v="202201"/>
    <x v="24"/>
    <n v="2022"/>
    <s v=" January "/>
    <x v="4"/>
    <x v="1"/>
    <s v="Luzon"/>
    <n v="419.48"/>
  </r>
  <r>
    <n v="202202"/>
    <x v="25"/>
    <n v="2022"/>
    <s v=" February "/>
    <x v="4"/>
    <x v="1"/>
    <s v="Luzon"/>
    <n v="325.64"/>
  </r>
  <r>
    <n v="202203"/>
    <x v="26"/>
    <n v="2022"/>
    <s v=" March "/>
    <x v="4"/>
    <x v="1"/>
    <s v="Luzon"/>
    <n v="313.13"/>
  </r>
  <r>
    <n v="202204"/>
    <x v="27"/>
    <n v="2022"/>
    <s v=" April "/>
    <x v="4"/>
    <x v="1"/>
    <s v="Luzon"/>
    <n v="407.39"/>
  </r>
  <r>
    <n v="202205"/>
    <x v="28"/>
    <n v="2022"/>
    <s v=" May "/>
    <x v="4"/>
    <x v="1"/>
    <s v="Luzon"/>
    <n v="468.18"/>
  </r>
  <r>
    <n v="202206"/>
    <x v="29"/>
    <n v="2022"/>
    <s v=" June "/>
    <x v="4"/>
    <x v="1"/>
    <s v="Luzon"/>
    <n v="379.1"/>
  </r>
  <r>
    <n v="202207"/>
    <x v="30"/>
    <n v="2022"/>
    <s v=" July "/>
    <x v="4"/>
    <x v="1"/>
    <s v="Luzon"/>
    <n v="438.28"/>
  </r>
  <r>
    <n v="202208"/>
    <x v="31"/>
    <n v="2022"/>
    <s v=" August "/>
    <x v="4"/>
    <x v="1"/>
    <s v="Luzon"/>
    <n v="418.34"/>
  </r>
  <r>
    <n v="202209"/>
    <x v="32"/>
    <n v="2022"/>
    <s v=" September "/>
    <x v="4"/>
    <x v="1"/>
    <s v="Luzon"/>
    <n v="372.29"/>
  </r>
  <r>
    <n v="202210"/>
    <x v="33"/>
    <n v="2022"/>
    <s v=" October "/>
    <x v="4"/>
    <x v="1"/>
    <s v="Luzon"/>
    <n v="426.3"/>
  </r>
  <r>
    <n v="202211"/>
    <x v="34"/>
    <n v="2022"/>
    <s v=" November "/>
    <x v="4"/>
    <x v="1"/>
    <s v="Luzon"/>
    <n v="392.71"/>
  </r>
  <r>
    <n v="202212"/>
    <x v="35"/>
    <n v="2022"/>
    <s v=" December "/>
    <x v="4"/>
    <x v="1"/>
    <s v="Luzon"/>
    <n v="412.99"/>
  </r>
  <r>
    <n v="202201"/>
    <x v="24"/>
    <n v="2022"/>
    <s v=" January "/>
    <x v="4"/>
    <x v="1"/>
    <s v="Luzon"/>
    <n v="1318.67"/>
  </r>
  <r>
    <n v="202202"/>
    <x v="25"/>
    <n v="2022"/>
    <s v=" February "/>
    <x v="4"/>
    <x v="1"/>
    <s v="Luzon"/>
    <n v="929.38"/>
  </r>
  <r>
    <n v="202203"/>
    <x v="26"/>
    <n v="2022"/>
    <s v=" March "/>
    <x v="4"/>
    <x v="1"/>
    <s v="Luzon"/>
    <n v="1194.8499999999999"/>
  </r>
  <r>
    <n v="202204"/>
    <x v="27"/>
    <n v="2022"/>
    <s v=" April "/>
    <x v="4"/>
    <x v="1"/>
    <s v="Luzon"/>
    <n v="1645.56"/>
  </r>
  <r>
    <n v="202205"/>
    <x v="28"/>
    <n v="2022"/>
    <s v=" May "/>
    <x v="4"/>
    <x v="1"/>
    <s v="Luzon"/>
    <n v="1222.5999999999999"/>
  </r>
  <r>
    <n v="202206"/>
    <x v="29"/>
    <n v="2022"/>
    <s v=" June "/>
    <x v="4"/>
    <x v="1"/>
    <s v="Luzon"/>
    <n v="1415.95"/>
  </r>
  <r>
    <n v="202207"/>
    <x v="30"/>
    <n v="2022"/>
    <s v=" July "/>
    <x v="4"/>
    <x v="1"/>
    <s v="Luzon"/>
    <n v="1592.73"/>
  </r>
  <r>
    <n v="202208"/>
    <x v="31"/>
    <n v="2022"/>
    <s v=" August "/>
    <x v="4"/>
    <x v="1"/>
    <s v="Luzon"/>
    <n v="1308.8900000000001"/>
  </r>
  <r>
    <n v="202209"/>
    <x v="32"/>
    <n v="2022"/>
    <s v=" September "/>
    <x v="4"/>
    <x v="1"/>
    <s v="Luzon"/>
    <n v="1102.03"/>
  </r>
  <r>
    <n v="202210"/>
    <x v="33"/>
    <n v="2022"/>
    <s v=" October "/>
    <x v="4"/>
    <x v="1"/>
    <s v="Luzon"/>
    <n v="1486.42"/>
  </r>
  <r>
    <n v="202211"/>
    <x v="34"/>
    <n v="2022"/>
    <s v=" November "/>
    <x v="4"/>
    <x v="1"/>
    <s v="Luzon"/>
    <n v="1438.9"/>
  </r>
  <r>
    <n v="202212"/>
    <x v="35"/>
    <n v="2022"/>
    <s v=" December "/>
    <x v="4"/>
    <x v="1"/>
    <s v="Luzon"/>
    <n v="1177.7"/>
  </r>
  <r>
    <n v="202201"/>
    <x v="24"/>
    <n v="2022"/>
    <s v=" January "/>
    <x v="4"/>
    <x v="1"/>
    <s v="Luzon"/>
    <n v="620.95000000000005"/>
  </r>
  <r>
    <n v="202202"/>
    <x v="25"/>
    <n v="2022"/>
    <s v=" February "/>
    <x v="4"/>
    <x v="1"/>
    <s v="Luzon"/>
    <n v="393.15"/>
  </r>
  <r>
    <n v="202203"/>
    <x v="26"/>
    <n v="2022"/>
    <s v=" March "/>
    <x v="4"/>
    <x v="1"/>
    <s v="Luzon"/>
    <n v="465.94"/>
  </r>
  <r>
    <n v="202204"/>
    <x v="27"/>
    <n v="2022"/>
    <s v=" April "/>
    <x v="4"/>
    <x v="1"/>
    <s v="Luzon"/>
    <n v="691.25"/>
  </r>
  <r>
    <n v="202205"/>
    <x v="28"/>
    <n v="2022"/>
    <s v=" May "/>
    <x v="4"/>
    <x v="1"/>
    <s v="Luzon"/>
    <n v="663.5"/>
  </r>
  <r>
    <n v="202206"/>
    <x v="29"/>
    <n v="2022"/>
    <s v=" June "/>
    <x v="4"/>
    <x v="1"/>
    <s v="Luzon"/>
    <n v="538.91"/>
  </r>
  <r>
    <n v="202207"/>
    <x v="30"/>
    <n v="2022"/>
    <s v=" July "/>
    <x v="4"/>
    <x v="1"/>
    <s v="Luzon"/>
    <n v="622.58000000000004"/>
  </r>
  <r>
    <n v="202208"/>
    <x v="31"/>
    <n v="2022"/>
    <s v=" August "/>
    <x v="4"/>
    <x v="1"/>
    <s v="Luzon"/>
    <n v="642.83000000000004"/>
  </r>
  <r>
    <n v="202209"/>
    <x v="32"/>
    <n v="2022"/>
    <s v=" September "/>
    <x v="4"/>
    <x v="1"/>
    <s v="Luzon"/>
    <n v="413.12"/>
  </r>
  <r>
    <n v="202210"/>
    <x v="33"/>
    <n v="2022"/>
    <s v=" October "/>
    <x v="4"/>
    <x v="1"/>
    <s v="Luzon"/>
    <n v="592.41"/>
  </r>
  <r>
    <n v="202211"/>
    <x v="34"/>
    <n v="2022"/>
    <s v=" November "/>
    <x v="4"/>
    <x v="1"/>
    <s v="Luzon"/>
    <n v="634.41"/>
  </r>
  <r>
    <n v="202212"/>
    <x v="35"/>
    <n v="2022"/>
    <s v=" December "/>
    <x v="4"/>
    <x v="1"/>
    <s v="Luzon"/>
    <n v="471.33"/>
  </r>
  <r>
    <n v="202201"/>
    <x v="24"/>
    <n v="2022"/>
    <s v=" January "/>
    <x v="4"/>
    <x v="1"/>
    <s v="Luzon"/>
    <n v="1225.76"/>
  </r>
  <r>
    <n v="202202"/>
    <x v="25"/>
    <n v="2022"/>
    <s v=" February "/>
    <x v="4"/>
    <x v="1"/>
    <s v="Luzon"/>
    <n v="794.3"/>
  </r>
  <r>
    <n v="202203"/>
    <x v="26"/>
    <n v="2022"/>
    <s v=" March "/>
    <x v="4"/>
    <x v="1"/>
    <s v="Luzon"/>
    <n v="948.09"/>
  </r>
  <r>
    <n v="202204"/>
    <x v="27"/>
    <n v="2022"/>
    <s v=" April "/>
    <x v="4"/>
    <x v="1"/>
    <s v="Luzon"/>
    <n v="2069.33"/>
  </r>
  <r>
    <n v="202205"/>
    <x v="28"/>
    <n v="2022"/>
    <s v=" May "/>
    <x v="4"/>
    <x v="1"/>
    <s v="Luzon"/>
    <n v="1549.19"/>
  </r>
  <r>
    <n v="202206"/>
    <x v="29"/>
    <n v="2022"/>
    <s v=" June "/>
    <x v="4"/>
    <x v="1"/>
    <s v="Luzon"/>
    <n v="1138.53"/>
  </r>
  <r>
    <n v="202207"/>
    <x v="30"/>
    <n v="2022"/>
    <s v=" July "/>
    <x v="4"/>
    <x v="1"/>
    <s v="Luzon"/>
    <n v="1403.4"/>
  </r>
  <r>
    <n v="202208"/>
    <x v="31"/>
    <n v="2022"/>
    <s v=" August "/>
    <x v="4"/>
    <x v="1"/>
    <s v="Luzon"/>
    <n v="1688.81"/>
  </r>
  <r>
    <n v="202209"/>
    <x v="32"/>
    <n v="2022"/>
    <s v=" September "/>
    <x v="4"/>
    <x v="1"/>
    <s v="Luzon"/>
    <n v="1152.43"/>
  </r>
  <r>
    <n v="202210"/>
    <x v="33"/>
    <n v="2022"/>
    <s v=" October "/>
    <x v="4"/>
    <x v="1"/>
    <s v="Luzon"/>
    <n v="1334.22"/>
  </r>
  <r>
    <n v="202211"/>
    <x v="34"/>
    <n v="2022"/>
    <s v=" November "/>
    <x v="4"/>
    <x v="1"/>
    <s v="Luzon"/>
    <n v="1603.83"/>
  </r>
  <r>
    <n v="202212"/>
    <x v="35"/>
    <n v="2022"/>
    <s v=" December "/>
    <x v="4"/>
    <x v="1"/>
    <s v="Luzon"/>
    <n v="1238.9000000000001"/>
  </r>
  <r>
    <n v="202201"/>
    <x v="24"/>
    <n v="2022"/>
    <s v=" January "/>
    <x v="4"/>
    <x v="1"/>
    <s v="Luzon"/>
    <n v="348.79"/>
  </r>
  <r>
    <n v="202202"/>
    <x v="25"/>
    <n v="2022"/>
    <s v=" February "/>
    <x v="4"/>
    <x v="1"/>
    <s v="Luzon"/>
    <n v="281.49"/>
  </r>
  <r>
    <n v="202203"/>
    <x v="26"/>
    <n v="2022"/>
    <s v=" March "/>
    <x v="4"/>
    <x v="1"/>
    <s v="Luzon"/>
    <n v="309.39"/>
  </r>
  <r>
    <n v="202204"/>
    <x v="27"/>
    <n v="2022"/>
    <s v=" April "/>
    <x v="4"/>
    <x v="1"/>
    <s v="Luzon"/>
    <n v="745.95"/>
  </r>
  <r>
    <n v="202205"/>
    <x v="28"/>
    <n v="2022"/>
    <s v=" May "/>
    <x v="4"/>
    <x v="1"/>
    <s v="Luzon"/>
    <n v="365"/>
  </r>
  <r>
    <n v="202206"/>
    <x v="29"/>
    <n v="2022"/>
    <s v=" June "/>
    <x v="4"/>
    <x v="1"/>
    <s v="Luzon"/>
    <n v="350.09"/>
  </r>
  <r>
    <n v="202207"/>
    <x v="30"/>
    <n v="2022"/>
    <s v=" July "/>
    <x v="4"/>
    <x v="1"/>
    <s v="Luzon"/>
    <n v="335.4"/>
  </r>
  <r>
    <n v="202208"/>
    <x v="31"/>
    <n v="2022"/>
    <s v=" August "/>
    <x v="4"/>
    <x v="1"/>
    <s v="Luzon"/>
    <n v="394.14"/>
  </r>
  <r>
    <n v="202209"/>
    <x v="32"/>
    <n v="2022"/>
    <s v=" September "/>
    <x v="4"/>
    <x v="1"/>
    <s v="Luzon"/>
    <n v="345.55"/>
  </r>
  <r>
    <n v="202210"/>
    <x v="33"/>
    <n v="2022"/>
    <s v=" October "/>
    <x v="4"/>
    <x v="1"/>
    <s v="Luzon"/>
    <n v="297.13"/>
  </r>
  <r>
    <n v="202211"/>
    <x v="34"/>
    <n v="2022"/>
    <s v=" November "/>
    <x v="4"/>
    <x v="1"/>
    <s v="Luzon"/>
    <n v="417.3"/>
  </r>
  <r>
    <n v="202212"/>
    <x v="35"/>
    <n v="2022"/>
    <s v=" December "/>
    <x v="4"/>
    <x v="1"/>
    <s v="Luzon"/>
    <n v="322.8"/>
  </r>
  <r>
    <n v="202201"/>
    <x v="24"/>
    <n v="2022"/>
    <s v=" January "/>
    <x v="4"/>
    <x v="1"/>
    <s v="Luzon"/>
    <n v="187"/>
  </r>
  <r>
    <n v="202202"/>
    <x v="25"/>
    <n v="2022"/>
    <s v=" February "/>
    <x v="4"/>
    <x v="1"/>
    <s v="Luzon"/>
    <n v="100.54"/>
  </r>
  <r>
    <n v="202203"/>
    <x v="26"/>
    <n v="2022"/>
    <s v=" March "/>
    <x v="4"/>
    <x v="1"/>
    <s v="Luzon"/>
    <n v="160.41999999999999"/>
  </r>
  <r>
    <n v="202204"/>
    <x v="27"/>
    <n v="2022"/>
    <s v=" April "/>
    <x v="4"/>
    <x v="1"/>
    <s v="Luzon"/>
    <n v="441.01"/>
  </r>
  <r>
    <n v="202205"/>
    <x v="28"/>
    <n v="2022"/>
    <s v=" May "/>
    <x v="4"/>
    <x v="1"/>
    <s v="Luzon"/>
    <n v="941.4"/>
  </r>
  <r>
    <n v="202206"/>
    <x v="29"/>
    <n v="2022"/>
    <s v=" June "/>
    <x v="4"/>
    <x v="1"/>
    <s v="Luzon"/>
    <n v="117.94"/>
  </r>
  <r>
    <n v="202207"/>
    <x v="30"/>
    <n v="2022"/>
    <s v=" July "/>
    <x v="4"/>
    <x v="1"/>
    <s v="Luzon"/>
    <n v="138.66"/>
  </r>
  <r>
    <n v="202208"/>
    <x v="31"/>
    <n v="2022"/>
    <s v=" August "/>
    <x v="4"/>
    <x v="1"/>
    <s v="Luzon"/>
    <n v="205.2"/>
  </r>
  <r>
    <n v="202209"/>
    <x v="32"/>
    <n v="2022"/>
    <s v=" September "/>
    <x v="4"/>
    <x v="1"/>
    <s v="Luzon"/>
    <n v="99.77"/>
  </r>
  <r>
    <n v="202210"/>
    <x v="33"/>
    <n v="2022"/>
    <s v=" October "/>
    <x v="4"/>
    <x v="1"/>
    <s v="Luzon"/>
    <n v="141.09"/>
  </r>
  <r>
    <n v="202211"/>
    <x v="34"/>
    <n v="2022"/>
    <s v=" November "/>
    <x v="4"/>
    <x v="1"/>
    <s v="Luzon"/>
    <n v="286.97000000000003"/>
  </r>
  <r>
    <n v="202212"/>
    <x v="35"/>
    <n v="2022"/>
    <s v=" December "/>
    <x v="4"/>
    <x v="1"/>
    <s v="Luzon"/>
    <n v="120.86"/>
  </r>
  <r>
    <n v="202201"/>
    <x v="24"/>
    <n v="2022"/>
    <s v=" January "/>
    <x v="4"/>
    <x v="1"/>
    <s v="Luzon"/>
    <n v="739.49"/>
  </r>
  <r>
    <n v="202202"/>
    <x v="25"/>
    <n v="2022"/>
    <s v=" February "/>
    <x v="4"/>
    <x v="1"/>
    <s v="Luzon"/>
    <n v="580.26"/>
  </r>
  <r>
    <n v="202203"/>
    <x v="26"/>
    <n v="2022"/>
    <s v=" March "/>
    <x v="4"/>
    <x v="1"/>
    <s v="Luzon"/>
    <n v="659.46"/>
  </r>
  <r>
    <n v="202204"/>
    <x v="27"/>
    <n v="2022"/>
    <s v=" April "/>
    <x v="4"/>
    <x v="1"/>
    <s v="Luzon"/>
    <n v="1317.22"/>
  </r>
  <r>
    <n v="202205"/>
    <x v="28"/>
    <n v="2022"/>
    <s v=" May "/>
    <x v="4"/>
    <x v="1"/>
    <s v="Luzon"/>
    <n v="1450.03"/>
  </r>
  <r>
    <n v="202206"/>
    <x v="29"/>
    <n v="2022"/>
    <s v=" June "/>
    <x v="4"/>
    <x v="1"/>
    <s v="Luzon"/>
    <n v="809.66"/>
  </r>
  <r>
    <n v="202207"/>
    <x v="30"/>
    <n v="2022"/>
    <s v=" July "/>
    <x v="4"/>
    <x v="1"/>
    <s v="Luzon"/>
    <n v="945.65"/>
  </r>
  <r>
    <n v="202208"/>
    <x v="31"/>
    <n v="2022"/>
    <s v=" August "/>
    <x v="4"/>
    <x v="1"/>
    <s v="Luzon"/>
    <n v="1154.8399999999999"/>
  </r>
  <r>
    <n v="202209"/>
    <x v="32"/>
    <n v="2022"/>
    <s v=" September "/>
    <x v="4"/>
    <x v="1"/>
    <s v="Luzon"/>
    <n v="800.03"/>
  </r>
  <r>
    <n v="202210"/>
    <x v="33"/>
    <n v="2022"/>
    <s v=" October "/>
    <x v="4"/>
    <x v="1"/>
    <s v="Luzon"/>
    <n v="812.54"/>
  </r>
  <r>
    <n v="202211"/>
    <x v="34"/>
    <n v="2022"/>
    <s v=" November "/>
    <x v="4"/>
    <x v="1"/>
    <s v="Luzon"/>
    <n v="1228.24"/>
  </r>
  <r>
    <n v="202212"/>
    <x v="35"/>
    <n v="2022"/>
    <s v=" December "/>
    <x v="4"/>
    <x v="1"/>
    <s v="Luzon"/>
    <n v="566.51"/>
  </r>
  <r>
    <n v="202201"/>
    <x v="24"/>
    <n v="2022"/>
    <s v=" January "/>
    <x v="4"/>
    <x v="1"/>
    <s v="Luzon"/>
    <n v="175.68"/>
  </r>
  <r>
    <n v="202202"/>
    <x v="25"/>
    <n v="2022"/>
    <s v=" February "/>
    <x v="4"/>
    <x v="1"/>
    <s v="Luzon"/>
    <n v="142.04"/>
  </r>
  <r>
    <n v="202203"/>
    <x v="26"/>
    <n v="2022"/>
    <s v=" March "/>
    <x v="4"/>
    <x v="1"/>
    <s v="Luzon"/>
    <n v="142.35"/>
  </r>
  <r>
    <n v="202204"/>
    <x v="27"/>
    <n v="2022"/>
    <s v=" April "/>
    <x v="4"/>
    <x v="1"/>
    <s v="Luzon"/>
    <n v="204.19"/>
  </r>
  <r>
    <n v="202205"/>
    <x v="28"/>
    <n v="2022"/>
    <s v=" May "/>
    <x v="4"/>
    <x v="1"/>
    <s v="Luzon"/>
    <n v="181.89"/>
  </r>
  <r>
    <n v="202206"/>
    <x v="29"/>
    <n v="2022"/>
    <s v=" June "/>
    <x v="4"/>
    <x v="1"/>
    <s v="Luzon"/>
    <n v="174.77"/>
  </r>
  <r>
    <n v="202207"/>
    <x v="30"/>
    <n v="2022"/>
    <s v=" July "/>
    <x v="4"/>
    <x v="1"/>
    <s v="Luzon"/>
    <n v="185.67"/>
  </r>
  <r>
    <n v="202208"/>
    <x v="31"/>
    <n v="2022"/>
    <s v=" August "/>
    <x v="4"/>
    <x v="1"/>
    <s v="Luzon"/>
    <n v="206.11"/>
  </r>
  <r>
    <n v="202209"/>
    <x v="32"/>
    <n v="2022"/>
    <s v=" September "/>
    <x v="4"/>
    <x v="1"/>
    <s v="Luzon"/>
    <n v="168.44"/>
  </r>
  <r>
    <n v="202210"/>
    <x v="33"/>
    <n v="2022"/>
    <s v=" October "/>
    <x v="4"/>
    <x v="1"/>
    <s v="Luzon"/>
    <n v="172.77"/>
  </r>
  <r>
    <n v="202211"/>
    <x v="34"/>
    <n v="2022"/>
    <s v=" November "/>
    <x v="4"/>
    <x v="1"/>
    <s v="Luzon"/>
    <n v="178.16"/>
  </r>
  <r>
    <n v="202212"/>
    <x v="35"/>
    <n v="2022"/>
    <s v=" December "/>
    <x v="4"/>
    <x v="1"/>
    <s v="Luzon"/>
    <n v="206.77"/>
  </r>
  <r>
    <n v="202201"/>
    <x v="24"/>
    <n v="2022"/>
    <s v=" January "/>
    <x v="5"/>
    <x v="1"/>
    <s v="Luzon"/>
    <n v="1604.44"/>
  </r>
  <r>
    <n v="202202"/>
    <x v="25"/>
    <n v="2022"/>
    <s v=" February "/>
    <x v="5"/>
    <x v="1"/>
    <s v="Luzon"/>
    <n v="1193.68"/>
  </r>
  <r>
    <n v="202203"/>
    <x v="26"/>
    <n v="2022"/>
    <s v=" March "/>
    <x v="5"/>
    <x v="1"/>
    <s v="Luzon"/>
    <n v="1535"/>
  </r>
  <r>
    <n v="202204"/>
    <x v="27"/>
    <n v="2022"/>
    <s v=" April "/>
    <x v="5"/>
    <x v="1"/>
    <s v="Luzon"/>
    <n v="2092.5700000000002"/>
  </r>
  <r>
    <n v="202205"/>
    <x v="28"/>
    <n v="2022"/>
    <s v=" May "/>
    <x v="5"/>
    <x v="1"/>
    <s v="Luzon"/>
    <n v="1481.16"/>
  </r>
  <r>
    <n v="202206"/>
    <x v="29"/>
    <n v="2022"/>
    <s v=" June "/>
    <x v="5"/>
    <x v="1"/>
    <s v="Luzon"/>
    <n v="1362.36"/>
  </r>
  <r>
    <n v="202207"/>
    <x v="30"/>
    <n v="2022"/>
    <s v=" July "/>
    <x v="5"/>
    <x v="1"/>
    <s v="Luzon"/>
    <n v="1880.16"/>
  </r>
  <r>
    <n v="202208"/>
    <x v="31"/>
    <n v="2022"/>
    <s v=" August "/>
    <x v="5"/>
    <x v="1"/>
    <s v="Luzon"/>
    <n v="1820.27"/>
  </r>
  <r>
    <n v="202209"/>
    <x v="32"/>
    <n v="2022"/>
    <s v=" September "/>
    <x v="5"/>
    <x v="1"/>
    <s v="Luzon"/>
    <n v="1315.73"/>
  </r>
  <r>
    <n v="202210"/>
    <x v="33"/>
    <n v="2022"/>
    <s v=" October "/>
    <x v="5"/>
    <x v="1"/>
    <s v="Luzon"/>
    <n v="1392.8"/>
  </r>
  <r>
    <n v="202211"/>
    <x v="34"/>
    <n v="2022"/>
    <s v=" November "/>
    <x v="5"/>
    <x v="1"/>
    <s v="Luzon"/>
    <n v="1977.42"/>
  </r>
  <r>
    <n v="202212"/>
    <x v="35"/>
    <n v="2022"/>
    <s v=" December "/>
    <x v="5"/>
    <x v="1"/>
    <s v="Luzon"/>
    <n v="1382.87"/>
  </r>
  <r>
    <n v="202201"/>
    <x v="24"/>
    <n v="2022"/>
    <s v=" January "/>
    <x v="5"/>
    <x v="1"/>
    <s v="Luzon"/>
    <n v="2181.23"/>
  </r>
  <r>
    <n v="202202"/>
    <x v="25"/>
    <n v="2022"/>
    <s v=" February "/>
    <x v="5"/>
    <x v="1"/>
    <s v="Luzon"/>
    <n v="1447.61"/>
  </r>
  <r>
    <n v="202203"/>
    <x v="26"/>
    <n v="2022"/>
    <s v=" March "/>
    <x v="5"/>
    <x v="1"/>
    <s v="Luzon"/>
    <n v="2057.2199999999998"/>
  </r>
  <r>
    <n v="202204"/>
    <x v="27"/>
    <n v="2022"/>
    <s v=" April "/>
    <x v="5"/>
    <x v="1"/>
    <s v="Luzon"/>
    <n v="2952.83"/>
  </r>
  <r>
    <n v="202205"/>
    <x v="28"/>
    <n v="2022"/>
    <s v=" May "/>
    <x v="5"/>
    <x v="1"/>
    <s v="Luzon"/>
    <n v="2510.31"/>
  </r>
  <r>
    <n v="202206"/>
    <x v="29"/>
    <n v="2022"/>
    <s v=" June "/>
    <x v="5"/>
    <x v="1"/>
    <s v="Luzon"/>
    <n v="2271.44"/>
  </r>
  <r>
    <n v="202207"/>
    <x v="30"/>
    <n v="2022"/>
    <s v=" July "/>
    <x v="5"/>
    <x v="1"/>
    <s v="Luzon"/>
    <n v="2197.12"/>
  </r>
  <r>
    <n v="202208"/>
    <x v="31"/>
    <n v="2022"/>
    <s v=" August "/>
    <x v="5"/>
    <x v="1"/>
    <s v="Luzon"/>
    <n v="2562.8000000000002"/>
  </r>
  <r>
    <n v="202209"/>
    <x v="32"/>
    <n v="2022"/>
    <s v=" September "/>
    <x v="5"/>
    <x v="1"/>
    <s v="Luzon"/>
    <n v="2129.46"/>
  </r>
  <r>
    <n v="202210"/>
    <x v="33"/>
    <n v="2022"/>
    <s v=" October "/>
    <x v="5"/>
    <x v="1"/>
    <s v="Luzon"/>
    <n v="2209.46"/>
  </r>
  <r>
    <n v="202211"/>
    <x v="34"/>
    <n v="2022"/>
    <s v=" November "/>
    <x v="5"/>
    <x v="1"/>
    <s v="Luzon"/>
    <n v="2428.3200000000002"/>
  </r>
  <r>
    <n v="202212"/>
    <x v="35"/>
    <n v="2022"/>
    <s v=" December "/>
    <x v="5"/>
    <x v="1"/>
    <s v="Luzon"/>
    <n v="2173.94"/>
  </r>
  <r>
    <n v="202201"/>
    <x v="24"/>
    <n v="2022"/>
    <s v=" January "/>
    <x v="5"/>
    <x v="1"/>
    <s v="Luzon"/>
    <n v="2663.74"/>
  </r>
  <r>
    <n v="202202"/>
    <x v="25"/>
    <n v="2022"/>
    <s v=" February "/>
    <x v="5"/>
    <x v="1"/>
    <s v="Luzon"/>
    <n v="1592.65"/>
  </r>
  <r>
    <n v="202203"/>
    <x v="26"/>
    <n v="2022"/>
    <s v=" March "/>
    <x v="5"/>
    <x v="1"/>
    <s v="Luzon"/>
    <n v="2232.7399999999998"/>
  </r>
  <r>
    <n v="202204"/>
    <x v="27"/>
    <n v="2022"/>
    <s v=" April "/>
    <x v="5"/>
    <x v="1"/>
    <s v="Luzon"/>
    <n v="3549.44"/>
  </r>
  <r>
    <n v="202205"/>
    <x v="28"/>
    <n v="2022"/>
    <s v=" May "/>
    <x v="5"/>
    <x v="1"/>
    <s v="Luzon"/>
    <n v="2688.67"/>
  </r>
  <r>
    <n v="202206"/>
    <x v="29"/>
    <n v="2022"/>
    <s v=" June "/>
    <x v="5"/>
    <x v="1"/>
    <s v="Luzon"/>
    <n v="2119.31"/>
  </r>
  <r>
    <n v="202207"/>
    <x v="30"/>
    <n v="2022"/>
    <s v=" July "/>
    <x v="5"/>
    <x v="1"/>
    <s v="Luzon"/>
    <n v="2501.54"/>
  </r>
  <r>
    <n v="202208"/>
    <x v="31"/>
    <n v="2022"/>
    <s v=" August "/>
    <x v="5"/>
    <x v="1"/>
    <s v="Luzon"/>
    <n v="2821.89"/>
  </r>
  <r>
    <n v="202209"/>
    <x v="32"/>
    <n v="2022"/>
    <s v=" September "/>
    <x v="5"/>
    <x v="1"/>
    <s v="Luzon"/>
    <n v="1955.26"/>
  </r>
  <r>
    <n v="202210"/>
    <x v="33"/>
    <n v="2022"/>
    <s v=" October "/>
    <x v="5"/>
    <x v="1"/>
    <s v="Luzon"/>
    <n v="2500.94"/>
  </r>
  <r>
    <n v="202211"/>
    <x v="34"/>
    <n v="2022"/>
    <s v=" November "/>
    <x v="5"/>
    <x v="1"/>
    <s v="Luzon"/>
    <n v="2889.79"/>
  </r>
  <r>
    <n v="202212"/>
    <x v="35"/>
    <n v="2022"/>
    <s v=" December "/>
    <x v="5"/>
    <x v="1"/>
    <s v="Luzon"/>
    <n v="2316.92"/>
  </r>
  <r>
    <n v="202201"/>
    <x v="24"/>
    <n v="2022"/>
    <s v=" January "/>
    <x v="5"/>
    <x v="1"/>
    <s v="Luzon"/>
    <n v="76.23"/>
  </r>
  <r>
    <n v="202202"/>
    <x v="25"/>
    <n v="2022"/>
    <s v=" February "/>
    <x v="5"/>
    <x v="1"/>
    <s v="Luzon"/>
    <n v="37.85"/>
  </r>
  <r>
    <n v="202203"/>
    <x v="26"/>
    <n v="2022"/>
    <s v=" March "/>
    <x v="5"/>
    <x v="1"/>
    <s v="Luzon"/>
    <n v="50.32"/>
  </r>
  <r>
    <n v="202204"/>
    <x v="27"/>
    <n v="2022"/>
    <s v=" April "/>
    <x v="5"/>
    <x v="1"/>
    <s v="Luzon"/>
    <n v="78.760000000000005"/>
  </r>
  <r>
    <n v="202205"/>
    <x v="28"/>
    <n v="2022"/>
    <s v=" May "/>
    <x v="5"/>
    <x v="1"/>
    <s v="Luzon"/>
    <n v="42.83"/>
  </r>
  <r>
    <n v="202206"/>
    <x v="29"/>
    <n v="2022"/>
    <s v=" June "/>
    <x v="5"/>
    <x v="1"/>
    <s v="Luzon"/>
    <n v="53.07"/>
  </r>
  <r>
    <n v="202207"/>
    <x v="30"/>
    <n v="2022"/>
    <s v=" July "/>
    <x v="5"/>
    <x v="1"/>
    <s v="Luzon"/>
    <n v="61.22"/>
  </r>
  <r>
    <n v="202208"/>
    <x v="31"/>
    <n v="2022"/>
    <s v=" August "/>
    <x v="5"/>
    <x v="1"/>
    <s v="Luzon"/>
    <n v="60.3"/>
  </r>
  <r>
    <n v="202209"/>
    <x v="32"/>
    <n v="2022"/>
    <s v=" September "/>
    <x v="5"/>
    <x v="1"/>
    <s v="Luzon"/>
    <n v="49.3"/>
  </r>
  <r>
    <n v="202210"/>
    <x v="33"/>
    <n v="2022"/>
    <s v=" October "/>
    <x v="5"/>
    <x v="1"/>
    <s v="Luzon"/>
    <n v="55.26"/>
  </r>
  <r>
    <n v="202211"/>
    <x v="34"/>
    <n v="2022"/>
    <s v=" November "/>
    <x v="5"/>
    <x v="1"/>
    <s v="Luzon"/>
    <n v="58.25"/>
  </r>
  <r>
    <n v="202212"/>
    <x v="35"/>
    <n v="2022"/>
    <s v=" December "/>
    <x v="5"/>
    <x v="1"/>
    <s v="Luzon"/>
    <n v="51.12"/>
  </r>
  <r>
    <n v="202201"/>
    <x v="24"/>
    <n v="2022"/>
    <s v=" January "/>
    <x v="5"/>
    <x v="1"/>
    <s v="Luzon"/>
    <n v="497.96"/>
  </r>
  <r>
    <n v="202202"/>
    <x v="25"/>
    <n v="2022"/>
    <s v=" February "/>
    <x v="5"/>
    <x v="1"/>
    <s v="Luzon"/>
    <n v="375.1"/>
  </r>
  <r>
    <n v="202203"/>
    <x v="26"/>
    <n v="2022"/>
    <s v=" March "/>
    <x v="5"/>
    <x v="1"/>
    <s v="Luzon"/>
    <n v="508.16"/>
  </r>
  <r>
    <n v="202204"/>
    <x v="27"/>
    <n v="2022"/>
    <s v=" April "/>
    <x v="5"/>
    <x v="1"/>
    <s v="Luzon"/>
    <n v="712.52"/>
  </r>
  <r>
    <n v="202205"/>
    <x v="28"/>
    <n v="2022"/>
    <s v=" May "/>
    <x v="5"/>
    <x v="1"/>
    <s v="Luzon"/>
    <n v="531.27"/>
  </r>
  <r>
    <n v="202206"/>
    <x v="29"/>
    <n v="2022"/>
    <s v=" June "/>
    <x v="5"/>
    <x v="1"/>
    <s v="Luzon"/>
    <n v="454.08"/>
  </r>
  <r>
    <n v="202207"/>
    <x v="30"/>
    <n v="2022"/>
    <s v=" July "/>
    <x v="5"/>
    <x v="1"/>
    <s v="Luzon"/>
    <n v="515.16"/>
  </r>
  <r>
    <n v="202208"/>
    <x v="31"/>
    <n v="2022"/>
    <s v=" August "/>
    <x v="5"/>
    <x v="1"/>
    <s v="Luzon"/>
    <n v="553.45000000000005"/>
  </r>
  <r>
    <n v="202209"/>
    <x v="32"/>
    <n v="2022"/>
    <s v=" September "/>
    <x v="5"/>
    <x v="1"/>
    <s v="Luzon"/>
    <n v="506.86"/>
  </r>
  <r>
    <n v="202210"/>
    <x v="33"/>
    <n v="2022"/>
    <s v=" October "/>
    <x v="5"/>
    <x v="1"/>
    <s v="Luzon"/>
    <n v="579.13"/>
  </r>
  <r>
    <n v="202211"/>
    <x v="34"/>
    <n v="2022"/>
    <s v=" November "/>
    <x v="5"/>
    <x v="1"/>
    <s v="Luzon"/>
    <n v="582.09"/>
  </r>
  <r>
    <n v="202212"/>
    <x v="35"/>
    <n v="2022"/>
    <s v=" December "/>
    <x v="5"/>
    <x v="1"/>
    <s v="Luzon"/>
    <n v="500.49"/>
  </r>
  <r>
    <n v="202201"/>
    <x v="24"/>
    <n v="2022"/>
    <s v=" January "/>
    <x v="5"/>
    <x v="1"/>
    <s v="Luzon"/>
    <n v="422.89"/>
  </r>
  <r>
    <n v="202202"/>
    <x v="25"/>
    <n v="2022"/>
    <s v=" February "/>
    <x v="5"/>
    <x v="1"/>
    <s v="Luzon"/>
    <n v="291.3"/>
  </r>
  <r>
    <n v="202203"/>
    <x v="26"/>
    <n v="2022"/>
    <s v=" March "/>
    <x v="5"/>
    <x v="1"/>
    <s v="Luzon"/>
    <n v="334.57"/>
  </r>
  <r>
    <n v="202204"/>
    <x v="27"/>
    <n v="2022"/>
    <s v=" April "/>
    <x v="5"/>
    <x v="1"/>
    <s v="Luzon"/>
    <n v="496.58"/>
  </r>
  <r>
    <n v="202205"/>
    <x v="28"/>
    <n v="2022"/>
    <s v=" May "/>
    <x v="5"/>
    <x v="1"/>
    <s v="Luzon"/>
    <n v="382.01"/>
  </r>
  <r>
    <n v="202206"/>
    <x v="29"/>
    <n v="2022"/>
    <s v=" June "/>
    <x v="5"/>
    <x v="1"/>
    <s v="Luzon"/>
    <n v="397.67"/>
  </r>
  <r>
    <n v="202207"/>
    <x v="30"/>
    <n v="2022"/>
    <s v=" July "/>
    <x v="5"/>
    <x v="1"/>
    <s v="Luzon"/>
    <n v="424.34"/>
  </r>
  <r>
    <n v="202208"/>
    <x v="31"/>
    <n v="2022"/>
    <s v=" August "/>
    <x v="5"/>
    <x v="1"/>
    <s v="Luzon"/>
    <n v="494.58"/>
  </r>
  <r>
    <n v="202209"/>
    <x v="32"/>
    <n v="2022"/>
    <s v=" September "/>
    <x v="5"/>
    <x v="1"/>
    <s v="Luzon"/>
    <n v="367.06"/>
  </r>
  <r>
    <n v="202210"/>
    <x v="33"/>
    <n v="2022"/>
    <s v=" October "/>
    <x v="5"/>
    <x v="1"/>
    <s v="Luzon"/>
    <n v="402.42"/>
  </r>
  <r>
    <n v="202211"/>
    <x v="34"/>
    <n v="2022"/>
    <s v=" November "/>
    <x v="5"/>
    <x v="1"/>
    <s v="Luzon"/>
    <n v="458.54"/>
  </r>
  <r>
    <n v="202212"/>
    <x v="35"/>
    <n v="2022"/>
    <s v=" December "/>
    <x v="5"/>
    <x v="1"/>
    <s v="Luzon"/>
    <n v="326.22000000000003"/>
  </r>
  <r>
    <n v="202201"/>
    <x v="24"/>
    <n v="2022"/>
    <s v=" January "/>
    <x v="6"/>
    <x v="1"/>
    <s v="Luzon"/>
    <n v="37.950000000000003"/>
  </r>
  <r>
    <n v="202202"/>
    <x v="25"/>
    <n v="2022"/>
    <s v=" February "/>
    <x v="6"/>
    <x v="1"/>
    <s v="Luzon"/>
    <n v="18.079999999999998"/>
  </r>
  <r>
    <n v="202203"/>
    <x v="26"/>
    <n v="2022"/>
    <s v=" March "/>
    <x v="6"/>
    <x v="1"/>
    <s v="Luzon"/>
    <n v="25.61"/>
  </r>
  <r>
    <n v="202204"/>
    <x v="27"/>
    <n v="2022"/>
    <s v=" April "/>
    <x v="6"/>
    <x v="1"/>
    <s v="Luzon"/>
    <n v="34.049999999999997"/>
  </r>
  <r>
    <n v="202205"/>
    <x v="28"/>
    <n v="2022"/>
    <s v=" May "/>
    <x v="6"/>
    <x v="1"/>
    <s v="Luzon"/>
    <n v="23.49"/>
  </r>
  <r>
    <n v="202206"/>
    <x v="29"/>
    <n v="2022"/>
    <s v=" June "/>
    <x v="6"/>
    <x v="1"/>
    <s v="Luzon"/>
    <n v="30.06"/>
  </r>
  <r>
    <n v="202207"/>
    <x v="30"/>
    <n v="2022"/>
    <s v=" July "/>
    <x v="6"/>
    <x v="1"/>
    <s v="Luzon"/>
    <n v="28.76"/>
  </r>
  <r>
    <n v="202208"/>
    <x v="31"/>
    <n v="2022"/>
    <s v=" August "/>
    <x v="6"/>
    <x v="1"/>
    <s v="Luzon"/>
    <n v="25.39"/>
  </r>
  <r>
    <n v="202209"/>
    <x v="32"/>
    <n v="2022"/>
    <s v=" September "/>
    <x v="6"/>
    <x v="1"/>
    <s v="Luzon"/>
    <n v="26.39"/>
  </r>
  <r>
    <n v="202210"/>
    <x v="33"/>
    <n v="2022"/>
    <s v=" October "/>
    <x v="6"/>
    <x v="1"/>
    <s v="Luzon"/>
    <n v="22.4"/>
  </r>
  <r>
    <n v="202211"/>
    <x v="34"/>
    <n v="2022"/>
    <s v=" November "/>
    <x v="6"/>
    <x v="1"/>
    <s v="Luzon"/>
    <n v="25.87"/>
  </r>
  <r>
    <n v="202212"/>
    <x v="35"/>
    <n v="2022"/>
    <s v=" December "/>
    <x v="6"/>
    <x v="1"/>
    <s v="Luzon"/>
    <n v="22.73"/>
  </r>
  <r>
    <n v="202201"/>
    <x v="24"/>
    <n v="2022"/>
    <s v=" January "/>
    <x v="6"/>
    <x v="1"/>
    <s v="Luzon"/>
    <n v="78.92"/>
  </r>
  <r>
    <n v="202202"/>
    <x v="25"/>
    <n v="2022"/>
    <s v=" February "/>
    <x v="6"/>
    <x v="1"/>
    <s v="Luzon"/>
    <n v="57.94"/>
  </r>
  <r>
    <n v="202203"/>
    <x v="26"/>
    <n v="2022"/>
    <s v=" March "/>
    <x v="6"/>
    <x v="1"/>
    <s v="Luzon"/>
    <n v="64.510000000000005"/>
  </r>
  <r>
    <n v="202204"/>
    <x v="27"/>
    <n v="2022"/>
    <s v=" April "/>
    <x v="6"/>
    <x v="1"/>
    <s v="Luzon"/>
    <n v="89.91"/>
  </r>
  <r>
    <n v="202205"/>
    <x v="28"/>
    <n v="2022"/>
    <s v=" May "/>
    <x v="6"/>
    <x v="1"/>
    <s v="Luzon"/>
    <n v="64.650000000000006"/>
  </r>
  <r>
    <n v="202206"/>
    <x v="29"/>
    <n v="2022"/>
    <s v=" June "/>
    <x v="6"/>
    <x v="1"/>
    <s v="Luzon"/>
    <n v="62.77"/>
  </r>
  <r>
    <n v="202207"/>
    <x v="30"/>
    <n v="2022"/>
    <s v=" July "/>
    <x v="6"/>
    <x v="1"/>
    <s v="Luzon"/>
    <n v="81.52"/>
  </r>
  <r>
    <n v="202208"/>
    <x v="31"/>
    <n v="2022"/>
    <s v=" August "/>
    <x v="6"/>
    <x v="1"/>
    <s v="Luzon"/>
    <n v="66.72"/>
  </r>
  <r>
    <n v="202209"/>
    <x v="32"/>
    <n v="2022"/>
    <s v=" September "/>
    <x v="6"/>
    <x v="1"/>
    <s v="Luzon"/>
    <n v="61.53"/>
  </r>
  <r>
    <n v="202210"/>
    <x v="33"/>
    <n v="2022"/>
    <s v=" October "/>
    <x v="6"/>
    <x v="1"/>
    <s v="Luzon"/>
    <n v="56.03"/>
  </r>
  <r>
    <n v="202211"/>
    <x v="34"/>
    <n v="2022"/>
    <s v=" November "/>
    <x v="6"/>
    <x v="1"/>
    <s v="Luzon"/>
    <n v="66.680000000000007"/>
  </r>
  <r>
    <n v="202212"/>
    <x v="35"/>
    <n v="2022"/>
    <s v=" December "/>
    <x v="6"/>
    <x v="1"/>
    <s v="Luzon"/>
    <n v="67.06"/>
  </r>
  <r>
    <n v="202201"/>
    <x v="24"/>
    <n v="2022"/>
    <s v=" January "/>
    <x v="6"/>
    <x v="1"/>
    <s v="Luzon"/>
    <n v="211.1"/>
  </r>
  <r>
    <n v="202202"/>
    <x v="25"/>
    <n v="2022"/>
    <s v=" February "/>
    <x v="6"/>
    <x v="1"/>
    <s v="Luzon"/>
    <n v="110.39"/>
  </r>
  <r>
    <n v="202203"/>
    <x v="26"/>
    <n v="2022"/>
    <s v=" March "/>
    <x v="6"/>
    <x v="1"/>
    <s v="Luzon"/>
    <n v="148.91"/>
  </r>
  <r>
    <n v="202204"/>
    <x v="27"/>
    <n v="2022"/>
    <s v=" April "/>
    <x v="6"/>
    <x v="1"/>
    <s v="Luzon"/>
    <n v="213.2"/>
  </r>
  <r>
    <n v="202205"/>
    <x v="28"/>
    <n v="2022"/>
    <s v=" May "/>
    <x v="6"/>
    <x v="1"/>
    <s v="Luzon"/>
    <n v="160.37"/>
  </r>
  <r>
    <n v="202206"/>
    <x v="29"/>
    <n v="2022"/>
    <s v=" June "/>
    <x v="6"/>
    <x v="1"/>
    <s v="Luzon"/>
    <n v="166.09"/>
  </r>
  <r>
    <n v="202207"/>
    <x v="30"/>
    <n v="2022"/>
    <s v=" July "/>
    <x v="6"/>
    <x v="1"/>
    <s v="Luzon"/>
    <n v="194.04"/>
  </r>
  <r>
    <n v="202208"/>
    <x v="31"/>
    <n v="2022"/>
    <s v=" August "/>
    <x v="6"/>
    <x v="1"/>
    <s v="Luzon"/>
    <n v="202.06"/>
  </r>
  <r>
    <n v="202209"/>
    <x v="32"/>
    <n v="2022"/>
    <s v=" September "/>
    <x v="6"/>
    <x v="1"/>
    <s v="Luzon"/>
    <n v="155.65"/>
  </r>
  <r>
    <n v="202210"/>
    <x v="33"/>
    <n v="2022"/>
    <s v=" October "/>
    <x v="6"/>
    <x v="1"/>
    <s v="Luzon"/>
    <n v="186.1"/>
  </r>
  <r>
    <n v="202211"/>
    <x v="34"/>
    <n v="2022"/>
    <s v=" November "/>
    <x v="6"/>
    <x v="1"/>
    <s v="Luzon"/>
    <n v="169.28"/>
  </r>
  <r>
    <n v="202212"/>
    <x v="35"/>
    <n v="2022"/>
    <s v=" December "/>
    <x v="6"/>
    <x v="1"/>
    <s v="Luzon"/>
    <n v="179.85"/>
  </r>
  <r>
    <n v="202201"/>
    <x v="24"/>
    <n v="2022"/>
    <s v=" January "/>
    <x v="6"/>
    <x v="1"/>
    <s v="Luzon"/>
    <n v="339"/>
  </r>
  <r>
    <n v="202202"/>
    <x v="25"/>
    <n v="2022"/>
    <s v=" February "/>
    <x v="6"/>
    <x v="1"/>
    <s v="Luzon"/>
    <n v="216.57"/>
  </r>
  <r>
    <n v="202203"/>
    <x v="26"/>
    <n v="2022"/>
    <s v=" March "/>
    <x v="6"/>
    <x v="1"/>
    <s v="Luzon"/>
    <n v="280.22000000000003"/>
  </r>
  <r>
    <n v="202204"/>
    <x v="27"/>
    <n v="2022"/>
    <s v=" April "/>
    <x v="6"/>
    <x v="1"/>
    <s v="Luzon"/>
    <n v="421.26"/>
  </r>
  <r>
    <n v="202205"/>
    <x v="28"/>
    <n v="2022"/>
    <s v=" May "/>
    <x v="6"/>
    <x v="1"/>
    <s v="Luzon"/>
    <n v="301.27999999999997"/>
  </r>
  <r>
    <n v="202206"/>
    <x v="29"/>
    <n v="2022"/>
    <s v=" June "/>
    <x v="6"/>
    <x v="1"/>
    <s v="Luzon"/>
    <n v="275.33999999999997"/>
  </r>
  <r>
    <n v="202207"/>
    <x v="30"/>
    <n v="2022"/>
    <s v=" July "/>
    <x v="6"/>
    <x v="1"/>
    <s v="Luzon"/>
    <n v="285.32"/>
  </r>
  <r>
    <n v="202208"/>
    <x v="31"/>
    <n v="2022"/>
    <s v=" August "/>
    <x v="6"/>
    <x v="1"/>
    <s v="Luzon"/>
    <n v="361.37"/>
  </r>
  <r>
    <n v="202209"/>
    <x v="32"/>
    <n v="2022"/>
    <s v=" September "/>
    <x v="6"/>
    <x v="1"/>
    <s v="Luzon"/>
    <n v="322.08999999999997"/>
  </r>
  <r>
    <n v="202210"/>
    <x v="33"/>
    <n v="2022"/>
    <s v=" October "/>
    <x v="6"/>
    <x v="1"/>
    <s v="Luzon"/>
    <n v="331.73"/>
  </r>
  <r>
    <n v="202211"/>
    <x v="34"/>
    <n v="2022"/>
    <s v=" November "/>
    <x v="6"/>
    <x v="1"/>
    <s v="Luzon"/>
    <n v="378.85"/>
  </r>
  <r>
    <n v="202212"/>
    <x v="35"/>
    <n v="2022"/>
    <s v=" December "/>
    <x v="6"/>
    <x v="1"/>
    <s v="Luzon"/>
    <n v="276.33"/>
  </r>
  <r>
    <n v="202201"/>
    <x v="24"/>
    <n v="2022"/>
    <s v=" January "/>
    <x v="6"/>
    <x v="1"/>
    <s v="Luzon"/>
    <n v="50.11"/>
  </r>
  <r>
    <n v="202202"/>
    <x v="25"/>
    <n v="2022"/>
    <s v=" February "/>
    <x v="6"/>
    <x v="1"/>
    <s v="Luzon"/>
    <n v="27.43"/>
  </r>
  <r>
    <n v="202203"/>
    <x v="26"/>
    <n v="2022"/>
    <s v=" March "/>
    <x v="6"/>
    <x v="1"/>
    <s v="Luzon"/>
    <n v="37.51"/>
  </r>
  <r>
    <n v="202204"/>
    <x v="27"/>
    <n v="2022"/>
    <s v=" April "/>
    <x v="6"/>
    <x v="1"/>
    <s v="Luzon"/>
    <n v="33.82"/>
  </r>
  <r>
    <n v="202205"/>
    <x v="28"/>
    <n v="2022"/>
    <s v=" May "/>
    <x v="6"/>
    <x v="1"/>
    <s v="Luzon"/>
    <n v="39.5"/>
  </r>
  <r>
    <n v="202206"/>
    <x v="29"/>
    <n v="2022"/>
    <s v=" June "/>
    <x v="6"/>
    <x v="1"/>
    <s v="Luzon"/>
    <n v="32.159999999999997"/>
  </r>
  <r>
    <n v="202207"/>
    <x v="30"/>
    <n v="2022"/>
    <s v=" July "/>
    <x v="6"/>
    <x v="1"/>
    <s v="Luzon"/>
    <n v="37.07"/>
  </r>
  <r>
    <n v="202208"/>
    <x v="31"/>
    <n v="2022"/>
    <s v=" August "/>
    <x v="6"/>
    <x v="1"/>
    <s v="Luzon"/>
    <n v="38.590000000000003"/>
  </r>
  <r>
    <n v="202209"/>
    <x v="32"/>
    <n v="2022"/>
    <s v=" September "/>
    <x v="6"/>
    <x v="1"/>
    <s v="Luzon"/>
    <n v="45.18"/>
  </r>
  <r>
    <n v="202210"/>
    <x v="33"/>
    <n v="2022"/>
    <s v=" October "/>
    <x v="6"/>
    <x v="1"/>
    <s v="Luzon"/>
    <n v="42.2"/>
  </r>
  <r>
    <n v="202211"/>
    <x v="34"/>
    <n v="2022"/>
    <s v=" November "/>
    <x v="6"/>
    <x v="1"/>
    <s v="Luzon"/>
    <n v="43.28"/>
  </r>
  <r>
    <n v="202212"/>
    <x v="35"/>
    <n v="2022"/>
    <s v=" December "/>
    <x v="6"/>
    <x v="1"/>
    <s v="Luzon"/>
    <n v="48.82"/>
  </r>
  <r>
    <n v="202201"/>
    <x v="24"/>
    <n v="2022"/>
    <s v=" January "/>
    <x v="7"/>
    <x v="1"/>
    <s v="Luzon"/>
    <n v="437.32"/>
  </r>
  <r>
    <n v="202202"/>
    <x v="25"/>
    <n v="2022"/>
    <s v=" February "/>
    <x v="7"/>
    <x v="1"/>
    <s v="Luzon"/>
    <n v="219.16"/>
  </r>
  <r>
    <n v="202203"/>
    <x v="26"/>
    <n v="2022"/>
    <s v=" March "/>
    <x v="7"/>
    <x v="1"/>
    <s v="Luzon"/>
    <n v="272.31"/>
  </r>
  <r>
    <n v="202204"/>
    <x v="27"/>
    <n v="2022"/>
    <s v=" April "/>
    <x v="7"/>
    <x v="1"/>
    <s v="Luzon"/>
    <n v="484.91"/>
  </r>
  <r>
    <n v="202205"/>
    <x v="28"/>
    <n v="2022"/>
    <s v=" May "/>
    <x v="7"/>
    <x v="1"/>
    <s v="Luzon"/>
    <n v="295.39"/>
  </r>
  <r>
    <n v="202206"/>
    <x v="29"/>
    <n v="2022"/>
    <s v=" June "/>
    <x v="7"/>
    <x v="1"/>
    <s v="Luzon"/>
    <n v="323.97000000000003"/>
  </r>
  <r>
    <n v="202207"/>
    <x v="30"/>
    <n v="2022"/>
    <s v=" July "/>
    <x v="7"/>
    <x v="1"/>
    <s v="Luzon"/>
    <n v="360.41"/>
  </r>
  <r>
    <n v="202208"/>
    <x v="31"/>
    <n v="2022"/>
    <s v=" August "/>
    <x v="7"/>
    <x v="1"/>
    <s v="Luzon"/>
    <n v="372.34"/>
  </r>
  <r>
    <n v="202209"/>
    <x v="32"/>
    <n v="2022"/>
    <s v=" September "/>
    <x v="7"/>
    <x v="1"/>
    <s v="Luzon"/>
    <n v="289.02999999999997"/>
  </r>
  <r>
    <n v="202210"/>
    <x v="33"/>
    <n v="2022"/>
    <s v=" October "/>
    <x v="7"/>
    <x v="1"/>
    <s v="Luzon"/>
    <n v="332.06"/>
  </r>
  <r>
    <n v="202211"/>
    <x v="34"/>
    <n v="2022"/>
    <s v=" November "/>
    <x v="7"/>
    <x v="1"/>
    <s v="Luzon"/>
    <n v="424.91"/>
  </r>
  <r>
    <n v="202212"/>
    <x v="35"/>
    <n v="2022"/>
    <s v=" December "/>
    <x v="7"/>
    <x v="1"/>
    <s v="Luzon"/>
    <n v="294.01"/>
  </r>
  <r>
    <n v="202201"/>
    <x v="24"/>
    <n v="2022"/>
    <s v=" January "/>
    <x v="7"/>
    <x v="1"/>
    <s v="Luzon"/>
    <n v="93.32"/>
  </r>
  <r>
    <n v="202202"/>
    <x v="25"/>
    <n v="2022"/>
    <s v=" February "/>
    <x v="7"/>
    <x v="1"/>
    <s v="Luzon"/>
    <n v="64.2"/>
  </r>
  <r>
    <n v="202203"/>
    <x v="26"/>
    <n v="2022"/>
    <s v=" March "/>
    <x v="7"/>
    <x v="1"/>
    <s v="Luzon"/>
    <n v="90.93"/>
  </r>
  <r>
    <n v="202204"/>
    <x v="27"/>
    <n v="2022"/>
    <s v=" April "/>
    <x v="7"/>
    <x v="1"/>
    <s v="Luzon"/>
    <n v="111.72"/>
  </r>
  <r>
    <n v="202205"/>
    <x v="28"/>
    <n v="2022"/>
    <s v=" May "/>
    <x v="7"/>
    <x v="1"/>
    <s v="Luzon"/>
    <n v="112.45"/>
  </r>
  <r>
    <n v="202206"/>
    <x v="29"/>
    <n v="2022"/>
    <s v=" June "/>
    <x v="7"/>
    <x v="1"/>
    <s v="Luzon"/>
    <n v="80.569999999999993"/>
  </r>
  <r>
    <n v="202207"/>
    <x v="30"/>
    <n v="2022"/>
    <s v=" July "/>
    <x v="7"/>
    <x v="1"/>
    <s v="Luzon"/>
    <n v="79.77"/>
  </r>
  <r>
    <n v="202208"/>
    <x v="31"/>
    <n v="2022"/>
    <s v=" August "/>
    <x v="7"/>
    <x v="1"/>
    <s v="Luzon"/>
    <n v="91.71"/>
  </r>
  <r>
    <n v="202209"/>
    <x v="32"/>
    <n v="2022"/>
    <s v=" September "/>
    <x v="7"/>
    <x v="1"/>
    <s v="Luzon"/>
    <n v="88.73"/>
  </r>
  <r>
    <n v="202210"/>
    <x v="33"/>
    <n v="2022"/>
    <s v=" October "/>
    <x v="7"/>
    <x v="1"/>
    <s v="Luzon"/>
    <n v="73.02"/>
  </r>
  <r>
    <n v="202211"/>
    <x v="34"/>
    <n v="2022"/>
    <s v=" November "/>
    <x v="7"/>
    <x v="1"/>
    <s v="Luzon"/>
    <n v="116.21"/>
  </r>
  <r>
    <n v="202212"/>
    <x v="35"/>
    <n v="2022"/>
    <s v=" December "/>
    <x v="7"/>
    <x v="1"/>
    <s v="Luzon"/>
    <n v="73.819999999999993"/>
  </r>
  <r>
    <n v="202201"/>
    <x v="24"/>
    <n v="2022"/>
    <s v=" January "/>
    <x v="7"/>
    <x v="1"/>
    <s v="Luzon"/>
    <n v="473.52"/>
  </r>
  <r>
    <n v="202202"/>
    <x v="25"/>
    <n v="2022"/>
    <s v=" February "/>
    <x v="7"/>
    <x v="1"/>
    <s v="Luzon"/>
    <n v="324.74"/>
  </r>
  <r>
    <n v="202203"/>
    <x v="26"/>
    <n v="2022"/>
    <s v=" March "/>
    <x v="7"/>
    <x v="1"/>
    <s v="Luzon"/>
    <n v="353.87"/>
  </r>
  <r>
    <n v="202204"/>
    <x v="27"/>
    <n v="2022"/>
    <s v=" April "/>
    <x v="7"/>
    <x v="1"/>
    <s v="Luzon"/>
    <n v="464.21"/>
  </r>
  <r>
    <n v="202205"/>
    <x v="28"/>
    <n v="2022"/>
    <s v=" May "/>
    <x v="7"/>
    <x v="1"/>
    <s v="Luzon"/>
    <n v="348.59"/>
  </r>
  <r>
    <n v="202206"/>
    <x v="29"/>
    <n v="2022"/>
    <s v=" June "/>
    <x v="7"/>
    <x v="1"/>
    <s v="Luzon"/>
    <n v="352.12"/>
  </r>
  <r>
    <n v="202207"/>
    <x v="30"/>
    <n v="2022"/>
    <s v=" July "/>
    <x v="7"/>
    <x v="1"/>
    <s v="Luzon"/>
    <n v="383.88"/>
  </r>
  <r>
    <n v="202208"/>
    <x v="31"/>
    <n v="2022"/>
    <s v=" August "/>
    <x v="7"/>
    <x v="1"/>
    <s v="Luzon"/>
    <n v="356.93"/>
  </r>
  <r>
    <n v="202209"/>
    <x v="32"/>
    <n v="2022"/>
    <s v=" September "/>
    <x v="7"/>
    <x v="1"/>
    <s v="Luzon"/>
    <n v="337.66"/>
  </r>
  <r>
    <n v="202210"/>
    <x v="33"/>
    <n v="2022"/>
    <s v=" October "/>
    <x v="7"/>
    <x v="1"/>
    <s v="Luzon"/>
    <n v="375.01"/>
  </r>
  <r>
    <n v="202211"/>
    <x v="34"/>
    <n v="2022"/>
    <s v=" November "/>
    <x v="7"/>
    <x v="1"/>
    <s v="Luzon"/>
    <n v="389.11"/>
  </r>
  <r>
    <n v="202212"/>
    <x v="35"/>
    <n v="2022"/>
    <s v=" December "/>
    <x v="7"/>
    <x v="1"/>
    <s v="Luzon"/>
    <n v="372.85"/>
  </r>
  <r>
    <n v="202201"/>
    <x v="24"/>
    <n v="2022"/>
    <s v=" January "/>
    <x v="7"/>
    <x v="1"/>
    <s v="Luzon"/>
    <n v="99.07"/>
  </r>
  <r>
    <n v="202202"/>
    <x v="25"/>
    <n v="2022"/>
    <s v=" February "/>
    <x v="7"/>
    <x v="1"/>
    <s v="Luzon"/>
    <n v="42.47"/>
  </r>
  <r>
    <n v="202203"/>
    <x v="26"/>
    <n v="2022"/>
    <s v=" March "/>
    <x v="7"/>
    <x v="1"/>
    <s v="Luzon"/>
    <n v="44.78"/>
  </r>
  <r>
    <n v="202204"/>
    <x v="27"/>
    <n v="2022"/>
    <s v=" April "/>
    <x v="7"/>
    <x v="1"/>
    <s v="Luzon"/>
    <n v="79.38"/>
  </r>
  <r>
    <n v="202205"/>
    <x v="28"/>
    <n v="2022"/>
    <s v=" May "/>
    <x v="7"/>
    <x v="1"/>
    <s v="Luzon"/>
    <n v="60.33"/>
  </r>
  <r>
    <n v="202206"/>
    <x v="29"/>
    <n v="2022"/>
    <s v=" June "/>
    <x v="7"/>
    <x v="1"/>
    <s v="Luzon"/>
    <n v="58.41"/>
  </r>
  <r>
    <n v="202207"/>
    <x v="30"/>
    <n v="2022"/>
    <s v=" July "/>
    <x v="7"/>
    <x v="1"/>
    <s v="Luzon"/>
    <n v="74.69"/>
  </r>
  <r>
    <n v="202208"/>
    <x v="31"/>
    <n v="2022"/>
    <s v=" August "/>
    <x v="7"/>
    <x v="1"/>
    <s v="Luzon"/>
    <n v="65.349999999999994"/>
  </r>
  <r>
    <n v="202209"/>
    <x v="32"/>
    <n v="2022"/>
    <s v=" September "/>
    <x v="7"/>
    <x v="1"/>
    <s v="Luzon"/>
    <n v="52.07"/>
  </r>
  <r>
    <n v="202210"/>
    <x v="33"/>
    <n v="2022"/>
    <s v=" October "/>
    <x v="7"/>
    <x v="1"/>
    <s v="Luzon"/>
    <n v="55.24"/>
  </r>
  <r>
    <n v="202211"/>
    <x v="34"/>
    <n v="2022"/>
    <s v=" November "/>
    <x v="7"/>
    <x v="1"/>
    <s v="Luzon"/>
    <n v="76.069999999999993"/>
  </r>
  <r>
    <n v="202212"/>
    <x v="35"/>
    <n v="2022"/>
    <s v=" December "/>
    <x v="7"/>
    <x v="1"/>
    <s v="Luzon"/>
    <n v="52.37"/>
  </r>
  <r>
    <n v="202201"/>
    <x v="24"/>
    <n v="2022"/>
    <s v=" January "/>
    <x v="7"/>
    <x v="1"/>
    <s v="Luzon"/>
    <n v="116.47"/>
  </r>
  <r>
    <n v="202202"/>
    <x v="25"/>
    <n v="2022"/>
    <s v=" February "/>
    <x v="7"/>
    <x v="1"/>
    <s v="Luzon"/>
    <n v="60.92"/>
  </r>
  <r>
    <n v="202203"/>
    <x v="26"/>
    <n v="2022"/>
    <s v=" March "/>
    <x v="7"/>
    <x v="1"/>
    <s v="Luzon"/>
    <n v="78.42"/>
  </r>
  <r>
    <n v="202204"/>
    <x v="27"/>
    <n v="2022"/>
    <s v=" April "/>
    <x v="7"/>
    <x v="1"/>
    <s v="Luzon"/>
    <n v="95.17"/>
  </r>
  <r>
    <n v="202205"/>
    <x v="28"/>
    <n v="2022"/>
    <s v=" May "/>
    <x v="7"/>
    <x v="1"/>
    <s v="Luzon"/>
    <n v="79.55"/>
  </r>
  <r>
    <n v="202206"/>
    <x v="29"/>
    <n v="2022"/>
    <s v=" June "/>
    <x v="7"/>
    <x v="1"/>
    <s v="Luzon"/>
    <n v="83.05"/>
  </r>
  <r>
    <n v="202207"/>
    <x v="30"/>
    <n v="2022"/>
    <s v=" July "/>
    <x v="7"/>
    <x v="1"/>
    <s v="Luzon"/>
    <n v="99"/>
  </r>
  <r>
    <n v="202208"/>
    <x v="31"/>
    <n v="2022"/>
    <s v=" August "/>
    <x v="7"/>
    <x v="1"/>
    <s v="Luzon"/>
    <n v="73.989999999999995"/>
  </r>
  <r>
    <n v="202209"/>
    <x v="32"/>
    <n v="2022"/>
    <s v=" September "/>
    <x v="7"/>
    <x v="1"/>
    <s v="Luzon"/>
    <n v="77.790000000000006"/>
  </r>
  <r>
    <n v="202210"/>
    <x v="33"/>
    <n v="2022"/>
    <s v=" October "/>
    <x v="7"/>
    <x v="1"/>
    <s v="Luzon"/>
    <n v="110.11"/>
  </r>
  <r>
    <n v="202211"/>
    <x v="34"/>
    <n v="2022"/>
    <s v=" November "/>
    <x v="7"/>
    <x v="1"/>
    <s v="Luzon"/>
    <n v="112.53"/>
  </r>
  <r>
    <n v="202212"/>
    <x v="35"/>
    <n v="2022"/>
    <s v=" December "/>
    <x v="7"/>
    <x v="1"/>
    <s v="Luzon"/>
    <n v="90.77"/>
  </r>
  <r>
    <n v="202201"/>
    <x v="24"/>
    <n v="2022"/>
    <s v=" January "/>
    <x v="7"/>
    <x v="1"/>
    <s v="Luzon"/>
    <n v="125.11"/>
  </r>
  <r>
    <n v="202202"/>
    <x v="25"/>
    <n v="2022"/>
    <s v=" February "/>
    <x v="7"/>
    <x v="1"/>
    <s v="Luzon"/>
    <n v="76.7"/>
  </r>
  <r>
    <n v="202203"/>
    <x v="26"/>
    <n v="2022"/>
    <s v=" March "/>
    <x v="7"/>
    <x v="1"/>
    <s v="Luzon"/>
    <n v="86.21"/>
  </r>
  <r>
    <n v="202204"/>
    <x v="27"/>
    <n v="2022"/>
    <s v=" April "/>
    <x v="7"/>
    <x v="1"/>
    <s v="Luzon"/>
    <n v="107.17"/>
  </r>
  <r>
    <n v="202205"/>
    <x v="28"/>
    <n v="2022"/>
    <s v=" May "/>
    <x v="7"/>
    <x v="1"/>
    <s v="Luzon"/>
    <n v="104.4"/>
  </r>
  <r>
    <n v="202206"/>
    <x v="29"/>
    <n v="2022"/>
    <s v=" June "/>
    <x v="7"/>
    <x v="1"/>
    <s v="Luzon"/>
    <n v="99.02"/>
  </r>
  <r>
    <n v="202207"/>
    <x v="30"/>
    <n v="2022"/>
    <s v=" July "/>
    <x v="7"/>
    <x v="1"/>
    <s v="Luzon"/>
    <n v="108.08"/>
  </r>
  <r>
    <n v="202208"/>
    <x v="31"/>
    <n v="2022"/>
    <s v=" August "/>
    <x v="7"/>
    <x v="1"/>
    <s v="Luzon"/>
    <n v="120.29"/>
  </r>
  <r>
    <n v="202209"/>
    <x v="32"/>
    <n v="2022"/>
    <s v=" September "/>
    <x v="7"/>
    <x v="1"/>
    <s v="Luzon"/>
    <n v="96.7"/>
  </r>
  <r>
    <n v="202210"/>
    <x v="33"/>
    <n v="2022"/>
    <s v=" October "/>
    <x v="7"/>
    <x v="1"/>
    <s v="Luzon"/>
    <n v="94.32"/>
  </r>
  <r>
    <n v="202211"/>
    <x v="34"/>
    <n v="2022"/>
    <s v=" November "/>
    <x v="7"/>
    <x v="1"/>
    <s v="Luzon"/>
    <n v="137.4"/>
  </r>
  <r>
    <n v="202212"/>
    <x v="35"/>
    <n v="2022"/>
    <s v=" December "/>
    <x v="7"/>
    <x v="1"/>
    <s v="Luzon"/>
    <n v="97.78"/>
  </r>
  <r>
    <n v="202201"/>
    <x v="24"/>
    <n v="2022"/>
    <s v=" January "/>
    <x v="8"/>
    <x v="1"/>
    <s v="Visayas"/>
    <n v="133.25"/>
  </r>
  <r>
    <n v="202202"/>
    <x v="25"/>
    <n v="2022"/>
    <s v=" February "/>
    <x v="8"/>
    <x v="1"/>
    <s v="Visayas"/>
    <n v="81.78"/>
  </r>
  <r>
    <n v="202203"/>
    <x v="26"/>
    <n v="2022"/>
    <s v=" March "/>
    <x v="8"/>
    <x v="1"/>
    <s v="Visayas"/>
    <n v="125.39"/>
  </r>
  <r>
    <n v="202204"/>
    <x v="27"/>
    <n v="2022"/>
    <s v=" April "/>
    <x v="8"/>
    <x v="1"/>
    <s v="Visayas"/>
    <n v="180.03"/>
  </r>
  <r>
    <n v="202205"/>
    <x v="28"/>
    <n v="2022"/>
    <s v=" May "/>
    <x v="8"/>
    <x v="1"/>
    <s v="Visayas"/>
    <n v="156.97"/>
  </r>
  <r>
    <n v="202206"/>
    <x v="29"/>
    <n v="2022"/>
    <s v=" June "/>
    <x v="8"/>
    <x v="1"/>
    <s v="Visayas"/>
    <n v="178.94"/>
  </r>
  <r>
    <n v="202207"/>
    <x v="30"/>
    <n v="2022"/>
    <s v=" July "/>
    <x v="8"/>
    <x v="1"/>
    <s v="Visayas"/>
    <n v="220.04"/>
  </r>
  <r>
    <n v="202208"/>
    <x v="31"/>
    <n v="2022"/>
    <s v=" August "/>
    <x v="8"/>
    <x v="1"/>
    <s v="Visayas"/>
    <n v="147.08000000000001"/>
  </r>
  <r>
    <n v="202209"/>
    <x v="32"/>
    <n v="2022"/>
    <s v=" September "/>
    <x v="8"/>
    <x v="1"/>
    <s v="Visayas"/>
    <n v="141.24"/>
  </r>
  <r>
    <n v="202210"/>
    <x v="33"/>
    <n v="2022"/>
    <s v=" October "/>
    <x v="8"/>
    <x v="1"/>
    <s v="Visayas"/>
    <n v="146.59"/>
  </r>
  <r>
    <n v="202211"/>
    <x v="34"/>
    <n v="2022"/>
    <s v=" November "/>
    <x v="8"/>
    <x v="1"/>
    <s v="Visayas"/>
    <n v="144.43"/>
  </r>
  <r>
    <n v="202212"/>
    <x v="35"/>
    <n v="2022"/>
    <s v=" December "/>
    <x v="8"/>
    <x v="1"/>
    <s v="Visayas"/>
    <n v="132.31"/>
  </r>
  <r>
    <n v="202201"/>
    <x v="24"/>
    <n v="2022"/>
    <s v=" January "/>
    <x v="8"/>
    <x v="1"/>
    <s v="Visayas"/>
    <n v="102.95"/>
  </r>
  <r>
    <n v="202202"/>
    <x v="25"/>
    <n v="2022"/>
    <s v=" February "/>
    <x v="8"/>
    <x v="1"/>
    <s v="Visayas"/>
    <n v="56.87"/>
  </r>
  <r>
    <n v="202203"/>
    <x v="26"/>
    <n v="2022"/>
    <s v=" March "/>
    <x v="8"/>
    <x v="1"/>
    <s v="Visayas"/>
    <n v="64.510000000000005"/>
  </r>
  <r>
    <n v="202204"/>
    <x v="27"/>
    <n v="2022"/>
    <s v=" April "/>
    <x v="8"/>
    <x v="1"/>
    <s v="Visayas"/>
    <n v="80.66"/>
  </r>
  <r>
    <n v="202205"/>
    <x v="28"/>
    <n v="2022"/>
    <s v=" May "/>
    <x v="8"/>
    <x v="1"/>
    <s v="Visayas"/>
    <n v="72.31"/>
  </r>
  <r>
    <n v="202206"/>
    <x v="29"/>
    <n v="2022"/>
    <s v=" June "/>
    <x v="8"/>
    <x v="1"/>
    <s v="Visayas"/>
    <n v="67.58"/>
  </r>
  <r>
    <n v="202207"/>
    <x v="30"/>
    <n v="2022"/>
    <s v=" July "/>
    <x v="8"/>
    <x v="1"/>
    <s v="Visayas"/>
    <n v="87.33"/>
  </r>
  <r>
    <n v="202208"/>
    <x v="31"/>
    <n v="2022"/>
    <s v=" August "/>
    <x v="8"/>
    <x v="1"/>
    <s v="Visayas"/>
    <n v="66.400000000000006"/>
  </r>
  <r>
    <n v="202209"/>
    <x v="32"/>
    <n v="2022"/>
    <s v=" September "/>
    <x v="8"/>
    <x v="1"/>
    <s v="Visayas"/>
    <n v="78.44"/>
  </r>
  <r>
    <n v="202210"/>
    <x v="33"/>
    <n v="2022"/>
    <s v=" October "/>
    <x v="8"/>
    <x v="1"/>
    <s v="Visayas"/>
    <n v="68.45"/>
  </r>
  <r>
    <n v="202211"/>
    <x v="34"/>
    <n v="2022"/>
    <s v=" November "/>
    <x v="8"/>
    <x v="1"/>
    <s v="Visayas"/>
    <n v="75.319999999999993"/>
  </r>
  <r>
    <n v="202212"/>
    <x v="35"/>
    <n v="2022"/>
    <s v=" December "/>
    <x v="8"/>
    <x v="1"/>
    <s v="Visayas"/>
    <n v="67.150000000000006"/>
  </r>
  <r>
    <n v="202201"/>
    <x v="24"/>
    <n v="2022"/>
    <s v=" January "/>
    <x v="8"/>
    <x v="1"/>
    <s v="Visayas"/>
    <n v="148.87"/>
  </r>
  <r>
    <n v="202202"/>
    <x v="25"/>
    <n v="2022"/>
    <s v=" February "/>
    <x v="8"/>
    <x v="1"/>
    <s v="Visayas"/>
    <n v="92.47"/>
  </r>
  <r>
    <n v="202203"/>
    <x v="26"/>
    <n v="2022"/>
    <s v=" March "/>
    <x v="8"/>
    <x v="1"/>
    <s v="Visayas"/>
    <n v="117.15"/>
  </r>
  <r>
    <n v="202204"/>
    <x v="27"/>
    <n v="2022"/>
    <s v=" April "/>
    <x v="8"/>
    <x v="1"/>
    <s v="Visayas"/>
    <n v="143.43"/>
  </r>
  <r>
    <n v="202205"/>
    <x v="28"/>
    <n v="2022"/>
    <s v=" May "/>
    <x v="8"/>
    <x v="1"/>
    <s v="Visayas"/>
    <n v="103.61"/>
  </r>
  <r>
    <n v="202206"/>
    <x v="29"/>
    <n v="2022"/>
    <s v=" June "/>
    <x v="8"/>
    <x v="1"/>
    <s v="Visayas"/>
    <n v="114.9"/>
  </r>
  <r>
    <n v="202207"/>
    <x v="30"/>
    <n v="2022"/>
    <s v=" July "/>
    <x v="8"/>
    <x v="1"/>
    <s v="Visayas"/>
    <n v="127.74"/>
  </r>
  <r>
    <n v="202208"/>
    <x v="31"/>
    <n v="2022"/>
    <s v=" August "/>
    <x v="8"/>
    <x v="1"/>
    <s v="Visayas"/>
    <n v="120.82"/>
  </r>
  <r>
    <n v="202209"/>
    <x v="32"/>
    <n v="2022"/>
    <s v=" September "/>
    <x v="8"/>
    <x v="1"/>
    <s v="Visayas"/>
    <n v="108.52"/>
  </r>
  <r>
    <n v="202210"/>
    <x v="33"/>
    <n v="2022"/>
    <s v=" October "/>
    <x v="8"/>
    <x v="1"/>
    <s v="Visayas"/>
    <n v="108.34"/>
  </r>
  <r>
    <n v="202211"/>
    <x v="34"/>
    <n v="2022"/>
    <s v=" November "/>
    <x v="8"/>
    <x v="1"/>
    <s v="Visayas"/>
    <n v="127.87"/>
  </r>
  <r>
    <n v="202212"/>
    <x v="35"/>
    <n v="2022"/>
    <s v=" December "/>
    <x v="8"/>
    <x v="1"/>
    <s v="Visayas"/>
    <n v="119.64"/>
  </r>
  <r>
    <n v="202201"/>
    <x v="24"/>
    <n v="2022"/>
    <s v=" January "/>
    <x v="8"/>
    <x v="1"/>
    <s v="Visayas"/>
    <n v="127.11"/>
  </r>
  <r>
    <n v="202202"/>
    <x v="25"/>
    <n v="2022"/>
    <s v=" February "/>
    <x v="8"/>
    <x v="1"/>
    <s v="Visayas"/>
    <n v="85.27"/>
  </r>
  <r>
    <n v="202203"/>
    <x v="26"/>
    <n v="2022"/>
    <s v=" March "/>
    <x v="8"/>
    <x v="1"/>
    <s v="Visayas"/>
    <n v="93.15"/>
  </r>
  <r>
    <n v="202204"/>
    <x v="27"/>
    <n v="2022"/>
    <s v=" April "/>
    <x v="8"/>
    <x v="1"/>
    <s v="Visayas"/>
    <n v="137.44999999999999"/>
  </r>
  <r>
    <n v="202205"/>
    <x v="28"/>
    <n v="2022"/>
    <s v=" May "/>
    <x v="8"/>
    <x v="1"/>
    <s v="Visayas"/>
    <n v="101.81"/>
  </r>
  <r>
    <n v="202206"/>
    <x v="29"/>
    <n v="2022"/>
    <s v=" June "/>
    <x v="8"/>
    <x v="1"/>
    <s v="Visayas"/>
    <n v="101.7"/>
  </r>
  <r>
    <n v="202207"/>
    <x v="30"/>
    <n v="2022"/>
    <s v=" July "/>
    <x v="8"/>
    <x v="1"/>
    <s v="Visayas"/>
    <n v="151.88"/>
  </r>
  <r>
    <n v="202208"/>
    <x v="31"/>
    <n v="2022"/>
    <s v=" August "/>
    <x v="8"/>
    <x v="1"/>
    <s v="Visayas"/>
    <n v="107.23"/>
  </r>
  <r>
    <n v="202209"/>
    <x v="32"/>
    <n v="2022"/>
    <s v=" September "/>
    <x v="8"/>
    <x v="1"/>
    <s v="Visayas"/>
    <n v="105.96"/>
  </r>
  <r>
    <n v="202210"/>
    <x v="33"/>
    <n v="2022"/>
    <s v=" October "/>
    <x v="8"/>
    <x v="1"/>
    <s v="Visayas"/>
    <n v="113.43"/>
  </r>
  <r>
    <n v="202211"/>
    <x v="34"/>
    <n v="2022"/>
    <s v=" November "/>
    <x v="8"/>
    <x v="1"/>
    <s v="Visayas"/>
    <n v="118.69"/>
  </r>
  <r>
    <n v="202212"/>
    <x v="35"/>
    <n v="2022"/>
    <s v=" December "/>
    <x v="8"/>
    <x v="1"/>
    <s v="Visayas"/>
    <n v="103.74"/>
  </r>
  <r>
    <n v="202201"/>
    <x v="24"/>
    <n v="2022"/>
    <s v=" January "/>
    <x v="8"/>
    <x v="1"/>
    <s v="Visayas"/>
    <n v="873.79"/>
  </r>
  <r>
    <n v="202202"/>
    <x v="25"/>
    <n v="2022"/>
    <s v=" February "/>
    <x v="8"/>
    <x v="1"/>
    <s v="Visayas"/>
    <n v="454.87"/>
  </r>
  <r>
    <n v="202203"/>
    <x v="26"/>
    <n v="2022"/>
    <s v=" March "/>
    <x v="8"/>
    <x v="1"/>
    <s v="Visayas"/>
    <n v="698.71"/>
  </r>
  <r>
    <n v="202204"/>
    <x v="27"/>
    <n v="2022"/>
    <s v=" April "/>
    <x v="8"/>
    <x v="1"/>
    <s v="Visayas"/>
    <n v="846.3"/>
  </r>
  <r>
    <n v="202205"/>
    <x v="28"/>
    <n v="2022"/>
    <s v=" May "/>
    <x v="8"/>
    <x v="1"/>
    <s v="Visayas"/>
    <n v="636.51"/>
  </r>
  <r>
    <n v="202206"/>
    <x v="29"/>
    <n v="2022"/>
    <s v=" June "/>
    <x v="8"/>
    <x v="1"/>
    <s v="Visayas"/>
    <n v="645.99"/>
  </r>
  <r>
    <n v="202207"/>
    <x v="30"/>
    <n v="2022"/>
    <s v=" July "/>
    <x v="8"/>
    <x v="1"/>
    <s v="Visayas"/>
    <n v="729.55"/>
  </r>
  <r>
    <n v="202208"/>
    <x v="31"/>
    <n v="2022"/>
    <s v=" August "/>
    <x v="8"/>
    <x v="1"/>
    <s v="Visayas"/>
    <n v="709.08"/>
  </r>
  <r>
    <n v="202209"/>
    <x v="32"/>
    <n v="2022"/>
    <s v=" September "/>
    <x v="8"/>
    <x v="1"/>
    <s v="Visayas"/>
    <n v="640.91"/>
  </r>
  <r>
    <n v="202210"/>
    <x v="33"/>
    <n v="2022"/>
    <s v=" October "/>
    <x v="8"/>
    <x v="1"/>
    <s v="Visayas"/>
    <n v="672.31"/>
  </r>
  <r>
    <n v="202211"/>
    <x v="34"/>
    <n v="2022"/>
    <s v=" November "/>
    <x v="8"/>
    <x v="1"/>
    <s v="Visayas"/>
    <n v="750.01"/>
  </r>
  <r>
    <n v="202212"/>
    <x v="35"/>
    <n v="2022"/>
    <s v=" December "/>
    <x v="8"/>
    <x v="1"/>
    <s v="Visayas"/>
    <n v="609.9"/>
  </r>
  <r>
    <n v="202201"/>
    <x v="24"/>
    <n v="2022"/>
    <s v=" January "/>
    <x v="9"/>
    <x v="1"/>
    <s v="Visayas"/>
    <n v="802.63"/>
  </r>
  <r>
    <n v="202202"/>
    <x v="25"/>
    <n v="2022"/>
    <s v=" February "/>
    <x v="9"/>
    <x v="1"/>
    <s v="Visayas"/>
    <n v="619.62"/>
  </r>
  <r>
    <n v="202203"/>
    <x v="26"/>
    <n v="2022"/>
    <s v=" March "/>
    <x v="9"/>
    <x v="1"/>
    <s v="Visayas"/>
    <n v="692.43"/>
  </r>
  <r>
    <n v="202204"/>
    <x v="27"/>
    <n v="2022"/>
    <s v=" April "/>
    <x v="9"/>
    <x v="1"/>
    <s v="Visayas"/>
    <n v="1390.17"/>
  </r>
  <r>
    <n v="202205"/>
    <x v="28"/>
    <n v="2022"/>
    <s v=" May "/>
    <x v="9"/>
    <x v="1"/>
    <s v="Visayas"/>
    <n v="770.62"/>
  </r>
  <r>
    <n v="202206"/>
    <x v="29"/>
    <n v="2022"/>
    <s v=" June "/>
    <x v="9"/>
    <x v="1"/>
    <s v="Visayas"/>
    <n v="676.36"/>
  </r>
  <r>
    <n v="202207"/>
    <x v="30"/>
    <n v="2022"/>
    <s v=" July "/>
    <x v="9"/>
    <x v="1"/>
    <s v="Visayas"/>
    <n v="788.41"/>
  </r>
  <r>
    <n v="202208"/>
    <x v="31"/>
    <n v="2022"/>
    <s v=" August "/>
    <x v="9"/>
    <x v="1"/>
    <s v="Visayas"/>
    <n v="756.99"/>
  </r>
  <r>
    <n v="202209"/>
    <x v="32"/>
    <n v="2022"/>
    <s v=" September "/>
    <x v="9"/>
    <x v="1"/>
    <s v="Visayas"/>
    <n v="701.5"/>
  </r>
  <r>
    <n v="202210"/>
    <x v="33"/>
    <n v="2022"/>
    <s v=" October "/>
    <x v="9"/>
    <x v="1"/>
    <s v="Visayas"/>
    <n v="736.89"/>
  </r>
  <r>
    <n v="202211"/>
    <x v="34"/>
    <n v="2022"/>
    <s v=" November "/>
    <x v="9"/>
    <x v="1"/>
    <s v="Visayas"/>
    <n v="821.16"/>
  </r>
  <r>
    <n v="202212"/>
    <x v="35"/>
    <n v="2022"/>
    <s v=" December "/>
    <x v="9"/>
    <x v="1"/>
    <s v="Visayas"/>
    <n v="833.18"/>
  </r>
  <r>
    <n v="202201"/>
    <x v="24"/>
    <n v="2022"/>
    <s v=" January "/>
    <x v="9"/>
    <x v="1"/>
    <s v="Visayas"/>
    <n v="264.79000000000002"/>
  </r>
  <r>
    <n v="202202"/>
    <x v="25"/>
    <n v="2022"/>
    <s v=" February "/>
    <x v="9"/>
    <x v="1"/>
    <s v="Visayas"/>
    <n v="198.87"/>
  </r>
  <r>
    <n v="202203"/>
    <x v="26"/>
    <n v="2022"/>
    <s v=" March "/>
    <x v="9"/>
    <x v="1"/>
    <s v="Visayas"/>
    <n v="233.18"/>
  </r>
  <r>
    <n v="202204"/>
    <x v="27"/>
    <n v="2022"/>
    <s v=" April "/>
    <x v="9"/>
    <x v="1"/>
    <s v="Visayas"/>
    <n v="334.69"/>
  </r>
  <r>
    <n v="202205"/>
    <x v="28"/>
    <n v="2022"/>
    <s v=" May "/>
    <x v="9"/>
    <x v="1"/>
    <s v="Visayas"/>
    <n v="227.47"/>
  </r>
  <r>
    <n v="202206"/>
    <x v="29"/>
    <n v="2022"/>
    <s v=" June "/>
    <x v="9"/>
    <x v="1"/>
    <s v="Visayas"/>
    <n v="272.43"/>
  </r>
  <r>
    <n v="202207"/>
    <x v="30"/>
    <n v="2022"/>
    <s v=" July "/>
    <x v="9"/>
    <x v="1"/>
    <s v="Visayas"/>
    <n v="267.93"/>
  </r>
  <r>
    <n v="202208"/>
    <x v="31"/>
    <n v="2022"/>
    <s v=" August "/>
    <x v="9"/>
    <x v="1"/>
    <s v="Visayas"/>
    <n v="252.18"/>
  </r>
  <r>
    <n v="202209"/>
    <x v="32"/>
    <n v="2022"/>
    <s v=" September "/>
    <x v="9"/>
    <x v="1"/>
    <s v="Visayas"/>
    <n v="280.33999999999997"/>
  </r>
  <r>
    <n v="202210"/>
    <x v="33"/>
    <n v="2022"/>
    <s v=" October "/>
    <x v="9"/>
    <x v="1"/>
    <s v="Visayas"/>
    <n v="224.04"/>
  </r>
  <r>
    <n v="202211"/>
    <x v="34"/>
    <n v="2022"/>
    <s v=" November "/>
    <x v="9"/>
    <x v="1"/>
    <s v="Visayas"/>
    <n v="263.14"/>
  </r>
  <r>
    <n v="202212"/>
    <x v="35"/>
    <n v="2022"/>
    <s v=" December "/>
    <x v="9"/>
    <x v="1"/>
    <s v="Visayas"/>
    <n v="259.42"/>
  </r>
  <r>
    <n v="202201"/>
    <x v="24"/>
    <n v="2022"/>
    <s v=" January "/>
    <x v="10"/>
    <x v="1"/>
    <s v="Visayas"/>
    <n v="211.58"/>
  </r>
  <r>
    <n v="202202"/>
    <x v="25"/>
    <n v="2022"/>
    <s v=" February "/>
    <x v="10"/>
    <x v="1"/>
    <s v="Visayas"/>
    <n v="164.45"/>
  </r>
  <r>
    <n v="202203"/>
    <x v="26"/>
    <n v="2022"/>
    <s v=" March "/>
    <x v="10"/>
    <x v="1"/>
    <s v="Visayas"/>
    <n v="207.41"/>
  </r>
  <r>
    <n v="202204"/>
    <x v="27"/>
    <n v="2022"/>
    <s v=" April "/>
    <x v="10"/>
    <x v="1"/>
    <s v="Visayas"/>
    <n v="312.70999999999998"/>
  </r>
  <r>
    <n v="202205"/>
    <x v="28"/>
    <n v="2022"/>
    <s v=" May "/>
    <x v="10"/>
    <x v="1"/>
    <s v="Visayas"/>
    <n v="238.2"/>
  </r>
  <r>
    <n v="202206"/>
    <x v="29"/>
    <n v="2022"/>
    <s v=" June "/>
    <x v="10"/>
    <x v="1"/>
    <s v="Visayas"/>
    <n v="250.83"/>
  </r>
  <r>
    <n v="202207"/>
    <x v="30"/>
    <n v="2022"/>
    <s v=" July "/>
    <x v="10"/>
    <x v="1"/>
    <s v="Visayas"/>
    <n v="282.81"/>
  </r>
  <r>
    <n v="202208"/>
    <x v="31"/>
    <n v="2022"/>
    <s v=" August "/>
    <x v="10"/>
    <x v="1"/>
    <s v="Visayas"/>
    <n v="268.85000000000002"/>
  </r>
  <r>
    <n v="202209"/>
    <x v="32"/>
    <n v="2022"/>
    <s v=" September "/>
    <x v="10"/>
    <x v="1"/>
    <s v="Visayas"/>
    <n v="234.02"/>
  </r>
  <r>
    <n v="202210"/>
    <x v="33"/>
    <n v="2022"/>
    <s v=" October "/>
    <x v="10"/>
    <x v="1"/>
    <s v="Visayas"/>
    <n v="304.42"/>
  </r>
  <r>
    <n v="202211"/>
    <x v="34"/>
    <n v="2022"/>
    <s v=" November "/>
    <x v="10"/>
    <x v="1"/>
    <s v="Visayas"/>
    <n v="266.74"/>
  </r>
  <r>
    <n v="202212"/>
    <x v="35"/>
    <n v="2022"/>
    <s v=" December "/>
    <x v="10"/>
    <x v="1"/>
    <s v="Visayas"/>
    <n v="259.91000000000003"/>
  </r>
  <r>
    <n v="202201"/>
    <x v="24"/>
    <n v="2022"/>
    <s v=" January "/>
    <x v="10"/>
    <x v="1"/>
    <s v="Visayas"/>
    <n v="1283.7"/>
  </r>
  <r>
    <n v="202202"/>
    <x v="25"/>
    <n v="2022"/>
    <s v=" February "/>
    <x v="10"/>
    <x v="1"/>
    <s v="Visayas"/>
    <n v="1146.6300000000001"/>
  </r>
  <r>
    <n v="202203"/>
    <x v="26"/>
    <n v="2022"/>
    <s v=" March "/>
    <x v="10"/>
    <x v="1"/>
    <s v="Visayas"/>
    <n v="1185.79"/>
  </r>
  <r>
    <n v="202204"/>
    <x v="27"/>
    <n v="2022"/>
    <s v=" April "/>
    <x v="10"/>
    <x v="1"/>
    <s v="Visayas"/>
    <n v="1828.76"/>
  </r>
  <r>
    <n v="202205"/>
    <x v="28"/>
    <n v="2022"/>
    <s v=" May "/>
    <x v="10"/>
    <x v="1"/>
    <s v="Visayas"/>
    <n v="1351.18"/>
  </r>
  <r>
    <n v="202206"/>
    <x v="29"/>
    <n v="2022"/>
    <s v=" June "/>
    <x v="10"/>
    <x v="1"/>
    <s v="Visayas"/>
    <n v="1180.8699999999999"/>
  </r>
  <r>
    <n v="202207"/>
    <x v="30"/>
    <n v="2022"/>
    <s v=" July "/>
    <x v="10"/>
    <x v="1"/>
    <s v="Visayas"/>
    <n v="1495.13"/>
  </r>
  <r>
    <n v="202208"/>
    <x v="31"/>
    <n v="2022"/>
    <s v=" August "/>
    <x v="10"/>
    <x v="1"/>
    <s v="Visayas"/>
    <n v="1629.14"/>
  </r>
  <r>
    <n v="202209"/>
    <x v="32"/>
    <n v="2022"/>
    <s v=" September "/>
    <x v="10"/>
    <x v="1"/>
    <s v="Visayas"/>
    <n v="1301.17"/>
  </r>
  <r>
    <n v="202210"/>
    <x v="33"/>
    <n v="2022"/>
    <s v=" October "/>
    <x v="10"/>
    <x v="1"/>
    <s v="Visayas"/>
    <n v="1431.63"/>
  </r>
  <r>
    <n v="202211"/>
    <x v="34"/>
    <n v="2022"/>
    <s v=" November "/>
    <x v="10"/>
    <x v="1"/>
    <s v="Visayas"/>
    <n v="1630.7"/>
  </r>
  <r>
    <n v="202212"/>
    <x v="35"/>
    <n v="2022"/>
    <s v=" December "/>
    <x v="10"/>
    <x v="1"/>
    <s v="Visayas"/>
    <n v="1331.43"/>
  </r>
  <r>
    <n v="202201"/>
    <x v="24"/>
    <n v="2022"/>
    <s v=" January "/>
    <x v="10"/>
    <x v="1"/>
    <s v="Visayas"/>
    <n v="1920.53"/>
  </r>
  <r>
    <n v="202202"/>
    <x v="25"/>
    <n v="2022"/>
    <s v=" February "/>
    <x v="10"/>
    <x v="1"/>
    <s v="Visayas"/>
    <n v="1065.04"/>
  </r>
  <r>
    <n v="202203"/>
    <x v="26"/>
    <n v="2022"/>
    <s v=" March "/>
    <x v="10"/>
    <x v="1"/>
    <s v="Visayas"/>
    <n v="1265.3699999999999"/>
  </r>
  <r>
    <n v="202204"/>
    <x v="27"/>
    <n v="2022"/>
    <s v=" April "/>
    <x v="10"/>
    <x v="1"/>
    <s v="Visayas"/>
    <n v="2056.35"/>
  </r>
  <r>
    <n v="202205"/>
    <x v="28"/>
    <n v="2022"/>
    <s v=" May "/>
    <x v="10"/>
    <x v="1"/>
    <s v="Visayas"/>
    <n v="1756.5"/>
  </r>
  <r>
    <n v="202206"/>
    <x v="29"/>
    <n v="2022"/>
    <s v=" June "/>
    <x v="10"/>
    <x v="1"/>
    <s v="Visayas"/>
    <n v="1294.43"/>
  </r>
  <r>
    <n v="202207"/>
    <x v="30"/>
    <n v="2022"/>
    <s v=" July "/>
    <x v="10"/>
    <x v="1"/>
    <s v="Visayas"/>
    <n v="1487.41"/>
  </r>
  <r>
    <n v="202208"/>
    <x v="31"/>
    <n v="2022"/>
    <s v=" August "/>
    <x v="10"/>
    <x v="1"/>
    <s v="Visayas"/>
    <n v="1955.65"/>
  </r>
  <r>
    <n v="202209"/>
    <x v="32"/>
    <n v="2022"/>
    <s v=" September "/>
    <x v="10"/>
    <x v="1"/>
    <s v="Visayas"/>
    <n v="1282.93"/>
  </r>
  <r>
    <n v="202210"/>
    <x v="33"/>
    <n v="2022"/>
    <s v=" October "/>
    <x v="10"/>
    <x v="1"/>
    <s v="Visayas"/>
    <n v="1600.06"/>
  </r>
  <r>
    <n v="202211"/>
    <x v="34"/>
    <n v="2022"/>
    <s v=" November "/>
    <x v="10"/>
    <x v="1"/>
    <s v="Visayas"/>
    <n v="1771.23"/>
  </r>
  <r>
    <n v="202212"/>
    <x v="35"/>
    <n v="2022"/>
    <s v=" December "/>
    <x v="10"/>
    <x v="1"/>
    <s v="Visayas"/>
    <n v="1358.79"/>
  </r>
  <r>
    <n v="202201"/>
    <x v="24"/>
    <n v="2022"/>
    <s v=" January "/>
    <x v="10"/>
    <x v="1"/>
    <s v="Visayas"/>
    <n v="2674.13"/>
  </r>
  <r>
    <n v="202202"/>
    <x v="25"/>
    <n v="2022"/>
    <s v=" February "/>
    <x v="10"/>
    <x v="1"/>
    <s v="Visayas"/>
    <n v="1623.68"/>
  </r>
  <r>
    <n v="202203"/>
    <x v="26"/>
    <n v="2022"/>
    <s v=" March "/>
    <x v="10"/>
    <x v="1"/>
    <s v="Visayas"/>
    <n v="1762.64"/>
  </r>
  <r>
    <n v="202204"/>
    <x v="27"/>
    <n v="2022"/>
    <s v=" April "/>
    <x v="10"/>
    <x v="1"/>
    <s v="Visayas"/>
    <n v="5547.76"/>
  </r>
  <r>
    <n v="202205"/>
    <x v="28"/>
    <n v="2022"/>
    <s v=" May "/>
    <x v="10"/>
    <x v="1"/>
    <s v="Visayas"/>
    <n v="3242.28"/>
  </r>
  <r>
    <n v="202206"/>
    <x v="29"/>
    <n v="2022"/>
    <s v=" June "/>
    <x v="10"/>
    <x v="1"/>
    <s v="Visayas"/>
    <n v="2051.25"/>
  </r>
  <r>
    <n v="202207"/>
    <x v="30"/>
    <n v="2022"/>
    <s v=" July "/>
    <x v="10"/>
    <x v="1"/>
    <s v="Visayas"/>
    <n v="2722.02"/>
  </r>
  <r>
    <n v="202208"/>
    <x v="31"/>
    <n v="2022"/>
    <s v=" August "/>
    <x v="10"/>
    <x v="1"/>
    <s v="Visayas"/>
    <n v="3069.42"/>
  </r>
  <r>
    <n v="202209"/>
    <x v="32"/>
    <n v="2022"/>
    <s v=" September "/>
    <x v="10"/>
    <x v="1"/>
    <s v="Visayas"/>
    <n v="1963.09"/>
  </r>
  <r>
    <n v="202210"/>
    <x v="33"/>
    <n v="2022"/>
    <s v=" October "/>
    <x v="10"/>
    <x v="1"/>
    <s v="Visayas"/>
    <n v="2473.4"/>
  </r>
  <r>
    <n v="202211"/>
    <x v="34"/>
    <n v="2022"/>
    <s v=" November "/>
    <x v="10"/>
    <x v="1"/>
    <s v="Visayas"/>
    <n v="3144.42"/>
  </r>
  <r>
    <n v="202212"/>
    <x v="35"/>
    <n v="2022"/>
    <s v=" December "/>
    <x v="10"/>
    <x v="1"/>
    <s v="Visayas"/>
    <n v="1987.63"/>
  </r>
  <r>
    <n v="202201"/>
    <x v="24"/>
    <n v="2022"/>
    <s v=" January "/>
    <x v="11"/>
    <x v="1"/>
    <s v="Visayas"/>
    <n v="73.790000000000006"/>
  </r>
  <r>
    <n v="202202"/>
    <x v="25"/>
    <n v="2022"/>
    <s v=" February "/>
    <x v="11"/>
    <x v="1"/>
    <s v="Visayas"/>
    <n v="52.25"/>
  </r>
  <r>
    <n v="202203"/>
    <x v="26"/>
    <n v="2022"/>
    <s v=" March "/>
    <x v="11"/>
    <x v="1"/>
    <s v="Visayas"/>
    <n v="52.7"/>
  </r>
  <r>
    <n v="202204"/>
    <x v="27"/>
    <n v="2022"/>
    <s v=" April "/>
    <x v="11"/>
    <x v="1"/>
    <s v="Visayas"/>
    <n v="73.34"/>
  </r>
  <r>
    <n v="202205"/>
    <x v="28"/>
    <n v="2022"/>
    <s v=" May "/>
    <x v="11"/>
    <x v="1"/>
    <s v="Visayas"/>
    <n v="68.75"/>
  </r>
  <r>
    <n v="202206"/>
    <x v="29"/>
    <n v="2022"/>
    <s v=" June "/>
    <x v="11"/>
    <x v="1"/>
    <s v="Visayas"/>
    <n v="67.209999999999994"/>
  </r>
  <r>
    <n v="202207"/>
    <x v="30"/>
    <n v="2022"/>
    <s v=" July "/>
    <x v="11"/>
    <x v="1"/>
    <s v="Visayas"/>
    <n v="80.8"/>
  </r>
  <r>
    <n v="202208"/>
    <x v="31"/>
    <n v="2022"/>
    <s v=" August "/>
    <x v="11"/>
    <x v="1"/>
    <s v="Visayas"/>
    <n v="77.239999999999995"/>
  </r>
  <r>
    <n v="202209"/>
    <x v="32"/>
    <n v="2022"/>
    <s v=" September "/>
    <x v="11"/>
    <x v="1"/>
    <s v="Visayas"/>
    <n v="57.58"/>
  </r>
  <r>
    <n v="202210"/>
    <x v="33"/>
    <n v="2022"/>
    <s v=" October "/>
    <x v="11"/>
    <x v="1"/>
    <s v="Visayas"/>
    <n v="78.77"/>
  </r>
  <r>
    <n v="202211"/>
    <x v="34"/>
    <n v="2022"/>
    <s v=" November "/>
    <x v="11"/>
    <x v="1"/>
    <s v="Visayas"/>
    <n v="63.05"/>
  </r>
  <r>
    <n v="202212"/>
    <x v="35"/>
    <n v="2022"/>
    <s v=" December "/>
    <x v="11"/>
    <x v="1"/>
    <s v="Visayas"/>
    <n v="49.42"/>
  </r>
  <r>
    <n v="202201"/>
    <x v="24"/>
    <n v="2022"/>
    <s v=" January "/>
    <x v="11"/>
    <x v="1"/>
    <s v="Visayas"/>
    <n v="174.27"/>
  </r>
  <r>
    <n v="202202"/>
    <x v="25"/>
    <n v="2022"/>
    <s v=" February "/>
    <x v="11"/>
    <x v="1"/>
    <s v="Visayas"/>
    <n v="121.07"/>
  </r>
  <r>
    <n v="202203"/>
    <x v="26"/>
    <n v="2022"/>
    <s v=" March "/>
    <x v="11"/>
    <x v="1"/>
    <s v="Visayas"/>
    <n v="147.57"/>
  </r>
  <r>
    <n v="202204"/>
    <x v="27"/>
    <n v="2022"/>
    <s v=" April "/>
    <x v="11"/>
    <x v="1"/>
    <s v="Visayas"/>
    <n v="245.77"/>
  </r>
  <r>
    <n v="202205"/>
    <x v="28"/>
    <n v="2022"/>
    <s v=" May "/>
    <x v="11"/>
    <x v="1"/>
    <s v="Visayas"/>
    <n v="159.16"/>
  </r>
  <r>
    <n v="202206"/>
    <x v="29"/>
    <n v="2022"/>
    <s v=" June "/>
    <x v="11"/>
    <x v="1"/>
    <s v="Visayas"/>
    <n v="145.63999999999999"/>
  </r>
  <r>
    <n v="202207"/>
    <x v="30"/>
    <n v="2022"/>
    <s v=" July "/>
    <x v="11"/>
    <x v="1"/>
    <s v="Visayas"/>
    <n v="150.62"/>
  </r>
  <r>
    <n v="202208"/>
    <x v="31"/>
    <n v="2022"/>
    <s v=" August "/>
    <x v="11"/>
    <x v="1"/>
    <s v="Visayas"/>
    <n v="190.71"/>
  </r>
  <r>
    <n v="202209"/>
    <x v="32"/>
    <n v="2022"/>
    <s v=" September "/>
    <x v="11"/>
    <x v="1"/>
    <s v="Visayas"/>
    <n v="152.85"/>
  </r>
  <r>
    <n v="202210"/>
    <x v="33"/>
    <n v="2022"/>
    <s v=" October "/>
    <x v="11"/>
    <x v="1"/>
    <s v="Visayas"/>
    <n v="166.17"/>
  </r>
  <r>
    <n v="202211"/>
    <x v="34"/>
    <n v="2022"/>
    <s v=" November "/>
    <x v="11"/>
    <x v="1"/>
    <s v="Visayas"/>
    <n v="199.59"/>
  </r>
  <r>
    <n v="202212"/>
    <x v="35"/>
    <n v="2022"/>
    <s v=" December "/>
    <x v="11"/>
    <x v="1"/>
    <s v="Visayas"/>
    <n v="149.38"/>
  </r>
  <r>
    <n v="202201"/>
    <x v="24"/>
    <n v="2022"/>
    <s v=" January "/>
    <x v="11"/>
    <x v="1"/>
    <s v="Visayas"/>
    <n v="87.31"/>
  </r>
  <r>
    <n v="202202"/>
    <x v="25"/>
    <n v="2022"/>
    <s v=" February "/>
    <x v="11"/>
    <x v="1"/>
    <s v="Visayas"/>
    <n v="52.64"/>
  </r>
  <r>
    <n v="202203"/>
    <x v="26"/>
    <n v="2022"/>
    <s v=" March "/>
    <x v="11"/>
    <x v="1"/>
    <s v="Visayas"/>
    <n v="57.93"/>
  </r>
  <r>
    <n v="202204"/>
    <x v="27"/>
    <n v="2022"/>
    <s v=" April "/>
    <x v="11"/>
    <x v="1"/>
    <s v="Visayas"/>
    <n v="74.33"/>
  </r>
  <r>
    <n v="202205"/>
    <x v="28"/>
    <n v="2022"/>
    <s v=" May "/>
    <x v="11"/>
    <x v="1"/>
    <s v="Visayas"/>
    <n v="56.05"/>
  </r>
  <r>
    <n v="202206"/>
    <x v="29"/>
    <n v="2022"/>
    <s v=" June "/>
    <x v="11"/>
    <x v="1"/>
    <s v="Visayas"/>
    <n v="97.54"/>
  </r>
  <r>
    <n v="202207"/>
    <x v="30"/>
    <n v="2022"/>
    <s v=" July "/>
    <x v="11"/>
    <x v="1"/>
    <s v="Visayas"/>
    <n v="66.39"/>
  </r>
  <r>
    <n v="202208"/>
    <x v="31"/>
    <n v="2022"/>
    <s v=" August "/>
    <x v="11"/>
    <x v="1"/>
    <s v="Visayas"/>
    <n v="60.98"/>
  </r>
  <r>
    <n v="202209"/>
    <x v="32"/>
    <n v="2022"/>
    <s v=" September "/>
    <x v="11"/>
    <x v="1"/>
    <s v="Visayas"/>
    <n v="66.209999999999994"/>
  </r>
  <r>
    <n v="202210"/>
    <x v="33"/>
    <n v="2022"/>
    <s v=" October "/>
    <x v="11"/>
    <x v="1"/>
    <s v="Visayas"/>
    <n v="62.42"/>
  </r>
  <r>
    <n v="202211"/>
    <x v="34"/>
    <n v="2022"/>
    <s v=" November "/>
    <x v="11"/>
    <x v="1"/>
    <s v="Visayas"/>
    <n v="81.22"/>
  </r>
  <r>
    <n v="202212"/>
    <x v="35"/>
    <n v="2022"/>
    <s v=" December "/>
    <x v="11"/>
    <x v="1"/>
    <s v="Visayas"/>
    <n v="67.53"/>
  </r>
  <r>
    <n v="202201"/>
    <x v="24"/>
    <n v="2022"/>
    <s v=" January "/>
    <x v="11"/>
    <x v="1"/>
    <s v="Visayas"/>
    <n v="96.63"/>
  </r>
  <r>
    <n v="202202"/>
    <x v="25"/>
    <n v="2022"/>
    <s v=" February "/>
    <x v="11"/>
    <x v="1"/>
    <s v="Visayas"/>
    <n v="87.93"/>
  </r>
  <r>
    <n v="202203"/>
    <x v="26"/>
    <n v="2022"/>
    <s v=" March "/>
    <x v="11"/>
    <x v="1"/>
    <s v="Visayas"/>
    <n v="116.28"/>
  </r>
  <r>
    <n v="202204"/>
    <x v="27"/>
    <n v="2022"/>
    <s v=" April "/>
    <x v="11"/>
    <x v="1"/>
    <s v="Visayas"/>
    <n v="123.1"/>
  </r>
  <r>
    <n v="202205"/>
    <x v="28"/>
    <n v="2022"/>
    <s v=" May "/>
    <x v="11"/>
    <x v="1"/>
    <s v="Visayas"/>
    <n v="125.52"/>
  </r>
  <r>
    <n v="202206"/>
    <x v="29"/>
    <n v="2022"/>
    <s v=" June "/>
    <x v="11"/>
    <x v="1"/>
    <s v="Visayas"/>
    <n v="104.59"/>
  </r>
  <r>
    <n v="202207"/>
    <x v="30"/>
    <n v="2022"/>
    <s v=" July "/>
    <x v="11"/>
    <x v="1"/>
    <s v="Visayas"/>
    <n v="111.71"/>
  </r>
  <r>
    <n v="202208"/>
    <x v="31"/>
    <n v="2022"/>
    <s v=" August "/>
    <x v="11"/>
    <x v="1"/>
    <s v="Visayas"/>
    <n v="101.67"/>
  </r>
  <r>
    <n v="202209"/>
    <x v="32"/>
    <n v="2022"/>
    <s v=" September "/>
    <x v="11"/>
    <x v="1"/>
    <s v="Visayas"/>
    <n v="106.05"/>
  </r>
  <r>
    <n v="202210"/>
    <x v="33"/>
    <n v="2022"/>
    <s v=" October "/>
    <x v="11"/>
    <x v="1"/>
    <s v="Visayas"/>
    <n v="110.81"/>
  </r>
  <r>
    <n v="202211"/>
    <x v="34"/>
    <n v="2022"/>
    <s v=" November "/>
    <x v="11"/>
    <x v="1"/>
    <s v="Visayas"/>
    <n v="92.16"/>
  </r>
  <r>
    <n v="202212"/>
    <x v="35"/>
    <n v="2022"/>
    <s v=" December "/>
    <x v="11"/>
    <x v="1"/>
    <s v="Visayas"/>
    <n v="115.65"/>
  </r>
  <r>
    <n v="202201"/>
    <x v="24"/>
    <n v="2022"/>
    <s v=" January "/>
    <x v="11"/>
    <x v="1"/>
    <s v="Visayas"/>
    <n v="79.91"/>
  </r>
  <r>
    <n v="202202"/>
    <x v="25"/>
    <n v="2022"/>
    <s v=" February "/>
    <x v="11"/>
    <x v="1"/>
    <s v="Visayas"/>
    <n v="46.07"/>
  </r>
  <r>
    <n v="202203"/>
    <x v="26"/>
    <n v="2022"/>
    <s v=" March "/>
    <x v="11"/>
    <x v="1"/>
    <s v="Visayas"/>
    <n v="52.55"/>
  </r>
  <r>
    <n v="202204"/>
    <x v="27"/>
    <n v="2022"/>
    <s v=" April "/>
    <x v="11"/>
    <x v="1"/>
    <s v="Visayas"/>
    <n v="68.69"/>
  </r>
  <r>
    <n v="202205"/>
    <x v="28"/>
    <n v="2022"/>
    <s v=" May "/>
    <x v="11"/>
    <x v="1"/>
    <s v="Visayas"/>
    <n v="60.27"/>
  </r>
  <r>
    <n v="202206"/>
    <x v="29"/>
    <n v="2022"/>
    <s v=" June "/>
    <x v="11"/>
    <x v="1"/>
    <s v="Visayas"/>
    <n v="63.01"/>
  </r>
  <r>
    <n v="202207"/>
    <x v="30"/>
    <n v="2022"/>
    <s v=" July "/>
    <x v="11"/>
    <x v="1"/>
    <s v="Visayas"/>
    <n v="75.09"/>
  </r>
  <r>
    <n v="202208"/>
    <x v="31"/>
    <n v="2022"/>
    <s v=" August "/>
    <x v="11"/>
    <x v="1"/>
    <s v="Visayas"/>
    <n v="61.74"/>
  </r>
  <r>
    <n v="202209"/>
    <x v="32"/>
    <n v="2022"/>
    <s v=" September "/>
    <x v="11"/>
    <x v="1"/>
    <s v="Visayas"/>
    <n v="74.45"/>
  </r>
  <r>
    <n v="202210"/>
    <x v="33"/>
    <n v="2022"/>
    <s v=" October "/>
    <x v="11"/>
    <x v="1"/>
    <s v="Visayas"/>
    <n v="67.59"/>
  </r>
  <r>
    <n v="202211"/>
    <x v="34"/>
    <n v="2022"/>
    <s v=" November "/>
    <x v="11"/>
    <x v="1"/>
    <s v="Visayas"/>
    <n v="69.36"/>
  </r>
  <r>
    <n v="202212"/>
    <x v="35"/>
    <n v="2022"/>
    <s v=" December "/>
    <x v="11"/>
    <x v="1"/>
    <s v="Visayas"/>
    <n v="65.78"/>
  </r>
  <r>
    <n v="202201"/>
    <x v="24"/>
    <n v="2022"/>
    <s v=" January "/>
    <x v="11"/>
    <x v="1"/>
    <s v="Visayas"/>
    <n v="362.25"/>
  </r>
  <r>
    <n v="202202"/>
    <x v="25"/>
    <n v="2022"/>
    <s v=" February "/>
    <x v="11"/>
    <x v="1"/>
    <s v="Visayas"/>
    <n v="209.95"/>
  </r>
  <r>
    <n v="202203"/>
    <x v="26"/>
    <n v="2022"/>
    <s v=" March "/>
    <x v="11"/>
    <x v="1"/>
    <s v="Visayas"/>
    <n v="271.77"/>
  </r>
  <r>
    <n v="202204"/>
    <x v="27"/>
    <n v="2022"/>
    <s v=" April "/>
    <x v="11"/>
    <x v="1"/>
    <s v="Visayas"/>
    <n v="360.81"/>
  </r>
  <r>
    <n v="202205"/>
    <x v="28"/>
    <n v="2022"/>
    <s v=" May "/>
    <x v="11"/>
    <x v="1"/>
    <s v="Visayas"/>
    <n v="264.75"/>
  </r>
  <r>
    <n v="202206"/>
    <x v="29"/>
    <n v="2022"/>
    <s v=" June "/>
    <x v="11"/>
    <x v="1"/>
    <s v="Visayas"/>
    <n v="294.08999999999997"/>
  </r>
  <r>
    <n v="202207"/>
    <x v="30"/>
    <n v="2022"/>
    <s v=" July "/>
    <x v="11"/>
    <x v="1"/>
    <s v="Visayas"/>
    <n v="349.97"/>
  </r>
  <r>
    <n v="202208"/>
    <x v="31"/>
    <n v="2022"/>
    <s v=" August "/>
    <x v="11"/>
    <x v="1"/>
    <s v="Visayas"/>
    <n v="309.57"/>
  </r>
  <r>
    <n v="202209"/>
    <x v="32"/>
    <n v="2022"/>
    <s v=" September "/>
    <x v="11"/>
    <x v="1"/>
    <s v="Visayas"/>
    <n v="311.72000000000003"/>
  </r>
  <r>
    <n v="202210"/>
    <x v="33"/>
    <n v="2022"/>
    <s v=" October "/>
    <x v="11"/>
    <x v="1"/>
    <s v="Visayas"/>
    <n v="304.73"/>
  </r>
  <r>
    <n v="202211"/>
    <x v="34"/>
    <n v="2022"/>
    <s v=" November "/>
    <x v="11"/>
    <x v="1"/>
    <s v="Visayas"/>
    <n v="310.13"/>
  </r>
  <r>
    <n v="202212"/>
    <x v="35"/>
    <n v="2022"/>
    <s v=" December "/>
    <x v="11"/>
    <x v="1"/>
    <s v="Visayas"/>
    <n v="298.83"/>
  </r>
  <r>
    <n v="202201"/>
    <x v="24"/>
    <n v="2022"/>
    <s v=" January "/>
    <x v="12"/>
    <x v="1"/>
    <s v="Mindanao"/>
    <n v="185.95"/>
  </r>
  <r>
    <n v="202202"/>
    <x v="25"/>
    <n v="2022"/>
    <s v=" February "/>
    <x v="12"/>
    <x v="1"/>
    <s v="Mindanao"/>
    <n v="114.75"/>
  </r>
  <r>
    <n v="202203"/>
    <x v="26"/>
    <n v="2022"/>
    <s v=" March "/>
    <x v="12"/>
    <x v="1"/>
    <s v="Mindanao"/>
    <n v="157.4"/>
  </r>
  <r>
    <n v="202204"/>
    <x v="27"/>
    <n v="2022"/>
    <s v=" April "/>
    <x v="12"/>
    <x v="1"/>
    <s v="Mindanao"/>
    <n v="223.57"/>
  </r>
  <r>
    <n v="202205"/>
    <x v="28"/>
    <n v="2022"/>
    <s v=" May "/>
    <x v="12"/>
    <x v="1"/>
    <s v="Mindanao"/>
    <n v="164.79"/>
  </r>
  <r>
    <n v="202206"/>
    <x v="29"/>
    <n v="2022"/>
    <s v=" June "/>
    <x v="12"/>
    <x v="1"/>
    <s v="Mindanao"/>
    <n v="177.26"/>
  </r>
  <r>
    <n v="202207"/>
    <x v="30"/>
    <n v="2022"/>
    <s v=" July "/>
    <x v="12"/>
    <x v="1"/>
    <s v="Mindanao"/>
    <n v="224.08"/>
  </r>
  <r>
    <n v="202208"/>
    <x v="31"/>
    <n v="2022"/>
    <s v=" August "/>
    <x v="12"/>
    <x v="1"/>
    <s v="Mindanao"/>
    <n v="143.41"/>
  </r>
  <r>
    <n v="202209"/>
    <x v="32"/>
    <n v="2022"/>
    <s v=" September "/>
    <x v="12"/>
    <x v="1"/>
    <s v="Mindanao"/>
    <n v="143.22"/>
  </r>
  <r>
    <n v="202210"/>
    <x v="33"/>
    <n v="2022"/>
    <s v=" October "/>
    <x v="12"/>
    <x v="1"/>
    <s v="Mindanao"/>
    <n v="182.11"/>
  </r>
  <r>
    <n v="202211"/>
    <x v="34"/>
    <n v="2022"/>
    <s v=" November "/>
    <x v="12"/>
    <x v="1"/>
    <s v="Mindanao"/>
    <n v="157.19"/>
  </r>
  <r>
    <n v="202212"/>
    <x v="35"/>
    <n v="2022"/>
    <s v=" December "/>
    <x v="12"/>
    <x v="1"/>
    <s v="Mindanao"/>
    <n v="133.03"/>
  </r>
  <r>
    <n v="202201"/>
    <x v="24"/>
    <n v="2022"/>
    <s v=" January "/>
    <x v="12"/>
    <x v="1"/>
    <s v="Mindanao"/>
    <n v="184.89"/>
  </r>
  <r>
    <n v="202202"/>
    <x v="25"/>
    <n v="2022"/>
    <s v=" February "/>
    <x v="12"/>
    <x v="1"/>
    <s v="Mindanao"/>
    <n v="107.79"/>
  </r>
  <r>
    <n v="202203"/>
    <x v="26"/>
    <n v="2022"/>
    <s v=" March "/>
    <x v="12"/>
    <x v="1"/>
    <s v="Mindanao"/>
    <n v="122.31"/>
  </r>
  <r>
    <n v="202204"/>
    <x v="27"/>
    <n v="2022"/>
    <s v=" April "/>
    <x v="12"/>
    <x v="1"/>
    <s v="Mindanao"/>
    <n v="189.94"/>
  </r>
  <r>
    <n v="202205"/>
    <x v="28"/>
    <n v="2022"/>
    <s v=" May "/>
    <x v="12"/>
    <x v="1"/>
    <s v="Mindanao"/>
    <n v="119.75"/>
  </r>
  <r>
    <n v="202206"/>
    <x v="29"/>
    <n v="2022"/>
    <s v=" June "/>
    <x v="12"/>
    <x v="1"/>
    <s v="Mindanao"/>
    <n v="135.29"/>
  </r>
  <r>
    <n v="202207"/>
    <x v="30"/>
    <n v="2022"/>
    <s v=" July "/>
    <x v="12"/>
    <x v="1"/>
    <s v="Mindanao"/>
    <n v="149.13999999999999"/>
  </r>
  <r>
    <n v="202208"/>
    <x v="31"/>
    <n v="2022"/>
    <s v=" August "/>
    <x v="12"/>
    <x v="1"/>
    <s v="Mindanao"/>
    <n v="137.27000000000001"/>
  </r>
  <r>
    <n v="202209"/>
    <x v="32"/>
    <n v="2022"/>
    <s v=" September "/>
    <x v="12"/>
    <x v="1"/>
    <s v="Mindanao"/>
    <n v="131.38999999999999"/>
  </r>
  <r>
    <n v="202210"/>
    <x v="33"/>
    <n v="2022"/>
    <s v=" October "/>
    <x v="12"/>
    <x v="1"/>
    <s v="Mindanao"/>
    <n v="146.38999999999999"/>
  </r>
  <r>
    <n v="202211"/>
    <x v="34"/>
    <n v="2022"/>
    <s v=" November "/>
    <x v="12"/>
    <x v="1"/>
    <s v="Mindanao"/>
    <n v="150.18"/>
  </r>
  <r>
    <n v="202212"/>
    <x v="35"/>
    <n v="2022"/>
    <s v=" December "/>
    <x v="12"/>
    <x v="1"/>
    <s v="Mindanao"/>
    <n v="151.61000000000001"/>
  </r>
  <r>
    <n v="202201"/>
    <x v="24"/>
    <n v="2022"/>
    <s v=" January "/>
    <x v="12"/>
    <x v="1"/>
    <s v="Mindanao"/>
    <n v="47.07"/>
  </r>
  <r>
    <n v="202202"/>
    <x v="25"/>
    <n v="2022"/>
    <s v=" February "/>
    <x v="12"/>
    <x v="1"/>
    <s v="Mindanao"/>
    <n v="32.630000000000003"/>
  </r>
  <r>
    <n v="202203"/>
    <x v="26"/>
    <n v="2022"/>
    <s v=" March "/>
    <x v="12"/>
    <x v="1"/>
    <s v="Mindanao"/>
    <n v="45.84"/>
  </r>
  <r>
    <n v="202204"/>
    <x v="27"/>
    <n v="2022"/>
    <s v=" April "/>
    <x v="12"/>
    <x v="1"/>
    <s v="Mindanao"/>
    <n v="41.48"/>
  </r>
  <r>
    <n v="202205"/>
    <x v="28"/>
    <n v="2022"/>
    <s v=" May "/>
    <x v="12"/>
    <x v="1"/>
    <s v="Mindanao"/>
    <n v="42.12"/>
  </r>
  <r>
    <n v="202206"/>
    <x v="29"/>
    <n v="2022"/>
    <s v=" June "/>
    <x v="12"/>
    <x v="1"/>
    <s v="Mindanao"/>
    <n v="57.58"/>
  </r>
  <r>
    <n v="202207"/>
    <x v="30"/>
    <n v="2022"/>
    <s v=" July "/>
    <x v="12"/>
    <x v="1"/>
    <s v="Mindanao"/>
    <n v="61.92"/>
  </r>
  <r>
    <n v="202208"/>
    <x v="31"/>
    <n v="2022"/>
    <s v=" August "/>
    <x v="12"/>
    <x v="1"/>
    <s v="Mindanao"/>
    <n v="50.26"/>
  </r>
  <r>
    <n v="202209"/>
    <x v="32"/>
    <n v="2022"/>
    <s v=" September "/>
    <x v="12"/>
    <x v="1"/>
    <s v="Mindanao"/>
    <n v="43.54"/>
  </r>
  <r>
    <n v="202210"/>
    <x v="33"/>
    <n v="2022"/>
    <s v=" October "/>
    <x v="12"/>
    <x v="1"/>
    <s v="Mindanao"/>
    <n v="46.35"/>
  </r>
  <r>
    <n v="202211"/>
    <x v="34"/>
    <n v="2022"/>
    <s v=" November "/>
    <x v="12"/>
    <x v="1"/>
    <s v="Mindanao"/>
    <n v="66.489999999999995"/>
  </r>
  <r>
    <n v="202212"/>
    <x v="35"/>
    <n v="2022"/>
    <s v=" December "/>
    <x v="12"/>
    <x v="1"/>
    <s v="Mindanao"/>
    <n v="45.84"/>
  </r>
  <r>
    <n v="202201"/>
    <x v="24"/>
    <n v="2022"/>
    <s v=" January "/>
    <x v="12"/>
    <x v="1"/>
    <s v="Mindanao"/>
    <n v="284.58"/>
  </r>
  <r>
    <n v="202202"/>
    <x v="25"/>
    <n v="2022"/>
    <s v=" February "/>
    <x v="12"/>
    <x v="1"/>
    <s v="Mindanao"/>
    <n v="191.76"/>
  </r>
  <r>
    <n v="202203"/>
    <x v="26"/>
    <n v="2022"/>
    <s v=" March "/>
    <x v="12"/>
    <x v="1"/>
    <s v="Mindanao"/>
    <n v="207.2"/>
  </r>
  <r>
    <n v="202204"/>
    <x v="27"/>
    <n v="2022"/>
    <s v=" April "/>
    <x v="12"/>
    <x v="1"/>
    <s v="Mindanao"/>
    <n v="337.78"/>
  </r>
  <r>
    <n v="202205"/>
    <x v="28"/>
    <n v="2022"/>
    <s v=" May "/>
    <x v="12"/>
    <x v="1"/>
    <s v="Mindanao"/>
    <n v="233.57"/>
  </r>
  <r>
    <n v="202206"/>
    <x v="29"/>
    <n v="2022"/>
    <s v=" June "/>
    <x v="12"/>
    <x v="1"/>
    <s v="Mindanao"/>
    <n v="232.59"/>
  </r>
  <r>
    <n v="202207"/>
    <x v="30"/>
    <n v="2022"/>
    <s v=" July "/>
    <x v="12"/>
    <x v="1"/>
    <s v="Mindanao"/>
    <n v="280.48"/>
  </r>
  <r>
    <n v="202208"/>
    <x v="31"/>
    <n v="2022"/>
    <s v=" August "/>
    <x v="12"/>
    <x v="1"/>
    <s v="Mindanao"/>
    <n v="249.91"/>
  </r>
  <r>
    <n v="202209"/>
    <x v="32"/>
    <n v="2022"/>
    <s v=" September "/>
    <x v="12"/>
    <x v="1"/>
    <s v="Mindanao"/>
    <n v="239.81"/>
  </r>
  <r>
    <n v="202210"/>
    <x v="33"/>
    <n v="2022"/>
    <s v=" October "/>
    <x v="12"/>
    <x v="1"/>
    <s v="Mindanao"/>
    <n v="247.95"/>
  </r>
  <r>
    <n v="202211"/>
    <x v="34"/>
    <n v="2022"/>
    <s v=" November "/>
    <x v="12"/>
    <x v="1"/>
    <s v="Mindanao"/>
    <n v="262.5"/>
  </r>
  <r>
    <n v="202212"/>
    <x v="35"/>
    <n v="2022"/>
    <s v=" December "/>
    <x v="12"/>
    <x v="1"/>
    <s v="Mindanao"/>
    <n v="226.7"/>
  </r>
  <r>
    <n v="202201"/>
    <x v="24"/>
    <n v="2022"/>
    <s v=" January "/>
    <x v="13"/>
    <x v="1"/>
    <s v="Mindanao"/>
    <n v="329.83"/>
  </r>
  <r>
    <n v="202202"/>
    <x v="25"/>
    <n v="2022"/>
    <s v=" February "/>
    <x v="13"/>
    <x v="1"/>
    <s v="Mindanao"/>
    <n v="160.30000000000001"/>
  </r>
  <r>
    <n v="202203"/>
    <x v="26"/>
    <n v="2022"/>
    <s v=" March "/>
    <x v="13"/>
    <x v="1"/>
    <s v="Mindanao"/>
    <n v="171.45"/>
  </r>
  <r>
    <n v="202204"/>
    <x v="27"/>
    <n v="2022"/>
    <s v=" April "/>
    <x v="13"/>
    <x v="1"/>
    <s v="Mindanao"/>
    <n v="306.56"/>
  </r>
  <r>
    <n v="202205"/>
    <x v="28"/>
    <n v="2022"/>
    <s v=" May "/>
    <x v="13"/>
    <x v="1"/>
    <s v="Mindanao"/>
    <n v="183.38"/>
  </r>
  <r>
    <n v="202206"/>
    <x v="29"/>
    <n v="2022"/>
    <s v=" June "/>
    <x v="13"/>
    <x v="1"/>
    <s v="Mindanao"/>
    <n v="214.6"/>
  </r>
  <r>
    <n v="202207"/>
    <x v="30"/>
    <n v="2022"/>
    <s v=" July "/>
    <x v="13"/>
    <x v="1"/>
    <s v="Mindanao"/>
    <n v="240.86"/>
  </r>
  <r>
    <n v="202208"/>
    <x v="31"/>
    <n v="2022"/>
    <s v=" August "/>
    <x v="13"/>
    <x v="1"/>
    <s v="Mindanao"/>
    <n v="211.71"/>
  </r>
  <r>
    <n v="202209"/>
    <x v="32"/>
    <n v="2022"/>
    <s v=" September "/>
    <x v="13"/>
    <x v="1"/>
    <s v="Mindanao"/>
    <n v="207.68"/>
  </r>
  <r>
    <n v="202210"/>
    <x v="33"/>
    <n v="2022"/>
    <s v=" October "/>
    <x v="13"/>
    <x v="1"/>
    <s v="Mindanao"/>
    <n v="206.13"/>
  </r>
  <r>
    <n v="202211"/>
    <x v="34"/>
    <n v="2022"/>
    <s v=" November "/>
    <x v="13"/>
    <x v="1"/>
    <s v="Mindanao"/>
    <n v="272.27"/>
  </r>
  <r>
    <n v="202212"/>
    <x v="35"/>
    <n v="2022"/>
    <s v=" December "/>
    <x v="13"/>
    <x v="1"/>
    <s v="Mindanao"/>
    <n v="225.47"/>
  </r>
  <r>
    <n v="202201"/>
    <x v="24"/>
    <n v="2022"/>
    <s v=" January "/>
    <x v="13"/>
    <x v="1"/>
    <s v="Mindanao"/>
    <n v="178.98"/>
  </r>
  <r>
    <n v="202202"/>
    <x v="25"/>
    <n v="2022"/>
    <s v=" February "/>
    <x v="13"/>
    <x v="1"/>
    <s v="Mindanao"/>
    <n v="137.97"/>
  </r>
  <r>
    <n v="202203"/>
    <x v="26"/>
    <n v="2022"/>
    <s v=" March "/>
    <x v="13"/>
    <x v="1"/>
    <s v="Mindanao"/>
    <n v="131.88"/>
  </r>
  <r>
    <n v="202204"/>
    <x v="27"/>
    <n v="2022"/>
    <s v=" April "/>
    <x v="13"/>
    <x v="1"/>
    <s v="Mindanao"/>
    <n v="189.89"/>
  </r>
  <r>
    <n v="202205"/>
    <x v="28"/>
    <n v="2022"/>
    <s v=" May "/>
    <x v="13"/>
    <x v="1"/>
    <s v="Mindanao"/>
    <n v="134.83000000000001"/>
  </r>
  <r>
    <n v="202206"/>
    <x v="29"/>
    <n v="2022"/>
    <s v=" June "/>
    <x v="13"/>
    <x v="1"/>
    <s v="Mindanao"/>
    <n v="156.27000000000001"/>
  </r>
  <r>
    <n v="202207"/>
    <x v="30"/>
    <n v="2022"/>
    <s v=" July "/>
    <x v="13"/>
    <x v="1"/>
    <s v="Mindanao"/>
    <n v="147.68"/>
  </r>
  <r>
    <n v="202208"/>
    <x v="31"/>
    <n v="2022"/>
    <s v=" August "/>
    <x v="13"/>
    <x v="1"/>
    <s v="Mindanao"/>
    <n v="154.72999999999999"/>
  </r>
  <r>
    <n v="202209"/>
    <x v="32"/>
    <n v="2022"/>
    <s v=" September "/>
    <x v="13"/>
    <x v="1"/>
    <s v="Mindanao"/>
    <n v="141.08000000000001"/>
  </r>
  <r>
    <n v="202210"/>
    <x v="33"/>
    <n v="2022"/>
    <s v=" October "/>
    <x v="13"/>
    <x v="1"/>
    <s v="Mindanao"/>
    <n v="173.84"/>
  </r>
  <r>
    <n v="202211"/>
    <x v="34"/>
    <n v="2022"/>
    <s v=" November "/>
    <x v="13"/>
    <x v="1"/>
    <s v="Mindanao"/>
    <n v="163.49"/>
  </r>
  <r>
    <n v="202212"/>
    <x v="35"/>
    <n v="2022"/>
    <s v=" December "/>
    <x v="13"/>
    <x v="1"/>
    <s v="Mindanao"/>
    <n v="170.66"/>
  </r>
  <r>
    <n v="202201"/>
    <x v="24"/>
    <n v="2022"/>
    <s v=" January "/>
    <x v="13"/>
    <x v="1"/>
    <s v="Mindanao"/>
    <n v="159.05000000000001"/>
  </r>
  <r>
    <n v="202202"/>
    <x v="25"/>
    <n v="2022"/>
    <s v=" February "/>
    <x v="13"/>
    <x v="1"/>
    <s v="Mindanao"/>
    <n v="103.92"/>
  </r>
  <r>
    <n v="202203"/>
    <x v="26"/>
    <n v="2022"/>
    <s v=" March "/>
    <x v="13"/>
    <x v="1"/>
    <s v="Mindanao"/>
    <n v="106.09"/>
  </r>
  <r>
    <n v="202204"/>
    <x v="27"/>
    <n v="2022"/>
    <s v=" April "/>
    <x v="13"/>
    <x v="1"/>
    <s v="Mindanao"/>
    <n v="143.44"/>
  </r>
  <r>
    <n v="202205"/>
    <x v="28"/>
    <n v="2022"/>
    <s v=" May "/>
    <x v="13"/>
    <x v="1"/>
    <s v="Mindanao"/>
    <n v="125.7"/>
  </r>
  <r>
    <n v="202206"/>
    <x v="29"/>
    <n v="2022"/>
    <s v=" June "/>
    <x v="13"/>
    <x v="1"/>
    <s v="Mindanao"/>
    <n v="115.95"/>
  </r>
  <r>
    <n v="202207"/>
    <x v="30"/>
    <n v="2022"/>
    <s v=" July "/>
    <x v="13"/>
    <x v="1"/>
    <s v="Mindanao"/>
    <n v="126.6"/>
  </r>
  <r>
    <n v="202208"/>
    <x v="31"/>
    <n v="2022"/>
    <s v=" August "/>
    <x v="13"/>
    <x v="1"/>
    <s v="Mindanao"/>
    <n v="127.95"/>
  </r>
  <r>
    <n v="202209"/>
    <x v="32"/>
    <n v="2022"/>
    <s v=" September "/>
    <x v="13"/>
    <x v="1"/>
    <s v="Mindanao"/>
    <n v="124.46"/>
  </r>
  <r>
    <n v="202210"/>
    <x v="33"/>
    <n v="2022"/>
    <s v=" October "/>
    <x v="13"/>
    <x v="1"/>
    <s v="Mindanao"/>
    <n v="115.78"/>
  </r>
  <r>
    <n v="202211"/>
    <x v="34"/>
    <n v="2022"/>
    <s v=" November "/>
    <x v="13"/>
    <x v="1"/>
    <s v="Mindanao"/>
    <n v="158.61000000000001"/>
  </r>
  <r>
    <n v="202212"/>
    <x v="35"/>
    <n v="2022"/>
    <s v=" December "/>
    <x v="13"/>
    <x v="1"/>
    <s v="Mindanao"/>
    <n v="107.37"/>
  </r>
  <r>
    <n v="202201"/>
    <x v="24"/>
    <n v="2022"/>
    <s v=" January "/>
    <x v="13"/>
    <x v="1"/>
    <s v="Mindanao"/>
    <n v="86.63"/>
  </r>
  <r>
    <n v="202202"/>
    <x v="25"/>
    <n v="2022"/>
    <s v=" February "/>
    <x v="13"/>
    <x v="1"/>
    <s v="Mindanao"/>
    <n v="55.1"/>
  </r>
  <r>
    <n v="202203"/>
    <x v="26"/>
    <n v="2022"/>
    <s v=" March "/>
    <x v="13"/>
    <x v="1"/>
    <s v="Mindanao"/>
    <n v="59.28"/>
  </r>
  <r>
    <n v="202204"/>
    <x v="27"/>
    <n v="2022"/>
    <s v=" April "/>
    <x v="13"/>
    <x v="1"/>
    <s v="Mindanao"/>
    <n v="91.14"/>
  </r>
  <r>
    <n v="202205"/>
    <x v="28"/>
    <n v="2022"/>
    <s v=" May "/>
    <x v="13"/>
    <x v="1"/>
    <s v="Mindanao"/>
    <n v="68.02"/>
  </r>
  <r>
    <n v="202206"/>
    <x v="29"/>
    <n v="2022"/>
    <s v=" June "/>
    <x v="13"/>
    <x v="1"/>
    <s v="Mindanao"/>
    <n v="60.39"/>
  </r>
  <r>
    <n v="202207"/>
    <x v="30"/>
    <n v="2022"/>
    <s v=" July "/>
    <x v="13"/>
    <x v="1"/>
    <s v="Mindanao"/>
    <n v="63.83"/>
  </r>
  <r>
    <n v="202208"/>
    <x v="31"/>
    <n v="2022"/>
    <s v=" August "/>
    <x v="13"/>
    <x v="1"/>
    <s v="Mindanao"/>
    <n v="69.87"/>
  </r>
  <r>
    <n v="202209"/>
    <x v="32"/>
    <n v="2022"/>
    <s v=" September "/>
    <x v="13"/>
    <x v="1"/>
    <s v="Mindanao"/>
    <n v="64.78"/>
  </r>
  <r>
    <n v="202210"/>
    <x v="33"/>
    <n v="2022"/>
    <s v=" October "/>
    <x v="13"/>
    <x v="1"/>
    <s v="Mindanao"/>
    <n v="59.16"/>
  </r>
  <r>
    <n v="202211"/>
    <x v="34"/>
    <n v="2022"/>
    <s v=" November "/>
    <x v="13"/>
    <x v="1"/>
    <s v="Mindanao"/>
    <n v="70.16"/>
  </r>
  <r>
    <n v="202212"/>
    <x v="35"/>
    <n v="2022"/>
    <s v=" December "/>
    <x v="13"/>
    <x v="1"/>
    <s v="Mindanao"/>
    <n v="57.32"/>
  </r>
  <r>
    <n v="202201"/>
    <x v="24"/>
    <n v="2022"/>
    <s v=" January "/>
    <x v="13"/>
    <x v="1"/>
    <s v="Mindanao"/>
    <n v="643.38"/>
  </r>
  <r>
    <n v="202202"/>
    <x v="25"/>
    <n v="2022"/>
    <s v=" February "/>
    <x v="13"/>
    <x v="1"/>
    <s v="Mindanao"/>
    <n v="417.55"/>
  </r>
  <r>
    <n v="202203"/>
    <x v="26"/>
    <n v="2022"/>
    <s v=" March "/>
    <x v="13"/>
    <x v="1"/>
    <s v="Mindanao"/>
    <n v="479.45"/>
  </r>
  <r>
    <n v="202204"/>
    <x v="27"/>
    <n v="2022"/>
    <s v=" April "/>
    <x v="13"/>
    <x v="1"/>
    <s v="Mindanao"/>
    <n v="656.89"/>
  </r>
  <r>
    <n v="202205"/>
    <x v="28"/>
    <n v="2022"/>
    <s v=" May "/>
    <x v="13"/>
    <x v="1"/>
    <s v="Mindanao"/>
    <n v="610.86"/>
  </r>
  <r>
    <n v="202206"/>
    <x v="29"/>
    <n v="2022"/>
    <s v=" June "/>
    <x v="13"/>
    <x v="1"/>
    <s v="Mindanao"/>
    <n v="540.95000000000005"/>
  </r>
  <r>
    <n v="202207"/>
    <x v="30"/>
    <n v="2022"/>
    <s v=" July "/>
    <x v="13"/>
    <x v="1"/>
    <s v="Mindanao"/>
    <n v="551.77"/>
  </r>
  <r>
    <n v="202208"/>
    <x v="31"/>
    <n v="2022"/>
    <s v=" August "/>
    <x v="13"/>
    <x v="1"/>
    <s v="Mindanao"/>
    <n v="563.29"/>
  </r>
  <r>
    <n v="202209"/>
    <x v="32"/>
    <n v="2022"/>
    <s v=" September "/>
    <x v="13"/>
    <x v="1"/>
    <s v="Mindanao"/>
    <n v="529.99"/>
  </r>
  <r>
    <n v="202210"/>
    <x v="33"/>
    <n v="2022"/>
    <s v=" October "/>
    <x v="13"/>
    <x v="1"/>
    <s v="Mindanao"/>
    <n v="656.03"/>
  </r>
  <r>
    <n v="202211"/>
    <x v="34"/>
    <n v="2022"/>
    <s v=" November "/>
    <x v="13"/>
    <x v="1"/>
    <s v="Mindanao"/>
    <n v="703.62"/>
  </r>
  <r>
    <n v="202212"/>
    <x v="35"/>
    <n v="2022"/>
    <s v=" December "/>
    <x v="13"/>
    <x v="1"/>
    <s v="Mindanao"/>
    <n v="542.85"/>
  </r>
  <r>
    <n v="202201"/>
    <x v="24"/>
    <n v="2022"/>
    <s v=" January "/>
    <x v="14"/>
    <x v="1"/>
    <s v="Mindanao"/>
    <n v="367.91"/>
  </r>
  <r>
    <n v="202202"/>
    <x v="25"/>
    <n v="2022"/>
    <s v=" February "/>
    <x v="14"/>
    <x v="1"/>
    <s v="Mindanao"/>
    <n v="284.42"/>
  </r>
  <r>
    <n v="202203"/>
    <x v="26"/>
    <n v="2022"/>
    <s v=" March "/>
    <x v="14"/>
    <x v="1"/>
    <s v="Mindanao"/>
    <n v="331.23"/>
  </r>
  <r>
    <n v="202204"/>
    <x v="27"/>
    <n v="2022"/>
    <s v=" April "/>
    <x v="14"/>
    <x v="1"/>
    <s v="Mindanao"/>
    <n v="447.44"/>
  </r>
  <r>
    <n v="202205"/>
    <x v="28"/>
    <n v="2022"/>
    <s v=" May "/>
    <x v="14"/>
    <x v="1"/>
    <s v="Mindanao"/>
    <n v="312.38"/>
  </r>
  <r>
    <n v="202206"/>
    <x v="29"/>
    <n v="2022"/>
    <s v=" June "/>
    <x v="14"/>
    <x v="1"/>
    <s v="Mindanao"/>
    <n v="317.60000000000002"/>
  </r>
  <r>
    <n v="202207"/>
    <x v="30"/>
    <n v="2022"/>
    <s v=" July "/>
    <x v="14"/>
    <x v="1"/>
    <s v="Mindanao"/>
    <n v="377.77"/>
  </r>
  <r>
    <n v="202208"/>
    <x v="31"/>
    <n v="2022"/>
    <s v=" August "/>
    <x v="14"/>
    <x v="1"/>
    <s v="Mindanao"/>
    <n v="387.16"/>
  </r>
  <r>
    <n v="202209"/>
    <x v="32"/>
    <n v="2022"/>
    <s v=" September "/>
    <x v="14"/>
    <x v="1"/>
    <s v="Mindanao"/>
    <n v="343.77"/>
  </r>
  <r>
    <n v="202210"/>
    <x v="33"/>
    <n v="2022"/>
    <s v=" October "/>
    <x v="14"/>
    <x v="1"/>
    <s v="Mindanao"/>
    <n v="359.95"/>
  </r>
  <r>
    <n v="202211"/>
    <x v="34"/>
    <n v="2022"/>
    <s v=" November "/>
    <x v="14"/>
    <x v="1"/>
    <s v="Mindanao"/>
    <n v="368.8"/>
  </r>
  <r>
    <n v="202212"/>
    <x v="35"/>
    <n v="2022"/>
    <s v=" December "/>
    <x v="14"/>
    <x v="1"/>
    <s v="Mindanao"/>
    <n v="315.38"/>
  </r>
  <r>
    <n v="202201"/>
    <x v="24"/>
    <n v="2022"/>
    <s v=" January "/>
    <x v="14"/>
    <x v="1"/>
    <s v="Mindanao"/>
    <n v="148.53"/>
  </r>
  <r>
    <n v="202202"/>
    <x v="25"/>
    <n v="2022"/>
    <s v=" February "/>
    <x v="14"/>
    <x v="1"/>
    <s v="Mindanao"/>
    <n v="109.47"/>
  </r>
  <r>
    <n v="202203"/>
    <x v="26"/>
    <n v="2022"/>
    <s v=" March "/>
    <x v="14"/>
    <x v="1"/>
    <s v="Mindanao"/>
    <n v="96.67"/>
  </r>
  <r>
    <n v="202204"/>
    <x v="27"/>
    <n v="2022"/>
    <s v=" April "/>
    <x v="14"/>
    <x v="1"/>
    <s v="Mindanao"/>
    <n v="158.62"/>
  </r>
  <r>
    <n v="202205"/>
    <x v="28"/>
    <n v="2022"/>
    <s v=" May "/>
    <x v="14"/>
    <x v="1"/>
    <s v="Mindanao"/>
    <n v="130.09"/>
  </r>
  <r>
    <n v="202206"/>
    <x v="29"/>
    <n v="2022"/>
    <s v=" June "/>
    <x v="14"/>
    <x v="1"/>
    <s v="Mindanao"/>
    <n v="131.66"/>
  </r>
  <r>
    <n v="202207"/>
    <x v="30"/>
    <n v="2022"/>
    <s v=" July "/>
    <x v="14"/>
    <x v="1"/>
    <s v="Mindanao"/>
    <n v="139.22"/>
  </r>
  <r>
    <n v="202208"/>
    <x v="31"/>
    <n v="2022"/>
    <s v=" August "/>
    <x v="14"/>
    <x v="1"/>
    <s v="Mindanao"/>
    <n v="145.22999999999999"/>
  </r>
  <r>
    <n v="202209"/>
    <x v="32"/>
    <n v="2022"/>
    <s v=" September "/>
    <x v="14"/>
    <x v="1"/>
    <s v="Mindanao"/>
    <n v="138.27000000000001"/>
  </r>
  <r>
    <n v="202210"/>
    <x v="33"/>
    <n v="2022"/>
    <s v=" October "/>
    <x v="14"/>
    <x v="1"/>
    <s v="Mindanao"/>
    <n v="125.53"/>
  </r>
  <r>
    <n v="202211"/>
    <x v="34"/>
    <n v="2022"/>
    <s v=" November "/>
    <x v="14"/>
    <x v="1"/>
    <s v="Mindanao"/>
    <n v="144.38"/>
  </r>
  <r>
    <n v="202212"/>
    <x v="35"/>
    <n v="2022"/>
    <s v=" December "/>
    <x v="14"/>
    <x v="1"/>
    <s v="Mindanao"/>
    <n v="118.87"/>
  </r>
  <r>
    <n v="202201"/>
    <x v="24"/>
    <n v="2022"/>
    <s v=" January "/>
    <x v="14"/>
    <x v="1"/>
    <s v="Mindanao"/>
    <n v="94.12"/>
  </r>
  <r>
    <n v="202202"/>
    <x v="25"/>
    <n v="2022"/>
    <s v=" February "/>
    <x v="14"/>
    <x v="1"/>
    <s v="Mindanao"/>
    <n v="59.3"/>
  </r>
  <r>
    <n v="202203"/>
    <x v="26"/>
    <n v="2022"/>
    <s v=" March "/>
    <x v="14"/>
    <x v="1"/>
    <s v="Mindanao"/>
    <n v="69.38"/>
  </r>
  <r>
    <n v="202204"/>
    <x v="27"/>
    <n v="2022"/>
    <s v=" April "/>
    <x v="14"/>
    <x v="1"/>
    <s v="Mindanao"/>
    <n v="88.59"/>
  </r>
  <r>
    <n v="202205"/>
    <x v="28"/>
    <n v="2022"/>
    <s v=" May "/>
    <x v="14"/>
    <x v="1"/>
    <s v="Mindanao"/>
    <n v="81.62"/>
  </r>
  <r>
    <n v="202206"/>
    <x v="29"/>
    <n v="2022"/>
    <s v=" June "/>
    <x v="14"/>
    <x v="1"/>
    <s v="Mindanao"/>
    <n v="78.08"/>
  </r>
  <r>
    <n v="202207"/>
    <x v="30"/>
    <n v="2022"/>
    <s v=" July "/>
    <x v="14"/>
    <x v="1"/>
    <s v="Mindanao"/>
    <n v="117.92"/>
  </r>
  <r>
    <n v="202208"/>
    <x v="31"/>
    <n v="2022"/>
    <s v=" August "/>
    <x v="14"/>
    <x v="1"/>
    <s v="Mindanao"/>
    <n v="89.95"/>
  </r>
  <r>
    <n v="202209"/>
    <x v="32"/>
    <n v="2022"/>
    <s v=" September "/>
    <x v="14"/>
    <x v="1"/>
    <s v="Mindanao"/>
    <n v="54.34"/>
  </r>
  <r>
    <n v="202210"/>
    <x v="33"/>
    <n v="2022"/>
    <s v=" October "/>
    <x v="14"/>
    <x v="1"/>
    <s v="Mindanao"/>
    <n v="78.8"/>
  </r>
  <r>
    <n v="202211"/>
    <x v="34"/>
    <n v="2022"/>
    <s v=" November "/>
    <x v="14"/>
    <x v="1"/>
    <s v="Mindanao"/>
    <n v="75.2"/>
  </r>
  <r>
    <n v="202212"/>
    <x v="35"/>
    <n v="2022"/>
    <s v=" December "/>
    <x v="14"/>
    <x v="1"/>
    <s v="Mindanao"/>
    <n v="70.61"/>
  </r>
  <r>
    <n v="202201"/>
    <x v="24"/>
    <n v="2022"/>
    <s v=" January "/>
    <x v="14"/>
    <x v="1"/>
    <s v="Mindanao"/>
    <n v="1277.8800000000001"/>
  </r>
  <r>
    <n v="202202"/>
    <x v="25"/>
    <n v="2022"/>
    <s v=" February "/>
    <x v="14"/>
    <x v="1"/>
    <s v="Mindanao"/>
    <n v="845.23"/>
  </r>
  <r>
    <n v="202203"/>
    <x v="26"/>
    <n v="2022"/>
    <s v=" March "/>
    <x v="14"/>
    <x v="1"/>
    <s v="Mindanao"/>
    <n v="1170.31"/>
  </r>
  <r>
    <n v="202204"/>
    <x v="27"/>
    <n v="2022"/>
    <s v=" April "/>
    <x v="14"/>
    <x v="1"/>
    <s v="Mindanao"/>
    <n v="1604.63"/>
  </r>
  <r>
    <n v="202205"/>
    <x v="28"/>
    <n v="2022"/>
    <s v=" May "/>
    <x v="14"/>
    <x v="1"/>
    <s v="Mindanao"/>
    <n v="1262.79"/>
  </r>
  <r>
    <n v="202206"/>
    <x v="29"/>
    <n v="2022"/>
    <s v=" June "/>
    <x v="14"/>
    <x v="1"/>
    <s v="Mindanao"/>
    <n v="1072.05"/>
  </r>
  <r>
    <n v="202207"/>
    <x v="30"/>
    <n v="2022"/>
    <s v=" July "/>
    <x v="14"/>
    <x v="1"/>
    <s v="Mindanao"/>
    <n v="1174.6099999999999"/>
  </r>
  <r>
    <n v="202208"/>
    <x v="31"/>
    <n v="2022"/>
    <s v=" August "/>
    <x v="14"/>
    <x v="1"/>
    <s v="Mindanao"/>
    <n v="1380.81"/>
  </r>
  <r>
    <n v="202209"/>
    <x v="32"/>
    <n v="2022"/>
    <s v=" September "/>
    <x v="14"/>
    <x v="1"/>
    <s v="Mindanao"/>
    <n v="1241.82"/>
  </r>
  <r>
    <n v="202210"/>
    <x v="33"/>
    <n v="2022"/>
    <s v=" October "/>
    <x v="14"/>
    <x v="1"/>
    <s v="Mindanao"/>
    <n v="1261.31"/>
  </r>
  <r>
    <n v="202211"/>
    <x v="34"/>
    <n v="2022"/>
    <s v=" November "/>
    <x v="14"/>
    <x v="1"/>
    <s v="Mindanao"/>
    <n v="1329.03"/>
  </r>
  <r>
    <n v="202212"/>
    <x v="35"/>
    <n v="2022"/>
    <s v=" December "/>
    <x v="14"/>
    <x v="1"/>
    <s v="Mindanao"/>
    <n v="1346.92"/>
  </r>
  <r>
    <n v="202201"/>
    <x v="24"/>
    <n v="2022"/>
    <s v=" January "/>
    <x v="14"/>
    <x v="1"/>
    <s v="Mindanao"/>
    <n v="1752.84"/>
  </r>
  <r>
    <n v="202202"/>
    <x v="25"/>
    <n v="2022"/>
    <s v=" February "/>
    <x v="14"/>
    <x v="1"/>
    <s v="Mindanao"/>
    <n v="901.71"/>
  </r>
  <r>
    <n v="202203"/>
    <x v="26"/>
    <n v="2022"/>
    <s v=" March "/>
    <x v="14"/>
    <x v="1"/>
    <s v="Mindanao"/>
    <n v="1152.92"/>
  </r>
  <r>
    <n v="202204"/>
    <x v="27"/>
    <n v="2022"/>
    <s v=" April "/>
    <x v="14"/>
    <x v="1"/>
    <s v="Mindanao"/>
    <n v="1937.95"/>
  </r>
  <r>
    <n v="202205"/>
    <x v="28"/>
    <n v="2022"/>
    <s v=" May "/>
    <x v="14"/>
    <x v="1"/>
    <s v="Mindanao"/>
    <n v="1775.33"/>
  </r>
  <r>
    <n v="202206"/>
    <x v="29"/>
    <n v="2022"/>
    <s v=" June "/>
    <x v="14"/>
    <x v="1"/>
    <s v="Mindanao"/>
    <n v="1222.55"/>
  </r>
  <r>
    <n v="202207"/>
    <x v="30"/>
    <n v="2022"/>
    <s v=" July "/>
    <x v="14"/>
    <x v="1"/>
    <s v="Mindanao"/>
    <n v="1710.88"/>
  </r>
  <r>
    <n v="202208"/>
    <x v="31"/>
    <n v="2022"/>
    <s v=" August "/>
    <x v="14"/>
    <x v="1"/>
    <s v="Mindanao"/>
    <n v="1731.86"/>
  </r>
  <r>
    <n v="202209"/>
    <x v="32"/>
    <n v="2022"/>
    <s v=" September "/>
    <x v="14"/>
    <x v="1"/>
    <s v="Mindanao"/>
    <n v="1341.25"/>
  </r>
  <r>
    <n v="202210"/>
    <x v="33"/>
    <n v="2022"/>
    <s v=" October "/>
    <x v="14"/>
    <x v="1"/>
    <s v="Mindanao"/>
    <n v="1635.7"/>
  </r>
  <r>
    <n v="202211"/>
    <x v="34"/>
    <n v="2022"/>
    <s v=" November "/>
    <x v="14"/>
    <x v="1"/>
    <s v="Mindanao"/>
    <n v="2035.71"/>
  </r>
  <r>
    <n v="202212"/>
    <x v="35"/>
    <n v="2022"/>
    <s v=" December "/>
    <x v="14"/>
    <x v="1"/>
    <s v="Mindanao"/>
    <n v="1338.32"/>
  </r>
  <r>
    <n v="202201"/>
    <x v="24"/>
    <n v="2022"/>
    <s v=" January "/>
    <x v="15"/>
    <x v="1"/>
    <s v="Mindanao"/>
    <n v="172.29"/>
  </r>
  <r>
    <n v="202202"/>
    <x v="25"/>
    <n v="2022"/>
    <s v=" February "/>
    <x v="15"/>
    <x v="1"/>
    <s v="Mindanao"/>
    <n v="114.2"/>
  </r>
  <r>
    <n v="202203"/>
    <x v="26"/>
    <n v="2022"/>
    <s v=" March "/>
    <x v="15"/>
    <x v="1"/>
    <s v="Mindanao"/>
    <n v="124.46"/>
  </r>
  <r>
    <n v="202204"/>
    <x v="27"/>
    <n v="2022"/>
    <s v=" April "/>
    <x v="15"/>
    <x v="1"/>
    <s v="Mindanao"/>
    <n v="205.81"/>
  </r>
  <r>
    <n v="202205"/>
    <x v="28"/>
    <n v="2022"/>
    <s v=" May "/>
    <x v="15"/>
    <x v="1"/>
    <s v="Mindanao"/>
    <n v="153.03"/>
  </r>
  <r>
    <n v="202206"/>
    <x v="29"/>
    <n v="2022"/>
    <s v=" June "/>
    <x v="15"/>
    <x v="1"/>
    <s v="Mindanao"/>
    <n v="150.49"/>
  </r>
  <r>
    <n v="202207"/>
    <x v="30"/>
    <n v="2022"/>
    <s v=" July "/>
    <x v="15"/>
    <x v="1"/>
    <s v="Mindanao"/>
    <n v="171.83"/>
  </r>
  <r>
    <n v="202208"/>
    <x v="31"/>
    <n v="2022"/>
    <s v=" August "/>
    <x v="15"/>
    <x v="1"/>
    <s v="Mindanao"/>
    <n v="143.56"/>
  </r>
  <r>
    <n v="202209"/>
    <x v="32"/>
    <n v="2022"/>
    <s v=" September "/>
    <x v="15"/>
    <x v="1"/>
    <s v="Mindanao"/>
    <n v="141.33000000000001"/>
  </r>
  <r>
    <n v="202210"/>
    <x v="33"/>
    <n v="2022"/>
    <s v=" October "/>
    <x v="15"/>
    <x v="1"/>
    <s v="Mindanao"/>
    <n v="157.07"/>
  </r>
  <r>
    <n v="202211"/>
    <x v="34"/>
    <n v="2022"/>
    <s v=" November "/>
    <x v="15"/>
    <x v="1"/>
    <s v="Mindanao"/>
    <n v="175.02"/>
  </r>
  <r>
    <n v="202212"/>
    <x v="35"/>
    <n v="2022"/>
    <s v=" December "/>
    <x v="15"/>
    <x v="1"/>
    <s v="Mindanao"/>
    <n v="143.19"/>
  </r>
  <r>
    <n v="202201"/>
    <x v="24"/>
    <n v="2022"/>
    <s v=" January "/>
    <x v="15"/>
    <x v="1"/>
    <s v="Mindanao"/>
    <n v="315.35000000000002"/>
  </r>
  <r>
    <n v="202202"/>
    <x v="25"/>
    <n v="2022"/>
    <s v=" February "/>
    <x v="15"/>
    <x v="1"/>
    <s v="Mindanao"/>
    <n v="176.03"/>
  </r>
  <r>
    <n v="202203"/>
    <x v="26"/>
    <n v="2022"/>
    <s v=" March "/>
    <x v="15"/>
    <x v="1"/>
    <s v="Mindanao"/>
    <n v="276.95"/>
  </r>
  <r>
    <n v="202204"/>
    <x v="27"/>
    <n v="2022"/>
    <s v=" April "/>
    <x v="15"/>
    <x v="1"/>
    <s v="Mindanao"/>
    <n v="386.09"/>
  </r>
  <r>
    <n v="202205"/>
    <x v="28"/>
    <n v="2022"/>
    <s v=" May "/>
    <x v="15"/>
    <x v="1"/>
    <s v="Mindanao"/>
    <n v="319.89999999999998"/>
  </r>
  <r>
    <n v="202206"/>
    <x v="29"/>
    <n v="2022"/>
    <s v=" June "/>
    <x v="15"/>
    <x v="1"/>
    <s v="Mindanao"/>
    <n v="230.64"/>
  </r>
  <r>
    <n v="202207"/>
    <x v="30"/>
    <n v="2022"/>
    <s v=" July "/>
    <x v="15"/>
    <x v="1"/>
    <s v="Mindanao"/>
    <n v="276.01"/>
  </r>
  <r>
    <n v="202208"/>
    <x v="31"/>
    <n v="2022"/>
    <s v=" August "/>
    <x v="15"/>
    <x v="1"/>
    <s v="Mindanao"/>
    <n v="304.60000000000002"/>
  </r>
  <r>
    <n v="202209"/>
    <x v="32"/>
    <n v="2022"/>
    <s v=" September "/>
    <x v="15"/>
    <x v="1"/>
    <s v="Mindanao"/>
    <n v="216.25"/>
  </r>
  <r>
    <n v="202210"/>
    <x v="33"/>
    <n v="2022"/>
    <s v=" October "/>
    <x v="15"/>
    <x v="1"/>
    <s v="Mindanao"/>
    <n v="280.08999999999997"/>
  </r>
  <r>
    <n v="202211"/>
    <x v="34"/>
    <n v="2022"/>
    <s v=" November "/>
    <x v="15"/>
    <x v="1"/>
    <s v="Mindanao"/>
    <n v="287.95"/>
  </r>
  <r>
    <n v="202212"/>
    <x v="35"/>
    <n v="2022"/>
    <s v=" December "/>
    <x v="15"/>
    <x v="1"/>
    <s v="Mindanao"/>
    <n v="316.58999999999997"/>
  </r>
  <r>
    <n v="202201"/>
    <x v="24"/>
    <n v="2022"/>
    <s v=" January "/>
    <x v="15"/>
    <x v="1"/>
    <s v="Mindanao"/>
    <n v="177.25"/>
  </r>
  <r>
    <n v="202202"/>
    <x v="25"/>
    <n v="2022"/>
    <s v=" February "/>
    <x v="15"/>
    <x v="1"/>
    <s v="Mindanao"/>
    <n v="119.98"/>
  </r>
  <r>
    <n v="202203"/>
    <x v="26"/>
    <n v="2022"/>
    <s v=" March "/>
    <x v="15"/>
    <x v="1"/>
    <s v="Mindanao"/>
    <n v="286.77999999999997"/>
  </r>
  <r>
    <n v="202204"/>
    <x v="27"/>
    <n v="2022"/>
    <s v=" April "/>
    <x v="15"/>
    <x v="1"/>
    <s v="Mindanao"/>
    <n v="221.86"/>
  </r>
  <r>
    <n v="202205"/>
    <x v="28"/>
    <n v="2022"/>
    <s v=" May "/>
    <x v="15"/>
    <x v="1"/>
    <s v="Mindanao"/>
    <n v="158.13"/>
  </r>
  <r>
    <n v="202206"/>
    <x v="29"/>
    <n v="2022"/>
    <s v=" June "/>
    <x v="15"/>
    <x v="1"/>
    <s v="Mindanao"/>
    <n v="192.53"/>
  </r>
  <r>
    <n v="202207"/>
    <x v="30"/>
    <n v="2022"/>
    <s v=" July "/>
    <x v="15"/>
    <x v="1"/>
    <s v="Mindanao"/>
    <n v="219.98"/>
  </r>
  <r>
    <n v="202208"/>
    <x v="31"/>
    <n v="2022"/>
    <s v=" August "/>
    <x v="15"/>
    <x v="1"/>
    <s v="Mindanao"/>
    <n v="186.14"/>
  </r>
  <r>
    <n v="202209"/>
    <x v="32"/>
    <n v="2022"/>
    <s v=" September "/>
    <x v="15"/>
    <x v="1"/>
    <s v="Mindanao"/>
    <n v="157.54"/>
  </r>
  <r>
    <n v="202210"/>
    <x v="33"/>
    <n v="2022"/>
    <s v=" October "/>
    <x v="15"/>
    <x v="1"/>
    <s v="Mindanao"/>
    <n v="282.52999999999997"/>
  </r>
  <r>
    <n v="202211"/>
    <x v="34"/>
    <n v="2022"/>
    <s v=" November "/>
    <x v="15"/>
    <x v="1"/>
    <s v="Mindanao"/>
    <n v="192.5"/>
  </r>
  <r>
    <n v="202212"/>
    <x v="35"/>
    <n v="2022"/>
    <s v=" December "/>
    <x v="15"/>
    <x v="1"/>
    <s v="Mindanao"/>
    <n v="180.14"/>
  </r>
  <r>
    <n v="202201"/>
    <x v="24"/>
    <n v="2022"/>
    <s v=" January "/>
    <x v="15"/>
    <x v="1"/>
    <s v="Mindanao"/>
    <n v="116.77"/>
  </r>
  <r>
    <n v="202202"/>
    <x v="25"/>
    <n v="2022"/>
    <s v=" February "/>
    <x v="15"/>
    <x v="1"/>
    <s v="Mindanao"/>
    <n v="101.76"/>
  </r>
  <r>
    <n v="202203"/>
    <x v="26"/>
    <n v="2022"/>
    <s v=" March "/>
    <x v="15"/>
    <x v="1"/>
    <s v="Mindanao"/>
    <n v="95.65"/>
  </r>
  <r>
    <n v="202204"/>
    <x v="27"/>
    <n v="2022"/>
    <s v=" April "/>
    <x v="15"/>
    <x v="1"/>
    <s v="Mindanao"/>
    <n v="153.34"/>
  </r>
  <r>
    <n v="202205"/>
    <x v="28"/>
    <n v="2022"/>
    <s v=" May "/>
    <x v="15"/>
    <x v="1"/>
    <s v="Mindanao"/>
    <n v="89.05"/>
  </r>
  <r>
    <n v="202206"/>
    <x v="29"/>
    <n v="2022"/>
    <s v=" June "/>
    <x v="15"/>
    <x v="1"/>
    <s v="Mindanao"/>
    <n v="114.32"/>
  </r>
  <r>
    <n v="202207"/>
    <x v="30"/>
    <n v="2022"/>
    <s v=" July "/>
    <x v="15"/>
    <x v="1"/>
    <s v="Mindanao"/>
    <n v="108.62"/>
  </r>
  <r>
    <n v="202208"/>
    <x v="31"/>
    <n v="2022"/>
    <s v=" August "/>
    <x v="15"/>
    <x v="1"/>
    <s v="Mindanao"/>
    <n v="133.88"/>
  </r>
  <r>
    <n v="202209"/>
    <x v="32"/>
    <n v="2022"/>
    <s v=" September "/>
    <x v="15"/>
    <x v="1"/>
    <s v="Mindanao"/>
    <n v="105.21"/>
  </r>
  <r>
    <n v="202210"/>
    <x v="33"/>
    <n v="2022"/>
    <s v=" October "/>
    <x v="15"/>
    <x v="1"/>
    <s v="Mindanao"/>
    <n v="110.6"/>
  </r>
  <r>
    <n v="202211"/>
    <x v="34"/>
    <n v="2022"/>
    <s v=" November "/>
    <x v="15"/>
    <x v="1"/>
    <s v="Mindanao"/>
    <n v="105.59"/>
  </r>
  <r>
    <n v="202212"/>
    <x v="35"/>
    <n v="2022"/>
    <s v=" December "/>
    <x v="15"/>
    <x v="1"/>
    <s v="Mindanao"/>
    <n v="117.04"/>
  </r>
  <r>
    <n v="202201"/>
    <x v="24"/>
    <n v="2022"/>
    <s v=" January "/>
    <x v="16"/>
    <x v="1"/>
    <s v="Mindanao"/>
    <n v="286.85000000000002"/>
  </r>
  <r>
    <n v="202202"/>
    <x v="25"/>
    <n v="2022"/>
    <s v=" February "/>
    <x v="16"/>
    <x v="1"/>
    <s v="Mindanao"/>
    <n v="161.47999999999999"/>
  </r>
  <r>
    <n v="202203"/>
    <x v="26"/>
    <n v="2022"/>
    <s v=" March "/>
    <x v="16"/>
    <x v="1"/>
    <s v="Mindanao"/>
    <n v="227.85"/>
  </r>
  <r>
    <n v="202204"/>
    <x v="27"/>
    <n v="2022"/>
    <s v=" April "/>
    <x v="16"/>
    <x v="1"/>
    <s v="Mindanao"/>
    <n v="266.87"/>
  </r>
  <r>
    <n v="202205"/>
    <x v="28"/>
    <n v="2022"/>
    <s v=" May "/>
    <x v="16"/>
    <x v="1"/>
    <s v="Mindanao"/>
    <n v="239.49"/>
  </r>
  <r>
    <n v="202206"/>
    <x v="29"/>
    <n v="2022"/>
    <s v=" June "/>
    <x v="16"/>
    <x v="1"/>
    <s v="Mindanao"/>
    <n v="221.36"/>
  </r>
  <r>
    <n v="202207"/>
    <x v="30"/>
    <n v="2022"/>
    <s v=" July "/>
    <x v="16"/>
    <x v="1"/>
    <s v="Mindanao"/>
    <n v="232.91"/>
  </r>
  <r>
    <n v="202208"/>
    <x v="31"/>
    <n v="2022"/>
    <s v=" August "/>
    <x v="16"/>
    <x v="1"/>
    <s v="Mindanao"/>
    <n v="286.76"/>
  </r>
  <r>
    <n v="202209"/>
    <x v="32"/>
    <n v="2022"/>
    <s v=" September "/>
    <x v="16"/>
    <x v="1"/>
    <s v="Mindanao"/>
    <n v="265.77"/>
  </r>
  <r>
    <n v="202210"/>
    <x v="33"/>
    <n v="2022"/>
    <s v=" October "/>
    <x v="16"/>
    <x v="1"/>
    <s v="Mindanao"/>
    <n v="265.58999999999997"/>
  </r>
  <r>
    <n v="202211"/>
    <x v="34"/>
    <n v="2022"/>
    <s v=" November "/>
    <x v="16"/>
    <x v="1"/>
    <s v="Mindanao"/>
    <n v="353.62"/>
  </r>
  <r>
    <n v="202212"/>
    <x v="35"/>
    <n v="2022"/>
    <s v=" December "/>
    <x v="16"/>
    <x v="1"/>
    <s v="Mindanao"/>
    <n v="169.85"/>
  </r>
  <r>
    <n v="202201"/>
    <x v="24"/>
    <n v="2022"/>
    <s v=" January "/>
    <x v="16"/>
    <x v="1"/>
    <s v="Mindanao"/>
    <n v="148.21"/>
  </r>
  <r>
    <n v="202202"/>
    <x v="25"/>
    <n v="2022"/>
    <s v=" February "/>
    <x v="16"/>
    <x v="1"/>
    <s v="Mindanao"/>
    <n v="87.05"/>
  </r>
  <r>
    <n v="202203"/>
    <x v="26"/>
    <n v="2022"/>
    <s v=" March "/>
    <x v="16"/>
    <x v="1"/>
    <s v="Mindanao"/>
    <n v="100.31"/>
  </r>
  <r>
    <n v="202204"/>
    <x v="27"/>
    <n v="2022"/>
    <s v=" April "/>
    <x v="16"/>
    <x v="1"/>
    <s v="Mindanao"/>
    <n v="161.63"/>
  </r>
  <r>
    <n v="202205"/>
    <x v="28"/>
    <n v="2022"/>
    <s v=" May "/>
    <x v="16"/>
    <x v="1"/>
    <s v="Mindanao"/>
    <n v="112.17"/>
  </r>
  <r>
    <n v="202206"/>
    <x v="29"/>
    <n v="2022"/>
    <s v=" June "/>
    <x v="16"/>
    <x v="1"/>
    <s v="Mindanao"/>
    <n v="106.1"/>
  </r>
  <r>
    <n v="202207"/>
    <x v="30"/>
    <n v="2022"/>
    <s v=" July "/>
    <x v="16"/>
    <x v="1"/>
    <s v="Mindanao"/>
    <n v="134.21"/>
  </r>
  <r>
    <n v="202208"/>
    <x v="31"/>
    <n v="2022"/>
    <s v=" August "/>
    <x v="16"/>
    <x v="1"/>
    <s v="Mindanao"/>
    <n v="112.26"/>
  </r>
  <r>
    <n v="202209"/>
    <x v="32"/>
    <n v="2022"/>
    <s v=" September "/>
    <x v="16"/>
    <x v="1"/>
    <s v="Mindanao"/>
    <n v="118.6"/>
  </r>
  <r>
    <n v="202210"/>
    <x v="33"/>
    <n v="2022"/>
    <s v=" October "/>
    <x v="16"/>
    <x v="1"/>
    <s v="Mindanao"/>
    <n v="123.85"/>
  </r>
  <r>
    <n v="202211"/>
    <x v="34"/>
    <n v="2022"/>
    <s v=" November "/>
    <x v="16"/>
    <x v="1"/>
    <s v="Mindanao"/>
    <n v="145.06"/>
  </r>
  <r>
    <n v="202212"/>
    <x v="35"/>
    <n v="2022"/>
    <s v=" December "/>
    <x v="16"/>
    <x v="1"/>
    <s v="Mindanao"/>
    <n v="102.42"/>
  </r>
  <r>
    <n v="202201"/>
    <x v="24"/>
    <n v="2022"/>
    <s v=" January "/>
    <x v="16"/>
    <x v="1"/>
    <s v="Mindanao"/>
    <n v="123.86"/>
  </r>
  <r>
    <n v="202202"/>
    <x v="25"/>
    <n v="2022"/>
    <s v=" February "/>
    <x v="16"/>
    <x v="1"/>
    <s v="Mindanao"/>
    <n v="85.74"/>
  </r>
  <r>
    <n v="202203"/>
    <x v="26"/>
    <n v="2022"/>
    <s v=" March "/>
    <x v="16"/>
    <x v="1"/>
    <s v="Mindanao"/>
    <n v="119.8"/>
  </r>
  <r>
    <n v="202204"/>
    <x v="27"/>
    <n v="2022"/>
    <s v=" April "/>
    <x v="16"/>
    <x v="1"/>
    <s v="Mindanao"/>
    <n v="145.72"/>
  </r>
  <r>
    <n v="202205"/>
    <x v="28"/>
    <n v="2022"/>
    <s v=" May "/>
    <x v="16"/>
    <x v="1"/>
    <s v="Mindanao"/>
    <n v="116.61"/>
  </r>
  <r>
    <n v="202206"/>
    <x v="29"/>
    <n v="2022"/>
    <s v=" June "/>
    <x v="16"/>
    <x v="1"/>
    <s v="Mindanao"/>
    <n v="168.71"/>
  </r>
  <r>
    <n v="202207"/>
    <x v="30"/>
    <n v="2022"/>
    <s v=" July "/>
    <x v="16"/>
    <x v="1"/>
    <s v="Mindanao"/>
    <n v="110.6"/>
  </r>
  <r>
    <n v="202208"/>
    <x v="31"/>
    <n v="2022"/>
    <s v=" August "/>
    <x v="16"/>
    <x v="1"/>
    <s v="Mindanao"/>
    <n v="153.91"/>
  </r>
  <r>
    <n v="202209"/>
    <x v="32"/>
    <n v="2022"/>
    <s v=" September "/>
    <x v="16"/>
    <x v="1"/>
    <s v="Mindanao"/>
    <n v="126.11"/>
  </r>
  <r>
    <n v="202210"/>
    <x v="33"/>
    <n v="2022"/>
    <s v=" October "/>
    <x v="16"/>
    <x v="1"/>
    <s v="Mindanao"/>
    <n v="143.71"/>
  </r>
  <r>
    <n v="202211"/>
    <x v="34"/>
    <n v="2022"/>
    <s v=" November "/>
    <x v="16"/>
    <x v="1"/>
    <s v="Mindanao"/>
    <n v="151.88999999999999"/>
  </r>
  <r>
    <n v="202212"/>
    <x v="35"/>
    <n v="2022"/>
    <s v=" December "/>
    <x v="16"/>
    <x v="1"/>
    <s v="Mindanao"/>
    <n v="115.9"/>
  </r>
  <r>
    <n v="202201"/>
    <x v="24"/>
    <n v="2022"/>
    <s v=" January "/>
    <x v="16"/>
    <x v="1"/>
    <s v="Mindanao"/>
    <n v="121.06"/>
  </r>
  <r>
    <n v="202202"/>
    <x v="25"/>
    <n v="2022"/>
    <s v=" February "/>
    <x v="16"/>
    <x v="1"/>
    <s v="Mindanao"/>
    <n v="71.38"/>
  </r>
  <r>
    <n v="202203"/>
    <x v="26"/>
    <n v="2022"/>
    <s v=" March "/>
    <x v="16"/>
    <x v="1"/>
    <s v="Mindanao"/>
    <n v="84.67"/>
  </r>
  <r>
    <n v="202204"/>
    <x v="27"/>
    <n v="2022"/>
    <s v=" April "/>
    <x v="16"/>
    <x v="1"/>
    <s v="Mindanao"/>
    <n v="138.58000000000001"/>
  </r>
  <r>
    <n v="202205"/>
    <x v="28"/>
    <n v="2022"/>
    <s v=" May "/>
    <x v="16"/>
    <x v="1"/>
    <s v="Mindanao"/>
    <n v="111.31"/>
  </r>
  <r>
    <n v="202206"/>
    <x v="29"/>
    <n v="2022"/>
    <s v=" June "/>
    <x v="16"/>
    <x v="1"/>
    <s v="Mindanao"/>
    <n v="72.64"/>
  </r>
  <r>
    <n v="202207"/>
    <x v="30"/>
    <n v="2022"/>
    <s v=" July "/>
    <x v="16"/>
    <x v="1"/>
    <s v="Mindanao"/>
    <n v="111.12"/>
  </r>
  <r>
    <n v="202208"/>
    <x v="31"/>
    <n v="2022"/>
    <s v=" August "/>
    <x v="16"/>
    <x v="1"/>
    <s v="Mindanao"/>
    <n v="92.97"/>
  </r>
  <r>
    <n v="202209"/>
    <x v="32"/>
    <n v="2022"/>
    <s v=" September "/>
    <x v="16"/>
    <x v="1"/>
    <s v="Mindanao"/>
    <n v="97.72"/>
  </r>
  <r>
    <n v="202210"/>
    <x v="33"/>
    <n v="2022"/>
    <s v=" October "/>
    <x v="16"/>
    <x v="1"/>
    <s v="Mindanao"/>
    <n v="96.79"/>
  </r>
  <r>
    <n v="202211"/>
    <x v="34"/>
    <n v="2022"/>
    <s v=" November "/>
    <x v="16"/>
    <x v="1"/>
    <s v="Mindanao"/>
    <n v="114.85"/>
  </r>
  <r>
    <n v="202212"/>
    <x v="35"/>
    <n v="2022"/>
    <s v=" December "/>
    <x v="16"/>
    <x v="1"/>
    <s v="Mindanao"/>
    <n v="96.75"/>
  </r>
  <r>
    <n v="202201"/>
    <x v="24"/>
    <n v="2022"/>
    <s v=" January "/>
    <x v="17"/>
    <x v="1"/>
    <s v="Mindanao"/>
    <n v="23.32"/>
  </r>
  <r>
    <n v="202202"/>
    <x v="25"/>
    <n v="2022"/>
    <s v=" February "/>
    <x v="17"/>
    <x v="1"/>
    <s v="Mindanao"/>
    <n v="19.36"/>
  </r>
  <r>
    <n v="202203"/>
    <x v="26"/>
    <n v="2022"/>
    <s v=" March "/>
    <x v="17"/>
    <x v="1"/>
    <s v="Mindanao"/>
    <n v="22.46"/>
  </r>
  <r>
    <n v="202204"/>
    <x v="27"/>
    <n v="2022"/>
    <s v=" April "/>
    <x v="17"/>
    <x v="1"/>
    <s v="Mindanao"/>
    <n v="37.799999999999997"/>
  </r>
  <r>
    <n v="202205"/>
    <x v="28"/>
    <n v="2022"/>
    <s v=" May "/>
    <x v="17"/>
    <x v="1"/>
    <s v="Mindanao"/>
    <n v="20.23"/>
  </r>
  <r>
    <n v="202206"/>
    <x v="29"/>
    <n v="2022"/>
    <s v=" June "/>
    <x v="17"/>
    <x v="1"/>
    <s v="Mindanao"/>
    <n v="29.49"/>
  </r>
  <r>
    <n v="202207"/>
    <x v="30"/>
    <n v="2022"/>
    <s v=" July "/>
    <x v="17"/>
    <x v="1"/>
    <s v="Mindanao"/>
    <n v="35.619999999999997"/>
  </r>
  <r>
    <n v="202208"/>
    <x v="31"/>
    <n v="2022"/>
    <s v=" August "/>
    <x v="17"/>
    <x v="1"/>
    <s v="Mindanao"/>
    <n v="34.72"/>
  </r>
  <r>
    <n v="202209"/>
    <x v="32"/>
    <n v="2022"/>
    <s v=" September "/>
    <x v="17"/>
    <x v="1"/>
    <s v="Mindanao"/>
    <n v="22.51"/>
  </r>
  <r>
    <n v="202210"/>
    <x v="33"/>
    <n v="2022"/>
    <s v=" October "/>
    <x v="17"/>
    <x v="1"/>
    <s v="Mindanao"/>
    <n v="18.91"/>
  </r>
  <r>
    <n v="202211"/>
    <x v="34"/>
    <n v="2022"/>
    <s v=" November "/>
    <x v="17"/>
    <x v="1"/>
    <s v="Mindanao"/>
    <n v="31.68"/>
  </r>
  <r>
    <n v="202212"/>
    <x v="35"/>
    <n v="2022"/>
    <s v=" December "/>
    <x v="17"/>
    <x v="1"/>
    <s v="Mindanao"/>
    <n v="16.489999999999998"/>
  </r>
  <r>
    <n v="202201"/>
    <x v="24"/>
    <n v="2022"/>
    <s v=" January "/>
    <x v="17"/>
    <x v="1"/>
    <s v="Mindanao"/>
    <n v="84.03"/>
  </r>
  <r>
    <n v="202202"/>
    <x v="25"/>
    <n v="2022"/>
    <s v=" February "/>
    <x v="17"/>
    <x v="1"/>
    <s v="Mindanao"/>
    <n v="60.87"/>
  </r>
  <r>
    <n v="202203"/>
    <x v="26"/>
    <n v="2022"/>
    <s v=" March "/>
    <x v="17"/>
    <x v="1"/>
    <s v="Mindanao"/>
    <n v="61.66"/>
  </r>
  <r>
    <n v="202204"/>
    <x v="27"/>
    <n v="2022"/>
    <s v=" April "/>
    <x v="17"/>
    <x v="1"/>
    <s v="Mindanao"/>
    <n v="68.760000000000005"/>
  </r>
  <r>
    <n v="202205"/>
    <x v="28"/>
    <n v="2022"/>
    <s v=" May "/>
    <x v="17"/>
    <x v="1"/>
    <s v="Mindanao"/>
    <n v="63.07"/>
  </r>
  <r>
    <n v="202206"/>
    <x v="29"/>
    <n v="2022"/>
    <s v=" June "/>
    <x v="17"/>
    <x v="1"/>
    <s v="Mindanao"/>
    <n v="94.09"/>
  </r>
  <r>
    <n v="202207"/>
    <x v="30"/>
    <n v="2022"/>
    <s v=" July "/>
    <x v="17"/>
    <x v="1"/>
    <s v="Mindanao"/>
    <n v="76.2"/>
  </r>
  <r>
    <n v="202208"/>
    <x v="31"/>
    <n v="2022"/>
    <s v=" August "/>
    <x v="17"/>
    <x v="1"/>
    <s v="Mindanao"/>
    <n v="53.01"/>
  </r>
  <r>
    <n v="202209"/>
    <x v="32"/>
    <n v="2022"/>
    <s v=" September "/>
    <x v="17"/>
    <x v="1"/>
    <s v="Mindanao"/>
    <n v="70.78"/>
  </r>
  <r>
    <n v="202210"/>
    <x v="33"/>
    <n v="2022"/>
    <s v=" October "/>
    <x v="17"/>
    <x v="1"/>
    <s v="Mindanao"/>
    <n v="51.54"/>
  </r>
  <r>
    <n v="202211"/>
    <x v="34"/>
    <n v="2022"/>
    <s v=" November "/>
    <x v="17"/>
    <x v="1"/>
    <s v="Mindanao"/>
    <n v="78.66"/>
  </r>
  <r>
    <n v="202212"/>
    <x v="35"/>
    <n v="2022"/>
    <s v=" December "/>
    <x v="17"/>
    <x v="1"/>
    <s v="Mindanao"/>
    <n v="88.53"/>
  </r>
  <r>
    <n v="202201"/>
    <x v="24"/>
    <n v="2022"/>
    <s v=" January "/>
    <x v="17"/>
    <x v="1"/>
    <s v="Mindanao"/>
    <n v="363.25"/>
  </r>
  <r>
    <n v="202202"/>
    <x v="25"/>
    <n v="2022"/>
    <s v=" February "/>
    <x v="17"/>
    <x v="1"/>
    <s v="Mindanao"/>
    <n v="196.58"/>
  </r>
  <r>
    <n v="202203"/>
    <x v="26"/>
    <n v="2022"/>
    <s v=" March "/>
    <x v="17"/>
    <x v="1"/>
    <s v="Mindanao"/>
    <n v="188.43"/>
  </r>
  <r>
    <n v="202204"/>
    <x v="27"/>
    <n v="2022"/>
    <s v=" April "/>
    <x v="17"/>
    <x v="1"/>
    <s v="Mindanao"/>
    <n v="340.25"/>
  </r>
  <r>
    <n v="202205"/>
    <x v="28"/>
    <n v="2022"/>
    <s v=" May "/>
    <x v="17"/>
    <x v="1"/>
    <s v="Mindanao"/>
    <n v="220.67"/>
  </r>
  <r>
    <n v="202206"/>
    <x v="29"/>
    <n v="2022"/>
    <s v=" June "/>
    <x v="17"/>
    <x v="1"/>
    <s v="Mindanao"/>
    <n v="203.69"/>
  </r>
  <r>
    <n v="202207"/>
    <x v="30"/>
    <n v="2022"/>
    <s v=" July "/>
    <x v="17"/>
    <x v="1"/>
    <s v="Mindanao"/>
    <n v="189.05"/>
  </r>
  <r>
    <n v="202208"/>
    <x v="31"/>
    <n v="2022"/>
    <s v=" August "/>
    <x v="17"/>
    <x v="1"/>
    <s v="Mindanao"/>
    <n v="211.23"/>
  </r>
  <r>
    <n v="202209"/>
    <x v="32"/>
    <n v="2022"/>
    <s v=" September "/>
    <x v="17"/>
    <x v="1"/>
    <s v="Mindanao"/>
    <n v="198.66"/>
  </r>
  <r>
    <n v="202210"/>
    <x v="33"/>
    <n v="2022"/>
    <s v=" October "/>
    <x v="17"/>
    <x v="1"/>
    <s v="Mindanao"/>
    <n v="156.93"/>
  </r>
  <r>
    <n v="202211"/>
    <x v="34"/>
    <n v="2022"/>
    <s v=" November "/>
    <x v="17"/>
    <x v="1"/>
    <s v="Mindanao"/>
    <n v="226.28"/>
  </r>
  <r>
    <n v="202212"/>
    <x v="35"/>
    <n v="2022"/>
    <s v=" December "/>
    <x v="17"/>
    <x v="1"/>
    <s v="Mindanao"/>
    <n v="242.31"/>
  </r>
  <r>
    <n v="202201"/>
    <x v="24"/>
    <n v="2022"/>
    <s v=" January "/>
    <x v="17"/>
    <x v="1"/>
    <s v="Mindanao"/>
    <n v="25.78"/>
  </r>
  <r>
    <n v="202202"/>
    <x v="25"/>
    <n v="2022"/>
    <s v=" February "/>
    <x v="17"/>
    <x v="1"/>
    <s v="Mindanao"/>
    <n v="35.049999999999997"/>
  </r>
  <r>
    <n v="202203"/>
    <x v="26"/>
    <n v="2022"/>
    <s v=" March "/>
    <x v="17"/>
    <x v="1"/>
    <s v="Mindanao"/>
    <n v="12.55"/>
  </r>
  <r>
    <n v="202204"/>
    <x v="27"/>
    <n v="2022"/>
    <s v=" April "/>
    <x v="17"/>
    <x v="1"/>
    <s v="Mindanao"/>
    <n v="41.29"/>
  </r>
  <r>
    <n v="202205"/>
    <x v="28"/>
    <n v="2022"/>
    <s v=" May "/>
    <x v="17"/>
    <x v="1"/>
    <s v="Mindanao"/>
    <n v="17.670000000000002"/>
  </r>
  <r>
    <n v="202206"/>
    <x v="29"/>
    <n v="2022"/>
    <s v=" June "/>
    <x v="17"/>
    <x v="1"/>
    <s v="Mindanao"/>
    <n v="31.95"/>
  </r>
  <r>
    <n v="202207"/>
    <x v="30"/>
    <n v="2022"/>
    <s v=" July "/>
    <x v="17"/>
    <x v="1"/>
    <s v="Mindanao"/>
    <n v="40.159999999999997"/>
  </r>
  <r>
    <n v="202208"/>
    <x v="31"/>
    <n v="2022"/>
    <s v=" August "/>
    <x v="17"/>
    <x v="1"/>
    <s v="Mindanao"/>
    <n v="47.07"/>
  </r>
  <r>
    <n v="202209"/>
    <x v="32"/>
    <n v="2022"/>
    <s v=" September "/>
    <x v="17"/>
    <x v="1"/>
    <s v="Mindanao"/>
    <n v="24.85"/>
  </r>
  <r>
    <n v="202210"/>
    <x v="33"/>
    <n v="2022"/>
    <s v=" October "/>
    <x v="17"/>
    <x v="1"/>
    <s v="Mindanao"/>
    <n v="32.020000000000003"/>
  </r>
  <r>
    <n v="202211"/>
    <x v="34"/>
    <n v="2022"/>
    <s v=" November "/>
    <x v="17"/>
    <x v="1"/>
    <s v="Mindanao"/>
    <n v="23.57"/>
  </r>
  <r>
    <n v="202212"/>
    <x v="35"/>
    <n v="2022"/>
    <s v=" December "/>
    <x v="17"/>
    <x v="1"/>
    <s v="Mindanao"/>
    <n v="43.78"/>
  </r>
  <r>
    <n v="202201"/>
    <x v="24"/>
    <n v="2022"/>
    <s v=" January "/>
    <x v="17"/>
    <x v="1"/>
    <s v="Mindanao"/>
    <n v="16.36"/>
  </r>
  <r>
    <n v="202202"/>
    <x v="25"/>
    <n v="2022"/>
    <s v=" February "/>
    <x v="17"/>
    <x v="1"/>
    <s v="Mindanao"/>
    <n v="22.11"/>
  </r>
  <r>
    <n v="202203"/>
    <x v="26"/>
    <n v="2022"/>
    <s v=" March "/>
    <x v="17"/>
    <x v="1"/>
    <s v="Mindanao"/>
    <n v="26.28"/>
  </r>
  <r>
    <n v="202204"/>
    <x v="27"/>
    <n v="2022"/>
    <s v=" April "/>
    <x v="17"/>
    <x v="1"/>
    <s v="Mindanao"/>
    <n v="29.03"/>
  </r>
  <r>
    <n v="202205"/>
    <x v="28"/>
    <n v="2022"/>
    <s v=" May "/>
    <x v="17"/>
    <x v="1"/>
    <s v="Mindanao"/>
    <n v="17.04"/>
  </r>
  <r>
    <n v="202206"/>
    <x v="29"/>
    <n v="2022"/>
    <s v=" June "/>
    <x v="17"/>
    <x v="1"/>
    <s v="Mindanao"/>
    <n v="16.59"/>
  </r>
  <r>
    <n v="202207"/>
    <x v="30"/>
    <n v="2022"/>
    <s v=" July "/>
    <x v="17"/>
    <x v="1"/>
    <s v="Mindanao"/>
    <n v="27.51"/>
  </r>
  <r>
    <n v="202208"/>
    <x v="31"/>
    <n v="2022"/>
    <s v=" August "/>
    <x v="17"/>
    <x v="1"/>
    <s v="Mindanao"/>
    <n v="22.22"/>
  </r>
  <r>
    <n v="202209"/>
    <x v="32"/>
    <n v="2022"/>
    <s v=" September "/>
    <x v="17"/>
    <x v="1"/>
    <s v="Mindanao"/>
    <n v="14.19"/>
  </r>
  <r>
    <n v="202210"/>
    <x v="33"/>
    <n v="2022"/>
    <s v=" October "/>
    <x v="17"/>
    <x v="1"/>
    <s v="Mindanao"/>
    <n v="34.549999999999997"/>
  </r>
  <r>
    <n v="202211"/>
    <x v="34"/>
    <n v="2022"/>
    <s v=" November "/>
    <x v="17"/>
    <x v="1"/>
    <s v="Mindanao"/>
    <n v="19.21"/>
  </r>
  <r>
    <n v="202212"/>
    <x v="35"/>
    <n v="2022"/>
    <s v=" December "/>
    <x v="17"/>
    <x v="1"/>
    <s v="Mindanao"/>
    <n v="34.630000000000003"/>
  </r>
  <r>
    <n v="202301"/>
    <x v="36"/>
    <n v="2023"/>
    <s v=" January "/>
    <x v="0"/>
    <x v="0"/>
    <s v="Luzon"/>
    <n v="714.68"/>
  </r>
  <r>
    <n v="202302"/>
    <x v="37"/>
    <n v="2023"/>
    <s v=" February "/>
    <x v="0"/>
    <x v="0"/>
    <s v="Luzon"/>
    <n v="335.89"/>
  </r>
  <r>
    <n v="202303"/>
    <x v="38"/>
    <n v="2023"/>
    <s v=" March "/>
    <x v="0"/>
    <x v="0"/>
    <s v="Luzon"/>
    <n v="644"/>
  </r>
  <r>
    <n v="202304"/>
    <x v="39"/>
    <n v="2023"/>
    <s v=" April "/>
    <x v="0"/>
    <x v="0"/>
    <s v="Luzon"/>
    <n v="995.17"/>
  </r>
  <r>
    <n v="202305"/>
    <x v="40"/>
    <n v="2023"/>
    <s v=" May "/>
    <x v="0"/>
    <x v="0"/>
    <s v="Luzon"/>
    <n v="514.87"/>
  </r>
  <r>
    <n v="202306"/>
    <x v="41"/>
    <n v="2023"/>
    <s v=" June "/>
    <x v="0"/>
    <x v="0"/>
    <s v="Luzon"/>
    <n v="416.39"/>
  </r>
  <r>
    <n v="202307"/>
    <x v="42"/>
    <n v="2023"/>
    <s v=" July "/>
    <x v="0"/>
    <x v="0"/>
    <s v="Luzon"/>
    <n v="838.02"/>
  </r>
  <r>
    <n v="202308"/>
    <x v="43"/>
    <n v="2023"/>
    <s v=" August "/>
    <x v="0"/>
    <x v="0"/>
    <s v="Luzon"/>
    <n v="527.4"/>
  </r>
  <r>
    <n v="202309"/>
    <x v="44"/>
    <n v="2023"/>
    <s v=" September "/>
    <x v="0"/>
    <x v="0"/>
    <s v="Luzon"/>
    <n v="401.28"/>
  </r>
  <r>
    <n v="202310"/>
    <x v="45"/>
    <n v="2023"/>
    <s v=" October "/>
    <x v="0"/>
    <x v="0"/>
    <s v="Luzon"/>
    <n v="1023.5"/>
  </r>
  <r>
    <n v="202311"/>
    <x v="46"/>
    <n v="2023"/>
    <s v=" November "/>
    <x v="0"/>
    <x v="0"/>
    <s v="Luzon"/>
    <n v="605.58000000000004"/>
  </r>
  <r>
    <n v="202312"/>
    <x v="47"/>
    <n v="2023"/>
    <s v=" December "/>
    <x v="0"/>
    <x v="0"/>
    <s v="Luzon"/>
    <n v="472.35"/>
  </r>
  <r>
    <n v="202301"/>
    <x v="36"/>
    <n v="2023"/>
    <s v=" January "/>
    <x v="0"/>
    <x v="0"/>
    <s v="Luzon"/>
    <n v="528.97"/>
  </r>
  <r>
    <n v="202302"/>
    <x v="37"/>
    <n v="2023"/>
    <s v=" February "/>
    <x v="0"/>
    <x v="0"/>
    <s v="Luzon"/>
    <n v="322.67"/>
  </r>
  <r>
    <n v="202303"/>
    <x v="38"/>
    <n v="2023"/>
    <s v=" March "/>
    <x v="0"/>
    <x v="0"/>
    <s v="Luzon"/>
    <n v="457.27"/>
  </r>
  <r>
    <n v="202304"/>
    <x v="39"/>
    <n v="2023"/>
    <s v=" April "/>
    <x v="0"/>
    <x v="0"/>
    <s v="Luzon"/>
    <n v="1174.8699999999999"/>
  </r>
  <r>
    <n v="202305"/>
    <x v="40"/>
    <n v="2023"/>
    <s v=" May "/>
    <x v="0"/>
    <x v="0"/>
    <s v="Luzon"/>
    <n v="471.63"/>
  </r>
  <r>
    <n v="202306"/>
    <x v="41"/>
    <n v="2023"/>
    <s v=" June "/>
    <x v="0"/>
    <x v="0"/>
    <s v="Luzon"/>
    <n v="395.46"/>
  </r>
  <r>
    <n v="202307"/>
    <x v="42"/>
    <n v="2023"/>
    <s v=" July "/>
    <x v="0"/>
    <x v="0"/>
    <s v="Luzon"/>
    <n v="815.61"/>
  </r>
  <r>
    <n v="202308"/>
    <x v="43"/>
    <n v="2023"/>
    <s v=" August "/>
    <x v="0"/>
    <x v="0"/>
    <s v="Luzon"/>
    <n v="550.11"/>
  </r>
  <r>
    <n v="202309"/>
    <x v="44"/>
    <n v="2023"/>
    <s v=" September "/>
    <x v="0"/>
    <x v="0"/>
    <s v="Luzon"/>
    <n v="381.42"/>
  </r>
  <r>
    <n v="202310"/>
    <x v="45"/>
    <n v="2023"/>
    <s v=" October "/>
    <x v="0"/>
    <x v="0"/>
    <s v="Luzon"/>
    <n v="803.49"/>
  </r>
  <r>
    <n v="202311"/>
    <x v="46"/>
    <n v="2023"/>
    <s v=" November "/>
    <x v="0"/>
    <x v="0"/>
    <s v="Luzon"/>
    <n v="535.14"/>
  </r>
  <r>
    <n v="202312"/>
    <x v="47"/>
    <n v="2023"/>
    <s v=" December "/>
    <x v="0"/>
    <x v="0"/>
    <s v="Luzon"/>
    <n v="344.42"/>
  </r>
  <r>
    <n v="202301"/>
    <x v="36"/>
    <n v="2023"/>
    <s v=" January "/>
    <x v="0"/>
    <x v="0"/>
    <s v="Luzon"/>
    <n v="11913.82"/>
  </r>
  <r>
    <n v="202302"/>
    <x v="37"/>
    <n v="2023"/>
    <s v=" February "/>
    <x v="0"/>
    <x v="0"/>
    <s v="Luzon"/>
    <n v="6167.25"/>
  </r>
  <r>
    <n v="202303"/>
    <x v="38"/>
    <n v="2023"/>
    <s v=" March "/>
    <x v="0"/>
    <x v="0"/>
    <s v="Luzon"/>
    <n v="8816.7800000000007"/>
  </r>
  <r>
    <n v="202304"/>
    <x v="39"/>
    <n v="2023"/>
    <s v=" April "/>
    <x v="0"/>
    <x v="0"/>
    <s v="Luzon"/>
    <n v="18691.080000000002"/>
  </r>
  <r>
    <n v="202305"/>
    <x v="40"/>
    <n v="2023"/>
    <s v=" May "/>
    <x v="0"/>
    <x v="0"/>
    <s v="Luzon"/>
    <n v="9834.7800000000007"/>
  </r>
  <r>
    <n v="202306"/>
    <x v="41"/>
    <n v="2023"/>
    <s v=" June "/>
    <x v="0"/>
    <x v="0"/>
    <s v="Luzon"/>
    <n v="9337.68"/>
  </r>
  <r>
    <n v="202307"/>
    <x v="42"/>
    <n v="2023"/>
    <s v=" July "/>
    <x v="0"/>
    <x v="0"/>
    <s v="Luzon"/>
    <n v="15983.89"/>
  </r>
  <r>
    <n v="202308"/>
    <x v="43"/>
    <n v="2023"/>
    <s v=" August "/>
    <x v="0"/>
    <x v="0"/>
    <s v="Luzon"/>
    <n v="11344.26"/>
  </r>
  <r>
    <n v="202309"/>
    <x v="44"/>
    <n v="2023"/>
    <s v=" September "/>
    <x v="0"/>
    <x v="0"/>
    <s v="Luzon"/>
    <n v="6824.95"/>
  </r>
  <r>
    <n v="202310"/>
    <x v="45"/>
    <n v="2023"/>
    <s v=" October "/>
    <x v="0"/>
    <x v="0"/>
    <s v="Luzon"/>
    <n v="13871.37"/>
  </r>
  <r>
    <n v="202311"/>
    <x v="46"/>
    <n v="2023"/>
    <s v=" November "/>
    <x v="0"/>
    <x v="0"/>
    <s v="Luzon"/>
    <n v="11712.59"/>
  </r>
  <r>
    <n v="202312"/>
    <x v="47"/>
    <n v="2023"/>
    <s v=" December "/>
    <x v="0"/>
    <x v="0"/>
    <s v="Luzon"/>
    <n v="7564.83"/>
  </r>
  <r>
    <n v="202301"/>
    <x v="36"/>
    <n v="2023"/>
    <s v=" January "/>
    <x v="0"/>
    <x v="0"/>
    <s v="Luzon"/>
    <n v="392.61"/>
  </r>
  <r>
    <n v="202302"/>
    <x v="37"/>
    <n v="2023"/>
    <s v=" February "/>
    <x v="0"/>
    <x v="0"/>
    <s v="Luzon"/>
    <n v="176.49"/>
  </r>
  <r>
    <n v="202303"/>
    <x v="38"/>
    <n v="2023"/>
    <s v=" March "/>
    <x v="0"/>
    <x v="0"/>
    <s v="Luzon"/>
    <n v="284.88"/>
  </r>
  <r>
    <n v="202304"/>
    <x v="39"/>
    <n v="2023"/>
    <s v=" April "/>
    <x v="0"/>
    <x v="0"/>
    <s v="Luzon"/>
    <n v="618.77"/>
  </r>
  <r>
    <n v="202305"/>
    <x v="40"/>
    <n v="2023"/>
    <s v=" May "/>
    <x v="0"/>
    <x v="0"/>
    <s v="Luzon"/>
    <n v="283.92"/>
  </r>
  <r>
    <n v="202306"/>
    <x v="41"/>
    <n v="2023"/>
    <s v=" June "/>
    <x v="0"/>
    <x v="0"/>
    <s v="Luzon"/>
    <n v="217.49"/>
  </r>
  <r>
    <n v="202307"/>
    <x v="42"/>
    <n v="2023"/>
    <s v=" July "/>
    <x v="0"/>
    <x v="0"/>
    <s v="Luzon"/>
    <n v="531.57000000000005"/>
  </r>
  <r>
    <n v="202308"/>
    <x v="43"/>
    <n v="2023"/>
    <s v=" August "/>
    <x v="0"/>
    <x v="0"/>
    <s v="Luzon"/>
    <n v="296.35000000000002"/>
  </r>
  <r>
    <n v="202309"/>
    <x v="44"/>
    <n v="2023"/>
    <s v=" September "/>
    <x v="0"/>
    <x v="0"/>
    <s v="Luzon"/>
    <n v="222.19"/>
  </r>
  <r>
    <n v="202310"/>
    <x v="45"/>
    <n v="2023"/>
    <s v=" October "/>
    <x v="0"/>
    <x v="0"/>
    <s v="Luzon"/>
    <n v="589.91"/>
  </r>
  <r>
    <n v="202311"/>
    <x v="46"/>
    <n v="2023"/>
    <s v=" November "/>
    <x v="0"/>
    <x v="0"/>
    <s v="Luzon"/>
    <n v="325.60000000000002"/>
  </r>
  <r>
    <n v="202312"/>
    <x v="47"/>
    <n v="2023"/>
    <s v=" December "/>
    <x v="0"/>
    <x v="0"/>
    <s v="Luzon"/>
    <n v="266.69"/>
  </r>
  <r>
    <n v="202301"/>
    <x v="36"/>
    <n v="2023"/>
    <s v=" January "/>
    <x v="0"/>
    <x v="0"/>
    <s v="Luzon"/>
    <n v="3006.24"/>
  </r>
  <r>
    <n v="202302"/>
    <x v="37"/>
    <n v="2023"/>
    <s v=" February "/>
    <x v="0"/>
    <x v="0"/>
    <s v="Luzon"/>
    <n v="1070.68"/>
  </r>
  <r>
    <n v="202303"/>
    <x v="38"/>
    <n v="2023"/>
    <s v=" March "/>
    <x v="0"/>
    <x v="0"/>
    <s v="Luzon"/>
    <n v="1247.3399999999999"/>
  </r>
  <r>
    <n v="202304"/>
    <x v="39"/>
    <n v="2023"/>
    <s v=" April "/>
    <x v="0"/>
    <x v="0"/>
    <s v="Luzon"/>
    <n v="3574.33"/>
  </r>
  <r>
    <n v="202305"/>
    <x v="40"/>
    <n v="2023"/>
    <s v=" May "/>
    <x v="0"/>
    <x v="0"/>
    <s v="Luzon"/>
    <n v="2626.99"/>
  </r>
  <r>
    <n v="202306"/>
    <x v="41"/>
    <n v="2023"/>
    <s v=" June "/>
    <x v="0"/>
    <x v="0"/>
    <s v="Luzon"/>
    <n v="1918.73"/>
  </r>
  <r>
    <n v="202307"/>
    <x v="42"/>
    <n v="2023"/>
    <s v=" July "/>
    <x v="0"/>
    <x v="0"/>
    <s v="Luzon"/>
    <n v="3173.84"/>
  </r>
  <r>
    <n v="202308"/>
    <x v="43"/>
    <n v="2023"/>
    <s v=" August "/>
    <x v="0"/>
    <x v="0"/>
    <s v="Luzon"/>
    <n v="1869.87"/>
  </r>
  <r>
    <n v="202309"/>
    <x v="44"/>
    <n v="2023"/>
    <s v=" September "/>
    <x v="0"/>
    <x v="0"/>
    <s v="Luzon"/>
    <n v="1475.53"/>
  </r>
  <r>
    <n v="202310"/>
    <x v="45"/>
    <n v="2023"/>
    <s v=" October "/>
    <x v="0"/>
    <x v="0"/>
    <s v="Luzon"/>
    <n v="3148.48"/>
  </r>
  <r>
    <n v="202311"/>
    <x v="46"/>
    <n v="2023"/>
    <s v=" November "/>
    <x v="0"/>
    <x v="0"/>
    <s v="Luzon"/>
    <n v="2146.04"/>
  </r>
  <r>
    <n v="202312"/>
    <x v="47"/>
    <n v="2023"/>
    <s v=" December "/>
    <x v="0"/>
    <x v="0"/>
    <s v="Luzon"/>
    <n v="1521.32"/>
  </r>
  <r>
    <n v="202301"/>
    <x v="36"/>
    <n v="2023"/>
    <s v=" January "/>
    <x v="0"/>
    <x v="0"/>
    <s v="Luzon"/>
    <n v="5536.46"/>
  </r>
  <r>
    <n v="202302"/>
    <x v="37"/>
    <n v="2023"/>
    <s v=" February "/>
    <x v="0"/>
    <x v="0"/>
    <s v="Luzon"/>
    <n v="3025.28"/>
  </r>
  <r>
    <n v="202303"/>
    <x v="38"/>
    <n v="2023"/>
    <s v=" March "/>
    <x v="0"/>
    <x v="0"/>
    <s v="Luzon"/>
    <n v="3248.2"/>
  </r>
  <r>
    <n v="202304"/>
    <x v="39"/>
    <n v="2023"/>
    <s v=" April "/>
    <x v="0"/>
    <x v="0"/>
    <s v="Luzon"/>
    <n v="6755.8"/>
  </r>
  <r>
    <n v="202305"/>
    <x v="40"/>
    <n v="2023"/>
    <s v=" May "/>
    <x v="0"/>
    <x v="0"/>
    <s v="Luzon"/>
    <n v="4405.88"/>
  </r>
  <r>
    <n v="202306"/>
    <x v="41"/>
    <n v="2023"/>
    <s v=" June "/>
    <x v="0"/>
    <x v="0"/>
    <s v="Luzon"/>
    <n v="3815.88"/>
  </r>
  <r>
    <n v="202307"/>
    <x v="42"/>
    <n v="2023"/>
    <s v=" July "/>
    <x v="0"/>
    <x v="0"/>
    <s v="Luzon"/>
    <n v="5218.6899999999996"/>
  </r>
  <r>
    <n v="202308"/>
    <x v="43"/>
    <n v="2023"/>
    <s v=" August "/>
    <x v="0"/>
    <x v="0"/>
    <s v="Luzon"/>
    <n v="4355.6400000000003"/>
  </r>
  <r>
    <n v="202309"/>
    <x v="44"/>
    <n v="2023"/>
    <s v=" September "/>
    <x v="0"/>
    <x v="0"/>
    <s v="Luzon"/>
    <n v="3513.23"/>
  </r>
  <r>
    <n v="202310"/>
    <x v="45"/>
    <n v="2023"/>
    <s v=" October "/>
    <x v="0"/>
    <x v="0"/>
    <s v="Luzon"/>
    <n v="6194.55"/>
  </r>
  <r>
    <n v="202311"/>
    <x v="46"/>
    <n v="2023"/>
    <s v=" November "/>
    <x v="0"/>
    <x v="0"/>
    <s v="Luzon"/>
    <n v="4266.6000000000004"/>
  </r>
  <r>
    <n v="202312"/>
    <x v="47"/>
    <n v="2023"/>
    <s v=" December "/>
    <x v="0"/>
    <x v="0"/>
    <s v="Luzon"/>
    <n v="4565.07"/>
  </r>
  <r>
    <n v="202301"/>
    <x v="36"/>
    <n v="2023"/>
    <s v=" January "/>
    <x v="0"/>
    <x v="0"/>
    <s v="Luzon"/>
    <n v="796.53"/>
  </r>
  <r>
    <n v="202302"/>
    <x v="37"/>
    <n v="2023"/>
    <s v=" February "/>
    <x v="0"/>
    <x v="0"/>
    <s v="Luzon"/>
    <n v="488.14"/>
  </r>
  <r>
    <n v="202303"/>
    <x v="38"/>
    <n v="2023"/>
    <s v=" March "/>
    <x v="0"/>
    <x v="0"/>
    <s v="Luzon"/>
    <n v="648.30999999999995"/>
  </r>
  <r>
    <n v="202304"/>
    <x v="39"/>
    <n v="2023"/>
    <s v=" April "/>
    <x v="0"/>
    <x v="0"/>
    <s v="Luzon"/>
    <n v="1327.86"/>
  </r>
  <r>
    <n v="202305"/>
    <x v="40"/>
    <n v="2023"/>
    <s v=" May "/>
    <x v="0"/>
    <x v="0"/>
    <s v="Luzon"/>
    <n v="744.95"/>
  </r>
  <r>
    <n v="202306"/>
    <x v="41"/>
    <n v="2023"/>
    <s v=" June "/>
    <x v="0"/>
    <x v="0"/>
    <s v="Luzon"/>
    <n v="578.88"/>
  </r>
  <r>
    <n v="202307"/>
    <x v="42"/>
    <n v="2023"/>
    <s v=" July "/>
    <x v="0"/>
    <x v="0"/>
    <s v="Luzon"/>
    <n v="972.8"/>
  </r>
  <r>
    <n v="202308"/>
    <x v="43"/>
    <n v="2023"/>
    <s v=" August "/>
    <x v="0"/>
    <x v="0"/>
    <s v="Luzon"/>
    <n v="750.58"/>
  </r>
  <r>
    <n v="202309"/>
    <x v="44"/>
    <n v="2023"/>
    <s v=" September "/>
    <x v="0"/>
    <x v="0"/>
    <s v="Luzon"/>
    <n v="537.92999999999995"/>
  </r>
  <r>
    <n v="202310"/>
    <x v="45"/>
    <n v="2023"/>
    <s v=" October "/>
    <x v="0"/>
    <x v="0"/>
    <s v="Luzon"/>
    <n v="1049.03"/>
  </r>
  <r>
    <n v="202311"/>
    <x v="46"/>
    <n v="2023"/>
    <s v=" November "/>
    <x v="0"/>
    <x v="0"/>
    <s v="Luzon"/>
    <n v="800.63"/>
  </r>
  <r>
    <n v="202312"/>
    <x v="47"/>
    <n v="2023"/>
    <s v=" December "/>
    <x v="0"/>
    <x v="0"/>
    <s v="Luzon"/>
    <n v="757.23"/>
  </r>
  <r>
    <n v="202301"/>
    <x v="36"/>
    <n v="2023"/>
    <s v=" January "/>
    <x v="0"/>
    <x v="0"/>
    <s v="Luzon"/>
    <n v="1276.42"/>
  </r>
  <r>
    <n v="202302"/>
    <x v="37"/>
    <n v="2023"/>
    <s v=" February "/>
    <x v="0"/>
    <x v="0"/>
    <s v="Luzon"/>
    <n v="823.47"/>
  </r>
  <r>
    <n v="202303"/>
    <x v="38"/>
    <n v="2023"/>
    <s v=" March "/>
    <x v="0"/>
    <x v="0"/>
    <s v="Luzon"/>
    <n v="1041.54"/>
  </r>
  <r>
    <n v="202304"/>
    <x v="39"/>
    <n v="2023"/>
    <s v=" April "/>
    <x v="0"/>
    <x v="0"/>
    <s v="Luzon"/>
    <n v="3093.54"/>
  </r>
  <r>
    <n v="202305"/>
    <x v="40"/>
    <n v="2023"/>
    <s v=" May "/>
    <x v="0"/>
    <x v="0"/>
    <s v="Luzon"/>
    <n v="1119.1500000000001"/>
  </r>
  <r>
    <n v="202306"/>
    <x v="41"/>
    <n v="2023"/>
    <s v=" June "/>
    <x v="0"/>
    <x v="0"/>
    <s v="Luzon"/>
    <n v="899.79"/>
  </r>
  <r>
    <n v="202307"/>
    <x v="42"/>
    <n v="2023"/>
    <s v=" July "/>
    <x v="0"/>
    <x v="0"/>
    <s v="Luzon"/>
    <n v="1665.02"/>
  </r>
  <r>
    <n v="202308"/>
    <x v="43"/>
    <n v="2023"/>
    <s v=" August "/>
    <x v="0"/>
    <x v="0"/>
    <s v="Luzon"/>
    <n v="1159.56"/>
  </r>
  <r>
    <n v="202309"/>
    <x v="44"/>
    <n v="2023"/>
    <s v=" September "/>
    <x v="0"/>
    <x v="0"/>
    <s v="Luzon"/>
    <n v="857.97"/>
  </r>
  <r>
    <n v="202310"/>
    <x v="45"/>
    <n v="2023"/>
    <s v=" October "/>
    <x v="0"/>
    <x v="0"/>
    <s v="Luzon"/>
    <n v="1549.5"/>
  </r>
  <r>
    <n v="202311"/>
    <x v="46"/>
    <n v="2023"/>
    <s v=" November "/>
    <x v="0"/>
    <x v="0"/>
    <s v="Luzon"/>
    <n v="1310.1500000000001"/>
  </r>
  <r>
    <n v="202312"/>
    <x v="47"/>
    <n v="2023"/>
    <s v=" December "/>
    <x v="0"/>
    <x v="0"/>
    <s v="Luzon"/>
    <n v="1409.13"/>
  </r>
  <r>
    <n v="202301"/>
    <x v="36"/>
    <n v="2023"/>
    <s v=" January "/>
    <x v="0"/>
    <x v="0"/>
    <s v="Luzon"/>
    <n v="1301.5999999999999"/>
  </r>
  <r>
    <n v="202302"/>
    <x v="37"/>
    <n v="2023"/>
    <s v=" February "/>
    <x v="0"/>
    <x v="0"/>
    <s v="Luzon"/>
    <n v="1358"/>
  </r>
  <r>
    <n v="202303"/>
    <x v="38"/>
    <n v="2023"/>
    <s v=" March "/>
    <x v="0"/>
    <x v="0"/>
    <s v="Luzon"/>
    <n v="1128.82"/>
  </r>
  <r>
    <n v="202304"/>
    <x v="39"/>
    <n v="2023"/>
    <s v=" April "/>
    <x v="0"/>
    <x v="0"/>
    <s v="Luzon"/>
    <n v="3294.11"/>
  </r>
  <r>
    <n v="202305"/>
    <x v="40"/>
    <n v="2023"/>
    <s v=" May "/>
    <x v="0"/>
    <x v="0"/>
    <s v="Luzon"/>
    <n v="1520.95"/>
  </r>
  <r>
    <n v="202306"/>
    <x v="41"/>
    <n v="2023"/>
    <s v=" June "/>
    <x v="0"/>
    <x v="0"/>
    <s v="Luzon"/>
    <n v="1102.19"/>
  </r>
  <r>
    <n v="202307"/>
    <x v="42"/>
    <n v="2023"/>
    <s v=" July "/>
    <x v="0"/>
    <x v="0"/>
    <s v="Luzon"/>
    <n v="1983.12"/>
  </r>
  <r>
    <n v="202308"/>
    <x v="43"/>
    <n v="2023"/>
    <s v=" August "/>
    <x v="0"/>
    <x v="0"/>
    <s v="Luzon"/>
    <n v="1454.99"/>
  </r>
  <r>
    <n v="202309"/>
    <x v="44"/>
    <n v="2023"/>
    <s v=" September "/>
    <x v="0"/>
    <x v="0"/>
    <s v="Luzon"/>
    <n v="1153.81"/>
  </r>
  <r>
    <n v="202310"/>
    <x v="45"/>
    <n v="2023"/>
    <s v=" October "/>
    <x v="0"/>
    <x v="0"/>
    <s v="Luzon"/>
    <n v="2041.35"/>
  </r>
  <r>
    <n v="202311"/>
    <x v="46"/>
    <n v="2023"/>
    <s v=" November "/>
    <x v="0"/>
    <x v="0"/>
    <s v="Luzon"/>
    <n v="1619.2"/>
  </r>
  <r>
    <n v="202312"/>
    <x v="47"/>
    <n v="2023"/>
    <s v=" December "/>
    <x v="0"/>
    <x v="0"/>
    <s v="Luzon"/>
    <n v="1116.8"/>
  </r>
  <r>
    <n v="202301"/>
    <x v="36"/>
    <n v="2023"/>
    <s v=" January "/>
    <x v="0"/>
    <x v="0"/>
    <s v="Luzon"/>
    <n v="3698.43"/>
  </r>
  <r>
    <n v="202302"/>
    <x v="37"/>
    <n v="2023"/>
    <s v=" February "/>
    <x v="0"/>
    <x v="0"/>
    <s v="Luzon"/>
    <n v="992.52"/>
  </r>
  <r>
    <n v="202303"/>
    <x v="38"/>
    <n v="2023"/>
    <s v=" March "/>
    <x v="0"/>
    <x v="0"/>
    <s v="Luzon"/>
    <n v="1030.1199999999999"/>
  </r>
  <r>
    <n v="202304"/>
    <x v="39"/>
    <n v="2023"/>
    <s v=" April "/>
    <x v="0"/>
    <x v="0"/>
    <s v="Luzon"/>
    <n v="3509.38"/>
  </r>
  <r>
    <n v="202305"/>
    <x v="40"/>
    <n v="2023"/>
    <s v=" May "/>
    <x v="0"/>
    <x v="0"/>
    <s v="Luzon"/>
    <n v="1638.81"/>
  </r>
  <r>
    <n v="202306"/>
    <x v="41"/>
    <n v="2023"/>
    <s v=" June "/>
    <x v="0"/>
    <x v="0"/>
    <s v="Luzon"/>
    <n v="1272.1400000000001"/>
  </r>
  <r>
    <n v="202307"/>
    <x v="42"/>
    <n v="2023"/>
    <s v=" July "/>
    <x v="0"/>
    <x v="0"/>
    <s v="Luzon"/>
    <n v="3179.86"/>
  </r>
  <r>
    <n v="202308"/>
    <x v="43"/>
    <n v="2023"/>
    <s v=" August "/>
    <x v="0"/>
    <x v="0"/>
    <s v="Luzon"/>
    <n v="1932.83"/>
  </r>
  <r>
    <n v="202309"/>
    <x v="44"/>
    <n v="2023"/>
    <s v=" September "/>
    <x v="0"/>
    <x v="0"/>
    <s v="Luzon"/>
    <n v="1267.92"/>
  </r>
  <r>
    <n v="202310"/>
    <x v="45"/>
    <n v="2023"/>
    <s v=" October "/>
    <x v="0"/>
    <x v="0"/>
    <s v="Luzon"/>
    <n v="2604.0500000000002"/>
  </r>
  <r>
    <n v="202311"/>
    <x v="46"/>
    <n v="2023"/>
    <s v=" November "/>
    <x v="0"/>
    <x v="0"/>
    <s v="Luzon"/>
    <n v="1708.86"/>
  </r>
  <r>
    <n v="202312"/>
    <x v="47"/>
    <n v="2023"/>
    <s v=" December "/>
    <x v="0"/>
    <x v="0"/>
    <s v="Luzon"/>
    <n v="2220.84"/>
  </r>
  <r>
    <n v="202301"/>
    <x v="36"/>
    <n v="2023"/>
    <s v=" January "/>
    <x v="0"/>
    <x v="0"/>
    <s v="Luzon"/>
    <n v="4535.03"/>
  </r>
  <r>
    <n v="202302"/>
    <x v="37"/>
    <n v="2023"/>
    <s v=" February "/>
    <x v="0"/>
    <x v="0"/>
    <s v="Luzon"/>
    <n v="2105.56"/>
  </r>
  <r>
    <n v="202303"/>
    <x v="38"/>
    <n v="2023"/>
    <s v=" March "/>
    <x v="0"/>
    <x v="0"/>
    <s v="Luzon"/>
    <n v="2488.9299999999998"/>
  </r>
  <r>
    <n v="202304"/>
    <x v="39"/>
    <n v="2023"/>
    <s v=" April "/>
    <x v="0"/>
    <x v="0"/>
    <s v="Luzon"/>
    <n v="6657.78"/>
  </r>
  <r>
    <n v="202305"/>
    <x v="40"/>
    <n v="2023"/>
    <s v=" May "/>
    <x v="0"/>
    <x v="0"/>
    <s v="Luzon"/>
    <n v="3323.24"/>
  </r>
  <r>
    <n v="202306"/>
    <x v="41"/>
    <n v="2023"/>
    <s v=" June "/>
    <x v="0"/>
    <x v="0"/>
    <s v="Luzon"/>
    <n v="2739.7"/>
  </r>
  <r>
    <n v="202307"/>
    <x v="42"/>
    <n v="2023"/>
    <s v=" July "/>
    <x v="0"/>
    <x v="0"/>
    <s v="Luzon"/>
    <n v="5376.34"/>
  </r>
  <r>
    <n v="202308"/>
    <x v="43"/>
    <n v="2023"/>
    <s v=" August "/>
    <x v="0"/>
    <x v="0"/>
    <s v="Luzon"/>
    <n v="3666.05"/>
  </r>
  <r>
    <n v="202309"/>
    <x v="44"/>
    <n v="2023"/>
    <s v=" September "/>
    <x v="0"/>
    <x v="0"/>
    <s v="Luzon"/>
    <n v="2353.7800000000002"/>
  </r>
  <r>
    <n v="202310"/>
    <x v="45"/>
    <n v="2023"/>
    <s v=" October "/>
    <x v="0"/>
    <x v="0"/>
    <s v="Luzon"/>
    <n v="5736.34"/>
  </r>
  <r>
    <n v="202311"/>
    <x v="46"/>
    <n v="2023"/>
    <s v=" November "/>
    <x v="0"/>
    <x v="0"/>
    <s v="Luzon"/>
    <n v="3789.18"/>
  </r>
  <r>
    <n v="202312"/>
    <x v="47"/>
    <n v="2023"/>
    <s v=" December "/>
    <x v="0"/>
    <x v="0"/>
    <s v="Luzon"/>
    <n v="2671.13"/>
  </r>
  <r>
    <n v="202301"/>
    <x v="36"/>
    <n v="2023"/>
    <s v=" January "/>
    <x v="0"/>
    <x v="0"/>
    <s v="Luzon"/>
    <n v="9279.75"/>
  </r>
  <r>
    <n v="202302"/>
    <x v="37"/>
    <n v="2023"/>
    <s v=" February "/>
    <x v="0"/>
    <x v="0"/>
    <s v="Luzon"/>
    <n v="4244.5600000000004"/>
  </r>
  <r>
    <n v="202303"/>
    <x v="38"/>
    <n v="2023"/>
    <s v=" March "/>
    <x v="0"/>
    <x v="0"/>
    <s v="Luzon"/>
    <n v="5436.88"/>
  </r>
  <r>
    <n v="202304"/>
    <x v="39"/>
    <n v="2023"/>
    <s v=" April "/>
    <x v="0"/>
    <x v="0"/>
    <s v="Luzon"/>
    <n v="11208.5"/>
  </r>
  <r>
    <n v="202305"/>
    <x v="40"/>
    <n v="2023"/>
    <s v=" May "/>
    <x v="0"/>
    <x v="0"/>
    <s v="Luzon"/>
    <n v="6622.7"/>
  </r>
  <r>
    <n v="202306"/>
    <x v="41"/>
    <n v="2023"/>
    <s v=" June "/>
    <x v="0"/>
    <x v="0"/>
    <s v="Luzon"/>
    <n v="6472.29"/>
  </r>
  <r>
    <n v="202307"/>
    <x v="42"/>
    <n v="2023"/>
    <s v=" July "/>
    <x v="0"/>
    <x v="0"/>
    <s v="Luzon"/>
    <n v="9240.11"/>
  </r>
  <r>
    <n v="202308"/>
    <x v="43"/>
    <n v="2023"/>
    <s v=" August "/>
    <x v="0"/>
    <x v="0"/>
    <s v="Luzon"/>
    <n v="7249.52"/>
  </r>
  <r>
    <n v="202309"/>
    <x v="44"/>
    <n v="2023"/>
    <s v=" September "/>
    <x v="0"/>
    <x v="0"/>
    <s v="Luzon"/>
    <n v="5701.24"/>
  </r>
  <r>
    <n v="202310"/>
    <x v="45"/>
    <n v="2023"/>
    <s v=" October "/>
    <x v="0"/>
    <x v="0"/>
    <s v="Luzon"/>
    <n v="10398.59"/>
  </r>
  <r>
    <n v="202311"/>
    <x v="46"/>
    <n v="2023"/>
    <s v=" November "/>
    <x v="0"/>
    <x v="0"/>
    <s v="Luzon"/>
    <n v="7732.36"/>
  </r>
  <r>
    <n v="202312"/>
    <x v="47"/>
    <n v="2023"/>
    <s v=" December "/>
    <x v="0"/>
    <x v="0"/>
    <s v="Luzon"/>
    <n v="6836.13"/>
  </r>
  <r>
    <n v="202301"/>
    <x v="36"/>
    <n v="2023"/>
    <s v=" January "/>
    <x v="0"/>
    <x v="0"/>
    <s v="Luzon"/>
    <n v="673.18"/>
  </r>
  <r>
    <n v="202302"/>
    <x v="37"/>
    <n v="2023"/>
    <s v=" February "/>
    <x v="0"/>
    <x v="0"/>
    <s v="Luzon"/>
    <n v="361.36"/>
  </r>
  <r>
    <n v="202303"/>
    <x v="38"/>
    <n v="2023"/>
    <s v=" March "/>
    <x v="0"/>
    <x v="0"/>
    <s v="Luzon"/>
    <n v="485.68"/>
  </r>
  <r>
    <n v="202304"/>
    <x v="39"/>
    <n v="2023"/>
    <s v=" April "/>
    <x v="0"/>
    <x v="0"/>
    <s v="Luzon"/>
    <n v="1271.68"/>
  </r>
  <r>
    <n v="202305"/>
    <x v="40"/>
    <n v="2023"/>
    <s v=" May "/>
    <x v="0"/>
    <x v="0"/>
    <s v="Luzon"/>
    <n v="542.16"/>
  </r>
  <r>
    <n v="202306"/>
    <x v="41"/>
    <n v="2023"/>
    <s v=" June "/>
    <x v="0"/>
    <x v="0"/>
    <s v="Luzon"/>
    <n v="364.2"/>
  </r>
  <r>
    <n v="202307"/>
    <x v="42"/>
    <n v="2023"/>
    <s v=" July "/>
    <x v="0"/>
    <x v="0"/>
    <s v="Luzon"/>
    <n v="910.31"/>
  </r>
  <r>
    <n v="202308"/>
    <x v="43"/>
    <n v="2023"/>
    <s v=" August "/>
    <x v="0"/>
    <x v="0"/>
    <s v="Luzon"/>
    <n v="522.57000000000005"/>
  </r>
  <r>
    <n v="202309"/>
    <x v="44"/>
    <n v="2023"/>
    <s v=" September "/>
    <x v="0"/>
    <x v="0"/>
    <s v="Luzon"/>
    <n v="358.55"/>
  </r>
  <r>
    <n v="202310"/>
    <x v="45"/>
    <n v="2023"/>
    <s v=" October "/>
    <x v="0"/>
    <x v="0"/>
    <s v="Luzon"/>
    <n v="988.11"/>
  </r>
  <r>
    <n v="202311"/>
    <x v="46"/>
    <n v="2023"/>
    <s v=" November "/>
    <x v="0"/>
    <x v="0"/>
    <s v="Luzon"/>
    <n v="635.39"/>
  </r>
  <r>
    <n v="202312"/>
    <x v="47"/>
    <n v="2023"/>
    <s v=" December "/>
    <x v="0"/>
    <x v="0"/>
    <s v="Luzon"/>
    <n v="388.25"/>
  </r>
  <r>
    <n v="202301"/>
    <x v="36"/>
    <n v="2023"/>
    <s v=" January "/>
    <x v="0"/>
    <x v="0"/>
    <s v="Luzon"/>
    <n v="6939.21"/>
  </r>
  <r>
    <n v="202302"/>
    <x v="37"/>
    <n v="2023"/>
    <s v=" February "/>
    <x v="0"/>
    <x v="0"/>
    <s v="Luzon"/>
    <n v="3660.31"/>
  </r>
  <r>
    <n v="202303"/>
    <x v="38"/>
    <n v="2023"/>
    <s v=" March "/>
    <x v="0"/>
    <x v="0"/>
    <s v="Luzon"/>
    <n v="4289.59"/>
  </r>
  <r>
    <n v="202304"/>
    <x v="39"/>
    <n v="2023"/>
    <s v=" April "/>
    <x v="0"/>
    <x v="0"/>
    <s v="Luzon"/>
    <n v="9564.1299999999992"/>
  </r>
  <r>
    <n v="202305"/>
    <x v="40"/>
    <n v="2023"/>
    <s v=" May "/>
    <x v="0"/>
    <x v="0"/>
    <s v="Luzon"/>
    <n v="6447.98"/>
  </r>
  <r>
    <n v="202306"/>
    <x v="41"/>
    <n v="2023"/>
    <s v=" June "/>
    <x v="0"/>
    <x v="0"/>
    <s v="Luzon"/>
    <n v="4171.3500000000004"/>
  </r>
  <r>
    <n v="202307"/>
    <x v="42"/>
    <n v="2023"/>
    <s v=" July "/>
    <x v="0"/>
    <x v="0"/>
    <s v="Luzon"/>
    <n v="7931.39"/>
  </r>
  <r>
    <n v="202308"/>
    <x v="43"/>
    <n v="2023"/>
    <s v=" August "/>
    <x v="0"/>
    <x v="0"/>
    <s v="Luzon"/>
    <n v="6460.24"/>
  </r>
  <r>
    <n v="202309"/>
    <x v="44"/>
    <n v="2023"/>
    <s v=" September "/>
    <x v="0"/>
    <x v="0"/>
    <s v="Luzon"/>
    <n v="4227.3900000000003"/>
  </r>
  <r>
    <n v="202310"/>
    <x v="45"/>
    <n v="2023"/>
    <s v=" October "/>
    <x v="0"/>
    <x v="0"/>
    <s v="Luzon"/>
    <n v="8463.27"/>
  </r>
  <r>
    <n v="202311"/>
    <x v="46"/>
    <n v="2023"/>
    <s v=" November "/>
    <x v="0"/>
    <x v="0"/>
    <s v="Luzon"/>
    <n v="6280.14"/>
  </r>
  <r>
    <n v="202312"/>
    <x v="47"/>
    <n v="2023"/>
    <s v=" December "/>
    <x v="0"/>
    <x v="0"/>
    <s v="Luzon"/>
    <n v="5046.1499999999996"/>
  </r>
  <r>
    <n v="202301"/>
    <x v="36"/>
    <n v="2023"/>
    <s v=" January "/>
    <x v="0"/>
    <x v="0"/>
    <s v="Luzon"/>
    <n v="555.98"/>
  </r>
  <r>
    <n v="202302"/>
    <x v="37"/>
    <n v="2023"/>
    <s v=" February "/>
    <x v="0"/>
    <x v="0"/>
    <s v="Luzon"/>
    <n v="366.87"/>
  </r>
  <r>
    <n v="202303"/>
    <x v="38"/>
    <n v="2023"/>
    <s v=" March "/>
    <x v="0"/>
    <x v="0"/>
    <s v="Luzon"/>
    <n v="501.6"/>
  </r>
  <r>
    <n v="202304"/>
    <x v="39"/>
    <n v="2023"/>
    <s v=" April "/>
    <x v="0"/>
    <x v="0"/>
    <s v="Luzon"/>
    <n v="883.4"/>
  </r>
  <r>
    <n v="202305"/>
    <x v="40"/>
    <n v="2023"/>
    <s v=" May "/>
    <x v="0"/>
    <x v="0"/>
    <s v="Luzon"/>
    <n v="440.35"/>
  </r>
  <r>
    <n v="202306"/>
    <x v="41"/>
    <n v="2023"/>
    <s v=" June "/>
    <x v="0"/>
    <x v="0"/>
    <s v="Luzon"/>
    <n v="402.25"/>
  </r>
  <r>
    <n v="202307"/>
    <x v="42"/>
    <n v="2023"/>
    <s v=" July "/>
    <x v="0"/>
    <x v="0"/>
    <s v="Luzon"/>
    <n v="788.04"/>
  </r>
  <r>
    <n v="202308"/>
    <x v="43"/>
    <n v="2023"/>
    <s v=" August "/>
    <x v="0"/>
    <x v="0"/>
    <s v="Luzon"/>
    <n v="530.44000000000005"/>
  </r>
  <r>
    <n v="202309"/>
    <x v="44"/>
    <n v="2023"/>
    <s v=" September "/>
    <x v="0"/>
    <x v="0"/>
    <s v="Luzon"/>
    <n v="357.37"/>
  </r>
  <r>
    <n v="202310"/>
    <x v="45"/>
    <n v="2023"/>
    <s v=" October "/>
    <x v="0"/>
    <x v="0"/>
    <s v="Luzon"/>
    <n v="840.4"/>
  </r>
  <r>
    <n v="202311"/>
    <x v="46"/>
    <n v="2023"/>
    <s v=" November "/>
    <x v="0"/>
    <x v="0"/>
    <s v="Luzon"/>
    <n v="515.27"/>
  </r>
  <r>
    <n v="202312"/>
    <x v="47"/>
    <n v="2023"/>
    <s v=" December "/>
    <x v="0"/>
    <x v="0"/>
    <s v="Luzon"/>
    <n v="397.16"/>
  </r>
  <r>
    <n v="202301"/>
    <x v="36"/>
    <n v="2023"/>
    <s v=" January "/>
    <x v="0"/>
    <x v="0"/>
    <s v="Luzon"/>
    <n v="135938.1"/>
  </r>
  <r>
    <n v="202302"/>
    <x v="37"/>
    <n v="2023"/>
    <s v=" February "/>
    <x v="0"/>
    <x v="0"/>
    <s v="Luzon"/>
    <n v="71157.33"/>
  </r>
  <r>
    <n v="202303"/>
    <x v="38"/>
    <n v="2023"/>
    <s v=" March "/>
    <x v="0"/>
    <x v="0"/>
    <s v="Luzon"/>
    <n v="73781.81"/>
  </r>
  <r>
    <n v="202304"/>
    <x v="39"/>
    <n v="2023"/>
    <s v=" April "/>
    <x v="0"/>
    <x v="0"/>
    <s v="Luzon"/>
    <n v="200469.02"/>
  </r>
  <r>
    <n v="202305"/>
    <x v="40"/>
    <n v="2023"/>
    <s v=" May "/>
    <x v="0"/>
    <x v="0"/>
    <s v="Luzon"/>
    <n v="128650.92"/>
  </r>
  <r>
    <n v="202306"/>
    <x v="41"/>
    <n v="2023"/>
    <s v=" June "/>
    <x v="0"/>
    <x v="0"/>
    <s v="Luzon"/>
    <n v="92862.86"/>
  </r>
  <r>
    <n v="202307"/>
    <x v="42"/>
    <n v="2023"/>
    <s v=" July "/>
    <x v="0"/>
    <x v="0"/>
    <s v="Luzon"/>
    <n v="164780.79"/>
  </r>
  <r>
    <n v="202308"/>
    <x v="43"/>
    <n v="2023"/>
    <s v=" August "/>
    <x v="0"/>
    <x v="0"/>
    <s v="Luzon"/>
    <n v="126961.58"/>
  </r>
  <r>
    <n v="202309"/>
    <x v="44"/>
    <n v="2023"/>
    <s v=" September "/>
    <x v="0"/>
    <x v="0"/>
    <s v="Luzon"/>
    <n v="83193.66"/>
  </r>
  <r>
    <n v="202310"/>
    <x v="45"/>
    <n v="2023"/>
    <s v=" October "/>
    <x v="0"/>
    <x v="0"/>
    <s v="Luzon"/>
    <n v="161498.1"/>
  </r>
  <r>
    <n v="202311"/>
    <x v="46"/>
    <n v="2023"/>
    <s v=" November "/>
    <x v="0"/>
    <x v="0"/>
    <s v="Luzon"/>
    <n v="123972.2"/>
  </r>
  <r>
    <n v="202312"/>
    <x v="47"/>
    <n v="2023"/>
    <s v=" December "/>
    <x v="0"/>
    <x v="0"/>
    <s v="Luzon"/>
    <n v="94122.59"/>
  </r>
  <r>
    <n v="202301"/>
    <x v="36"/>
    <n v="2023"/>
    <s v=" January "/>
    <x v="1"/>
    <x v="1"/>
    <s v="Luzon"/>
    <n v="92.68"/>
  </r>
  <r>
    <n v="202302"/>
    <x v="37"/>
    <n v="2023"/>
    <s v=" February "/>
    <x v="1"/>
    <x v="1"/>
    <s v="Luzon"/>
    <n v="98.76"/>
  </r>
  <r>
    <n v="202303"/>
    <x v="38"/>
    <n v="2023"/>
    <s v=" March "/>
    <x v="1"/>
    <x v="1"/>
    <s v="Luzon"/>
    <n v="109.66"/>
  </r>
  <r>
    <n v="202304"/>
    <x v="39"/>
    <n v="2023"/>
    <s v=" April "/>
    <x v="1"/>
    <x v="1"/>
    <s v="Luzon"/>
    <n v="94.51"/>
  </r>
  <r>
    <n v="202305"/>
    <x v="40"/>
    <n v="2023"/>
    <s v=" May "/>
    <x v="1"/>
    <x v="1"/>
    <s v="Luzon"/>
    <n v="74.34"/>
  </r>
  <r>
    <n v="202306"/>
    <x v="41"/>
    <n v="2023"/>
    <s v=" June "/>
    <x v="1"/>
    <x v="1"/>
    <s v="Luzon"/>
    <n v="105.63"/>
  </r>
  <r>
    <n v="202307"/>
    <x v="42"/>
    <n v="2023"/>
    <s v=" July "/>
    <x v="1"/>
    <x v="1"/>
    <s v="Luzon"/>
    <n v="215.89"/>
  </r>
  <r>
    <n v="202308"/>
    <x v="43"/>
    <n v="2023"/>
    <s v=" August "/>
    <x v="1"/>
    <x v="1"/>
    <s v="Luzon"/>
    <n v="132.76"/>
  </r>
  <r>
    <n v="202309"/>
    <x v="44"/>
    <n v="2023"/>
    <s v=" September "/>
    <x v="1"/>
    <x v="1"/>
    <s v="Luzon"/>
    <n v="129.94999999999999"/>
  </r>
  <r>
    <n v="202310"/>
    <x v="45"/>
    <n v="2023"/>
    <s v=" October "/>
    <x v="1"/>
    <x v="1"/>
    <s v="Luzon"/>
    <n v="119.81"/>
  </r>
  <r>
    <n v="202311"/>
    <x v="46"/>
    <n v="2023"/>
    <s v=" November "/>
    <x v="1"/>
    <x v="1"/>
    <s v="Luzon"/>
    <n v="51.76"/>
  </r>
  <r>
    <n v="202312"/>
    <x v="47"/>
    <n v="2023"/>
    <s v=" December "/>
    <x v="1"/>
    <x v="1"/>
    <s v="Luzon"/>
    <n v="308.19"/>
  </r>
  <r>
    <n v="202301"/>
    <x v="36"/>
    <n v="2023"/>
    <s v=" January "/>
    <x v="1"/>
    <x v="1"/>
    <s v="Luzon"/>
    <n v="148.32"/>
  </r>
  <r>
    <n v="202302"/>
    <x v="37"/>
    <n v="2023"/>
    <s v=" February "/>
    <x v="1"/>
    <x v="1"/>
    <s v="Luzon"/>
    <n v="69.09"/>
  </r>
  <r>
    <n v="202303"/>
    <x v="38"/>
    <n v="2023"/>
    <s v=" March "/>
    <x v="1"/>
    <x v="1"/>
    <s v="Luzon"/>
    <n v="80.61"/>
  </r>
  <r>
    <n v="202304"/>
    <x v="39"/>
    <n v="2023"/>
    <s v=" April "/>
    <x v="1"/>
    <x v="1"/>
    <s v="Luzon"/>
    <n v="160.04"/>
  </r>
  <r>
    <n v="202305"/>
    <x v="40"/>
    <n v="2023"/>
    <s v=" May "/>
    <x v="1"/>
    <x v="1"/>
    <s v="Luzon"/>
    <n v="119.99"/>
  </r>
  <r>
    <n v="202306"/>
    <x v="41"/>
    <n v="2023"/>
    <s v=" June "/>
    <x v="1"/>
    <x v="1"/>
    <s v="Luzon"/>
    <n v="95.98"/>
  </r>
  <r>
    <n v="202307"/>
    <x v="42"/>
    <n v="2023"/>
    <s v=" July "/>
    <x v="1"/>
    <x v="1"/>
    <s v="Luzon"/>
    <n v="205.63"/>
  </r>
  <r>
    <n v="202308"/>
    <x v="43"/>
    <n v="2023"/>
    <s v=" August "/>
    <x v="1"/>
    <x v="1"/>
    <s v="Luzon"/>
    <n v="136.46"/>
  </r>
  <r>
    <n v="202309"/>
    <x v="44"/>
    <n v="2023"/>
    <s v=" September "/>
    <x v="1"/>
    <x v="1"/>
    <s v="Luzon"/>
    <n v="130.38999999999999"/>
  </r>
  <r>
    <n v="202310"/>
    <x v="45"/>
    <n v="2023"/>
    <s v=" October "/>
    <x v="1"/>
    <x v="1"/>
    <s v="Luzon"/>
    <n v="171.38"/>
  </r>
  <r>
    <n v="202311"/>
    <x v="46"/>
    <n v="2023"/>
    <s v=" November "/>
    <x v="1"/>
    <x v="1"/>
    <s v="Luzon"/>
    <n v="79.260000000000005"/>
  </r>
  <r>
    <n v="202312"/>
    <x v="47"/>
    <n v="2023"/>
    <s v=" December "/>
    <x v="1"/>
    <x v="1"/>
    <s v="Luzon"/>
    <n v="150.25"/>
  </r>
  <r>
    <n v="202301"/>
    <x v="36"/>
    <n v="2023"/>
    <s v=" January "/>
    <x v="1"/>
    <x v="1"/>
    <s v="Luzon"/>
    <n v="129.03"/>
  </r>
  <r>
    <n v="202302"/>
    <x v="37"/>
    <n v="2023"/>
    <s v=" February "/>
    <x v="1"/>
    <x v="1"/>
    <s v="Luzon"/>
    <n v="98.65"/>
  </r>
  <r>
    <n v="202303"/>
    <x v="38"/>
    <n v="2023"/>
    <s v=" March "/>
    <x v="1"/>
    <x v="1"/>
    <s v="Luzon"/>
    <n v="116.71"/>
  </r>
  <r>
    <n v="202304"/>
    <x v="39"/>
    <n v="2023"/>
    <s v=" April "/>
    <x v="1"/>
    <x v="1"/>
    <s v="Luzon"/>
    <n v="132.74"/>
  </r>
  <r>
    <n v="202305"/>
    <x v="40"/>
    <n v="2023"/>
    <s v=" May "/>
    <x v="1"/>
    <x v="1"/>
    <s v="Luzon"/>
    <n v="105.72"/>
  </r>
  <r>
    <n v="202306"/>
    <x v="41"/>
    <n v="2023"/>
    <s v=" June "/>
    <x v="1"/>
    <x v="1"/>
    <s v="Luzon"/>
    <n v="130.75"/>
  </r>
  <r>
    <n v="202307"/>
    <x v="42"/>
    <n v="2023"/>
    <s v=" July "/>
    <x v="1"/>
    <x v="1"/>
    <s v="Luzon"/>
    <n v="128.61000000000001"/>
  </r>
  <r>
    <n v="202308"/>
    <x v="43"/>
    <n v="2023"/>
    <s v=" August "/>
    <x v="1"/>
    <x v="1"/>
    <s v="Luzon"/>
    <n v="129.72999999999999"/>
  </r>
  <r>
    <n v="202309"/>
    <x v="44"/>
    <n v="2023"/>
    <s v=" September "/>
    <x v="1"/>
    <x v="1"/>
    <s v="Luzon"/>
    <n v="107.29"/>
  </r>
  <r>
    <n v="202310"/>
    <x v="45"/>
    <n v="2023"/>
    <s v=" October "/>
    <x v="1"/>
    <x v="1"/>
    <s v="Luzon"/>
    <n v="134.47999999999999"/>
  </r>
  <r>
    <n v="202311"/>
    <x v="46"/>
    <n v="2023"/>
    <s v=" November "/>
    <x v="1"/>
    <x v="1"/>
    <s v="Luzon"/>
    <n v="118.23"/>
  </r>
  <r>
    <n v="202312"/>
    <x v="47"/>
    <n v="2023"/>
    <s v=" December "/>
    <x v="1"/>
    <x v="1"/>
    <s v="Luzon"/>
    <n v="149.15"/>
  </r>
  <r>
    <n v="202301"/>
    <x v="36"/>
    <n v="2023"/>
    <s v=" January "/>
    <x v="1"/>
    <x v="1"/>
    <s v="Luzon"/>
    <n v="56.03"/>
  </r>
  <r>
    <n v="202302"/>
    <x v="37"/>
    <n v="2023"/>
    <s v=" February "/>
    <x v="1"/>
    <x v="1"/>
    <s v="Luzon"/>
    <n v="35.450000000000003"/>
  </r>
  <r>
    <n v="202303"/>
    <x v="38"/>
    <n v="2023"/>
    <s v=" March "/>
    <x v="1"/>
    <x v="1"/>
    <s v="Luzon"/>
    <n v="41.87"/>
  </r>
  <r>
    <n v="202304"/>
    <x v="39"/>
    <n v="2023"/>
    <s v=" April "/>
    <x v="1"/>
    <x v="1"/>
    <s v="Luzon"/>
    <n v="44.05"/>
  </r>
  <r>
    <n v="202305"/>
    <x v="40"/>
    <n v="2023"/>
    <s v=" May "/>
    <x v="1"/>
    <x v="1"/>
    <s v="Luzon"/>
    <n v="46.1"/>
  </r>
  <r>
    <n v="202306"/>
    <x v="41"/>
    <n v="2023"/>
    <s v=" June "/>
    <x v="1"/>
    <x v="1"/>
    <s v="Luzon"/>
    <n v="36.9"/>
  </r>
  <r>
    <n v="202307"/>
    <x v="42"/>
    <n v="2023"/>
    <s v=" July "/>
    <x v="1"/>
    <x v="1"/>
    <s v="Luzon"/>
    <n v="42.46"/>
  </r>
  <r>
    <n v="202308"/>
    <x v="43"/>
    <n v="2023"/>
    <s v=" August "/>
    <x v="1"/>
    <x v="1"/>
    <s v="Luzon"/>
    <n v="50.76"/>
  </r>
  <r>
    <n v="202309"/>
    <x v="44"/>
    <n v="2023"/>
    <s v=" September "/>
    <x v="1"/>
    <x v="1"/>
    <s v="Luzon"/>
    <n v="38.69"/>
  </r>
  <r>
    <n v="202310"/>
    <x v="45"/>
    <n v="2023"/>
    <s v=" October "/>
    <x v="1"/>
    <x v="1"/>
    <s v="Luzon"/>
    <n v="56.25"/>
  </r>
  <r>
    <n v="202311"/>
    <x v="46"/>
    <n v="2023"/>
    <s v=" November "/>
    <x v="1"/>
    <x v="1"/>
    <s v="Luzon"/>
    <n v="35.61"/>
  </r>
  <r>
    <n v="202312"/>
    <x v="47"/>
    <n v="2023"/>
    <s v=" December "/>
    <x v="1"/>
    <x v="1"/>
    <s v="Luzon"/>
    <n v="65.47"/>
  </r>
  <r>
    <n v="202301"/>
    <x v="36"/>
    <n v="2023"/>
    <s v=" January "/>
    <x v="1"/>
    <x v="1"/>
    <s v="Luzon"/>
    <n v="61.27"/>
  </r>
  <r>
    <n v="202302"/>
    <x v="37"/>
    <n v="2023"/>
    <s v=" February "/>
    <x v="1"/>
    <x v="1"/>
    <s v="Luzon"/>
    <n v="35.42"/>
  </r>
  <r>
    <n v="202303"/>
    <x v="38"/>
    <n v="2023"/>
    <s v=" March "/>
    <x v="1"/>
    <x v="1"/>
    <s v="Luzon"/>
    <n v="34.99"/>
  </r>
  <r>
    <n v="202304"/>
    <x v="39"/>
    <n v="2023"/>
    <s v=" April "/>
    <x v="1"/>
    <x v="1"/>
    <s v="Luzon"/>
    <n v="60.26"/>
  </r>
  <r>
    <n v="202305"/>
    <x v="40"/>
    <n v="2023"/>
    <s v=" May "/>
    <x v="1"/>
    <x v="1"/>
    <s v="Luzon"/>
    <n v="51.24"/>
  </r>
  <r>
    <n v="202306"/>
    <x v="41"/>
    <n v="2023"/>
    <s v=" June "/>
    <x v="1"/>
    <x v="1"/>
    <s v="Luzon"/>
    <n v="44.82"/>
  </r>
  <r>
    <n v="202307"/>
    <x v="42"/>
    <n v="2023"/>
    <s v=" July "/>
    <x v="1"/>
    <x v="1"/>
    <s v="Luzon"/>
    <n v="57.28"/>
  </r>
  <r>
    <n v="202308"/>
    <x v="43"/>
    <n v="2023"/>
    <s v=" August "/>
    <x v="1"/>
    <x v="1"/>
    <s v="Luzon"/>
    <n v="37"/>
  </r>
  <r>
    <n v="202309"/>
    <x v="44"/>
    <n v="2023"/>
    <s v=" September "/>
    <x v="1"/>
    <x v="1"/>
    <s v="Luzon"/>
    <n v="43.45"/>
  </r>
  <r>
    <n v="202310"/>
    <x v="45"/>
    <n v="2023"/>
    <s v=" October "/>
    <x v="1"/>
    <x v="1"/>
    <s v="Luzon"/>
    <n v="60.15"/>
  </r>
  <r>
    <n v="202311"/>
    <x v="46"/>
    <n v="2023"/>
    <s v=" November "/>
    <x v="1"/>
    <x v="1"/>
    <s v="Luzon"/>
    <n v="36.65"/>
  </r>
  <r>
    <n v="202312"/>
    <x v="47"/>
    <n v="2023"/>
    <s v=" December "/>
    <x v="1"/>
    <x v="1"/>
    <s v="Luzon"/>
    <n v="85.99"/>
  </r>
  <r>
    <n v="202301"/>
    <x v="36"/>
    <n v="2023"/>
    <s v=" January "/>
    <x v="1"/>
    <x v="1"/>
    <s v="Luzon"/>
    <n v="398.26"/>
  </r>
  <r>
    <n v="202302"/>
    <x v="37"/>
    <n v="2023"/>
    <s v=" February "/>
    <x v="1"/>
    <x v="1"/>
    <s v="Luzon"/>
    <n v="203.16"/>
  </r>
  <r>
    <n v="202303"/>
    <x v="38"/>
    <n v="2023"/>
    <s v=" March "/>
    <x v="1"/>
    <x v="1"/>
    <s v="Luzon"/>
    <n v="370.39"/>
  </r>
  <r>
    <n v="202304"/>
    <x v="39"/>
    <n v="2023"/>
    <s v=" April "/>
    <x v="1"/>
    <x v="1"/>
    <s v="Luzon"/>
    <n v="512.24"/>
  </r>
  <r>
    <n v="202305"/>
    <x v="40"/>
    <n v="2023"/>
    <s v=" May "/>
    <x v="1"/>
    <x v="1"/>
    <s v="Luzon"/>
    <n v="383.16"/>
  </r>
  <r>
    <n v="202306"/>
    <x v="41"/>
    <n v="2023"/>
    <s v=" June "/>
    <x v="1"/>
    <x v="1"/>
    <s v="Luzon"/>
    <n v="313.35000000000002"/>
  </r>
  <r>
    <n v="202307"/>
    <x v="42"/>
    <n v="2023"/>
    <s v=" July "/>
    <x v="1"/>
    <x v="1"/>
    <s v="Luzon"/>
    <n v="396.24"/>
  </r>
  <r>
    <n v="202308"/>
    <x v="43"/>
    <n v="2023"/>
    <s v=" August "/>
    <x v="1"/>
    <x v="1"/>
    <s v="Luzon"/>
    <n v="333.82"/>
  </r>
  <r>
    <n v="202309"/>
    <x v="44"/>
    <n v="2023"/>
    <s v=" September "/>
    <x v="1"/>
    <x v="1"/>
    <s v="Luzon"/>
    <n v="338.66"/>
  </r>
  <r>
    <n v="202310"/>
    <x v="45"/>
    <n v="2023"/>
    <s v=" October "/>
    <x v="1"/>
    <x v="1"/>
    <s v="Luzon"/>
    <n v="570.99"/>
  </r>
  <r>
    <n v="202311"/>
    <x v="46"/>
    <n v="2023"/>
    <s v=" November "/>
    <x v="1"/>
    <x v="1"/>
    <s v="Luzon"/>
    <n v="407.87"/>
  </r>
  <r>
    <n v="202312"/>
    <x v="47"/>
    <n v="2023"/>
    <s v=" December "/>
    <x v="1"/>
    <x v="1"/>
    <s v="Luzon"/>
    <n v="412.92"/>
  </r>
  <r>
    <n v="202301"/>
    <x v="36"/>
    <n v="2023"/>
    <s v=" January "/>
    <x v="2"/>
    <x v="1"/>
    <s v="Luzon"/>
    <n v="471.89"/>
  </r>
  <r>
    <n v="202302"/>
    <x v="37"/>
    <n v="2023"/>
    <s v=" February "/>
    <x v="2"/>
    <x v="1"/>
    <s v="Luzon"/>
    <n v="133.86000000000001"/>
  </r>
  <r>
    <n v="202303"/>
    <x v="38"/>
    <n v="2023"/>
    <s v=" March "/>
    <x v="2"/>
    <x v="1"/>
    <s v="Luzon"/>
    <n v="257"/>
  </r>
  <r>
    <n v="202304"/>
    <x v="39"/>
    <n v="2023"/>
    <s v=" April "/>
    <x v="2"/>
    <x v="1"/>
    <s v="Luzon"/>
    <n v="238.75"/>
  </r>
  <r>
    <n v="202305"/>
    <x v="40"/>
    <n v="2023"/>
    <s v=" May "/>
    <x v="2"/>
    <x v="1"/>
    <s v="Luzon"/>
    <n v="240.43"/>
  </r>
  <r>
    <n v="202306"/>
    <x v="41"/>
    <n v="2023"/>
    <s v=" June "/>
    <x v="2"/>
    <x v="1"/>
    <s v="Luzon"/>
    <n v="240.11"/>
  </r>
  <r>
    <n v="202307"/>
    <x v="42"/>
    <n v="2023"/>
    <s v=" July "/>
    <x v="2"/>
    <x v="1"/>
    <s v="Luzon"/>
    <n v="317.18"/>
  </r>
  <r>
    <n v="202308"/>
    <x v="43"/>
    <n v="2023"/>
    <s v=" August "/>
    <x v="2"/>
    <x v="1"/>
    <s v="Luzon"/>
    <n v="276.39999999999998"/>
  </r>
  <r>
    <n v="202309"/>
    <x v="44"/>
    <n v="2023"/>
    <s v=" September "/>
    <x v="2"/>
    <x v="1"/>
    <s v="Luzon"/>
    <n v="187.35"/>
  </r>
  <r>
    <n v="202310"/>
    <x v="45"/>
    <n v="2023"/>
    <s v=" October "/>
    <x v="2"/>
    <x v="1"/>
    <s v="Luzon"/>
    <n v="356.36"/>
  </r>
  <r>
    <n v="202311"/>
    <x v="46"/>
    <n v="2023"/>
    <s v=" November "/>
    <x v="2"/>
    <x v="1"/>
    <s v="Luzon"/>
    <n v="255.71"/>
  </r>
  <r>
    <n v="202312"/>
    <x v="47"/>
    <n v="2023"/>
    <s v=" December "/>
    <x v="2"/>
    <x v="1"/>
    <s v="Luzon"/>
    <n v="263.77999999999997"/>
  </r>
  <r>
    <n v="202301"/>
    <x v="36"/>
    <n v="2023"/>
    <s v=" January "/>
    <x v="2"/>
    <x v="1"/>
    <s v="Luzon"/>
    <n v="333.92"/>
  </r>
  <r>
    <n v="202302"/>
    <x v="37"/>
    <n v="2023"/>
    <s v=" February "/>
    <x v="2"/>
    <x v="1"/>
    <s v="Luzon"/>
    <n v="149.37"/>
  </r>
  <r>
    <n v="202303"/>
    <x v="38"/>
    <n v="2023"/>
    <s v=" March "/>
    <x v="2"/>
    <x v="1"/>
    <s v="Luzon"/>
    <n v="162.37"/>
  </r>
  <r>
    <n v="202304"/>
    <x v="39"/>
    <n v="2023"/>
    <s v=" April "/>
    <x v="2"/>
    <x v="1"/>
    <s v="Luzon"/>
    <n v="319.51"/>
  </r>
  <r>
    <n v="202305"/>
    <x v="40"/>
    <n v="2023"/>
    <s v=" May "/>
    <x v="2"/>
    <x v="1"/>
    <s v="Luzon"/>
    <n v="203.14"/>
  </r>
  <r>
    <n v="202306"/>
    <x v="41"/>
    <n v="2023"/>
    <s v=" June "/>
    <x v="2"/>
    <x v="1"/>
    <s v="Luzon"/>
    <n v="219.74"/>
  </r>
  <r>
    <n v="202307"/>
    <x v="42"/>
    <n v="2023"/>
    <s v=" July "/>
    <x v="2"/>
    <x v="1"/>
    <s v="Luzon"/>
    <n v="276.26"/>
  </r>
  <r>
    <n v="202308"/>
    <x v="43"/>
    <n v="2023"/>
    <s v=" August "/>
    <x v="2"/>
    <x v="1"/>
    <s v="Luzon"/>
    <n v="212.6"/>
  </r>
  <r>
    <n v="202309"/>
    <x v="44"/>
    <n v="2023"/>
    <s v=" September "/>
    <x v="2"/>
    <x v="1"/>
    <s v="Luzon"/>
    <n v="213.64"/>
  </r>
  <r>
    <n v="202310"/>
    <x v="45"/>
    <n v="2023"/>
    <s v=" October "/>
    <x v="2"/>
    <x v="1"/>
    <s v="Luzon"/>
    <n v="289.60000000000002"/>
  </r>
  <r>
    <n v="202311"/>
    <x v="46"/>
    <n v="2023"/>
    <s v=" November "/>
    <x v="2"/>
    <x v="1"/>
    <s v="Luzon"/>
    <n v="225.19"/>
  </r>
  <r>
    <n v="202312"/>
    <x v="47"/>
    <n v="2023"/>
    <s v=" December "/>
    <x v="2"/>
    <x v="1"/>
    <s v="Luzon"/>
    <n v="195.46"/>
  </r>
  <r>
    <n v="202301"/>
    <x v="36"/>
    <n v="2023"/>
    <s v=" January "/>
    <x v="2"/>
    <x v="1"/>
    <s v="Luzon"/>
    <n v="376.83"/>
  </r>
  <r>
    <n v="202302"/>
    <x v="37"/>
    <n v="2023"/>
    <s v=" February "/>
    <x v="2"/>
    <x v="1"/>
    <s v="Luzon"/>
    <n v="198.15"/>
  </r>
  <r>
    <n v="202303"/>
    <x v="38"/>
    <n v="2023"/>
    <s v=" March "/>
    <x v="2"/>
    <x v="1"/>
    <s v="Luzon"/>
    <n v="266.93"/>
  </r>
  <r>
    <n v="202304"/>
    <x v="39"/>
    <n v="2023"/>
    <s v=" April "/>
    <x v="2"/>
    <x v="1"/>
    <s v="Luzon"/>
    <n v="479.82"/>
  </r>
  <r>
    <n v="202305"/>
    <x v="40"/>
    <n v="2023"/>
    <s v=" May "/>
    <x v="2"/>
    <x v="1"/>
    <s v="Luzon"/>
    <n v="396.42"/>
  </r>
  <r>
    <n v="202306"/>
    <x v="41"/>
    <n v="2023"/>
    <s v=" June "/>
    <x v="2"/>
    <x v="1"/>
    <s v="Luzon"/>
    <n v="360.46"/>
  </r>
  <r>
    <n v="202307"/>
    <x v="42"/>
    <n v="2023"/>
    <s v=" July "/>
    <x v="2"/>
    <x v="1"/>
    <s v="Luzon"/>
    <n v="508.28"/>
  </r>
  <r>
    <n v="202308"/>
    <x v="43"/>
    <n v="2023"/>
    <s v=" August "/>
    <x v="2"/>
    <x v="1"/>
    <s v="Luzon"/>
    <n v="479.05"/>
  </r>
  <r>
    <n v="202309"/>
    <x v="44"/>
    <n v="2023"/>
    <s v=" September "/>
    <x v="2"/>
    <x v="1"/>
    <s v="Luzon"/>
    <n v="337.98"/>
  </r>
  <r>
    <n v="202310"/>
    <x v="45"/>
    <n v="2023"/>
    <s v=" October "/>
    <x v="2"/>
    <x v="1"/>
    <s v="Luzon"/>
    <n v="530.22"/>
  </r>
  <r>
    <n v="202311"/>
    <x v="46"/>
    <n v="2023"/>
    <s v=" November "/>
    <x v="2"/>
    <x v="1"/>
    <s v="Luzon"/>
    <n v="447.41"/>
  </r>
  <r>
    <n v="202312"/>
    <x v="47"/>
    <n v="2023"/>
    <s v=" December "/>
    <x v="2"/>
    <x v="1"/>
    <s v="Luzon"/>
    <n v="198.8"/>
  </r>
  <r>
    <n v="202301"/>
    <x v="36"/>
    <n v="2023"/>
    <s v=" January "/>
    <x v="2"/>
    <x v="1"/>
    <s v="Luzon"/>
    <n v="806.53"/>
  </r>
  <r>
    <n v="202302"/>
    <x v="37"/>
    <n v="2023"/>
    <s v=" February "/>
    <x v="2"/>
    <x v="1"/>
    <s v="Luzon"/>
    <n v="519.54"/>
  </r>
  <r>
    <n v="202303"/>
    <x v="38"/>
    <n v="2023"/>
    <s v=" March "/>
    <x v="2"/>
    <x v="1"/>
    <s v="Luzon"/>
    <n v="636.24"/>
  </r>
  <r>
    <n v="202304"/>
    <x v="39"/>
    <n v="2023"/>
    <s v=" April "/>
    <x v="2"/>
    <x v="1"/>
    <s v="Luzon"/>
    <n v="942.65"/>
  </r>
  <r>
    <n v="202305"/>
    <x v="40"/>
    <n v="2023"/>
    <s v=" May "/>
    <x v="2"/>
    <x v="1"/>
    <s v="Luzon"/>
    <n v="708.65"/>
  </r>
  <r>
    <n v="202306"/>
    <x v="41"/>
    <n v="2023"/>
    <s v=" June "/>
    <x v="2"/>
    <x v="1"/>
    <s v="Luzon"/>
    <n v="617.79"/>
  </r>
  <r>
    <n v="202307"/>
    <x v="42"/>
    <n v="2023"/>
    <s v=" July "/>
    <x v="2"/>
    <x v="1"/>
    <s v="Luzon"/>
    <n v="828.01"/>
  </r>
  <r>
    <n v="202308"/>
    <x v="43"/>
    <n v="2023"/>
    <s v=" August "/>
    <x v="2"/>
    <x v="1"/>
    <s v="Luzon"/>
    <n v="766.48"/>
  </r>
  <r>
    <n v="202309"/>
    <x v="44"/>
    <n v="2023"/>
    <s v=" September "/>
    <x v="2"/>
    <x v="1"/>
    <s v="Luzon"/>
    <n v="591.1"/>
  </r>
  <r>
    <n v="202310"/>
    <x v="45"/>
    <n v="2023"/>
    <s v=" October "/>
    <x v="2"/>
    <x v="1"/>
    <s v="Luzon"/>
    <n v="945.51"/>
  </r>
  <r>
    <n v="202311"/>
    <x v="46"/>
    <n v="2023"/>
    <s v=" November "/>
    <x v="2"/>
    <x v="1"/>
    <s v="Luzon"/>
    <n v="640.16999999999996"/>
  </r>
  <r>
    <n v="202312"/>
    <x v="47"/>
    <n v="2023"/>
    <s v=" December "/>
    <x v="2"/>
    <x v="1"/>
    <s v="Luzon"/>
    <n v="709.9"/>
  </r>
  <r>
    <n v="202301"/>
    <x v="36"/>
    <n v="2023"/>
    <s v=" January "/>
    <x v="3"/>
    <x v="1"/>
    <s v="Luzon"/>
    <n v="436.08"/>
  </r>
  <r>
    <n v="202302"/>
    <x v="37"/>
    <n v="2023"/>
    <s v=" February "/>
    <x v="3"/>
    <x v="1"/>
    <s v="Luzon"/>
    <n v="292.73"/>
  </r>
  <r>
    <n v="202303"/>
    <x v="38"/>
    <n v="2023"/>
    <s v=" March "/>
    <x v="3"/>
    <x v="1"/>
    <s v="Luzon"/>
    <n v="376.85"/>
  </r>
  <r>
    <n v="202304"/>
    <x v="39"/>
    <n v="2023"/>
    <s v=" April "/>
    <x v="3"/>
    <x v="1"/>
    <s v="Luzon"/>
    <n v="501.19"/>
  </r>
  <r>
    <n v="202305"/>
    <x v="40"/>
    <n v="2023"/>
    <s v=" May "/>
    <x v="3"/>
    <x v="1"/>
    <s v="Luzon"/>
    <n v="336.37"/>
  </r>
  <r>
    <n v="202306"/>
    <x v="41"/>
    <n v="2023"/>
    <s v=" June "/>
    <x v="3"/>
    <x v="1"/>
    <s v="Luzon"/>
    <n v="395.52"/>
  </r>
  <r>
    <n v="202307"/>
    <x v="42"/>
    <n v="2023"/>
    <s v=" July "/>
    <x v="3"/>
    <x v="1"/>
    <s v="Luzon"/>
    <n v="443.46"/>
  </r>
  <r>
    <n v="202308"/>
    <x v="43"/>
    <n v="2023"/>
    <s v=" August "/>
    <x v="3"/>
    <x v="1"/>
    <s v="Luzon"/>
    <n v="399"/>
  </r>
  <r>
    <n v="202309"/>
    <x v="44"/>
    <n v="2023"/>
    <s v=" September "/>
    <x v="3"/>
    <x v="1"/>
    <s v="Luzon"/>
    <n v="388.14"/>
  </r>
  <r>
    <n v="202310"/>
    <x v="45"/>
    <n v="2023"/>
    <s v=" October "/>
    <x v="3"/>
    <x v="1"/>
    <s v="Luzon"/>
    <n v="552.23"/>
  </r>
  <r>
    <n v="202311"/>
    <x v="46"/>
    <n v="2023"/>
    <s v=" November "/>
    <x v="3"/>
    <x v="1"/>
    <s v="Luzon"/>
    <n v="409.64"/>
  </r>
  <r>
    <n v="202312"/>
    <x v="47"/>
    <n v="2023"/>
    <s v=" December "/>
    <x v="3"/>
    <x v="1"/>
    <s v="Luzon"/>
    <n v="543.54999999999995"/>
  </r>
  <r>
    <n v="202301"/>
    <x v="36"/>
    <n v="2023"/>
    <s v=" January "/>
    <x v="3"/>
    <x v="1"/>
    <s v="Luzon"/>
    <n v="531.17999999999995"/>
  </r>
  <r>
    <n v="202302"/>
    <x v="37"/>
    <n v="2023"/>
    <s v=" February "/>
    <x v="3"/>
    <x v="1"/>
    <s v="Luzon"/>
    <n v="271.91000000000003"/>
  </r>
  <r>
    <n v="202303"/>
    <x v="38"/>
    <n v="2023"/>
    <s v=" March "/>
    <x v="3"/>
    <x v="1"/>
    <s v="Luzon"/>
    <n v="350.55"/>
  </r>
  <r>
    <n v="202304"/>
    <x v="39"/>
    <n v="2023"/>
    <s v=" April "/>
    <x v="3"/>
    <x v="1"/>
    <s v="Luzon"/>
    <n v="580.41"/>
  </r>
  <r>
    <n v="202305"/>
    <x v="40"/>
    <n v="2023"/>
    <s v=" May "/>
    <x v="3"/>
    <x v="1"/>
    <s v="Luzon"/>
    <n v="520.72"/>
  </r>
  <r>
    <n v="202306"/>
    <x v="41"/>
    <n v="2023"/>
    <s v=" June "/>
    <x v="3"/>
    <x v="1"/>
    <s v="Luzon"/>
    <n v="408.9"/>
  </r>
  <r>
    <n v="202307"/>
    <x v="42"/>
    <n v="2023"/>
    <s v=" July "/>
    <x v="3"/>
    <x v="1"/>
    <s v="Luzon"/>
    <n v="529.88"/>
  </r>
  <r>
    <n v="202308"/>
    <x v="43"/>
    <n v="2023"/>
    <s v=" August "/>
    <x v="3"/>
    <x v="1"/>
    <s v="Luzon"/>
    <n v="488"/>
  </r>
  <r>
    <n v="202309"/>
    <x v="44"/>
    <n v="2023"/>
    <s v=" September "/>
    <x v="3"/>
    <x v="1"/>
    <s v="Luzon"/>
    <n v="412.6"/>
  </r>
  <r>
    <n v="202310"/>
    <x v="45"/>
    <n v="2023"/>
    <s v=" October "/>
    <x v="3"/>
    <x v="1"/>
    <s v="Luzon"/>
    <n v="624.84"/>
  </r>
  <r>
    <n v="202311"/>
    <x v="46"/>
    <n v="2023"/>
    <s v=" November "/>
    <x v="3"/>
    <x v="1"/>
    <s v="Luzon"/>
    <n v="417.75"/>
  </r>
  <r>
    <n v="202312"/>
    <x v="47"/>
    <n v="2023"/>
    <s v=" December "/>
    <x v="3"/>
    <x v="1"/>
    <s v="Luzon"/>
    <n v="422.34"/>
  </r>
  <r>
    <n v="202301"/>
    <x v="36"/>
    <n v="2023"/>
    <s v=" January "/>
    <x v="3"/>
    <x v="1"/>
    <s v="Luzon"/>
    <n v="167.51"/>
  </r>
  <r>
    <n v="202302"/>
    <x v="37"/>
    <n v="2023"/>
    <s v=" February "/>
    <x v="3"/>
    <x v="1"/>
    <s v="Luzon"/>
    <n v="92.58"/>
  </r>
  <r>
    <n v="202303"/>
    <x v="38"/>
    <n v="2023"/>
    <s v=" March "/>
    <x v="3"/>
    <x v="1"/>
    <s v="Luzon"/>
    <n v="160.72999999999999"/>
  </r>
  <r>
    <n v="202304"/>
    <x v="39"/>
    <n v="2023"/>
    <s v=" April "/>
    <x v="3"/>
    <x v="1"/>
    <s v="Luzon"/>
    <n v="218.78"/>
  </r>
  <r>
    <n v="202305"/>
    <x v="40"/>
    <n v="2023"/>
    <s v=" May "/>
    <x v="3"/>
    <x v="1"/>
    <s v="Luzon"/>
    <n v="161.06"/>
  </r>
  <r>
    <n v="202306"/>
    <x v="41"/>
    <n v="2023"/>
    <s v=" June "/>
    <x v="3"/>
    <x v="1"/>
    <s v="Luzon"/>
    <n v="108.61"/>
  </r>
  <r>
    <n v="202307"/>
    <x v="42"/>
    <n v="2023"/>
    <s v=" July "/>
    <x v="3"/>
    <x v="1"/>
    <s v="Luzon"/>
    <n v="166.23"/>
  </r>
  <r>
    <n v="202308"/>
    <x v="43"/>
    <n v="2023"/>
    <s v=" August "/>
    <x v="3"/>
    <x v="1"/>
    <s v="Luzon"/>
    <n v="123.9"/>
  </r>
  <r>
    <n v="202309"/>
    <x v="44"/>
    <n v="2023"/>
    <s v=" September "/>
    <x v="3"/>
    <x v="1"/>
    <s v="Luzon"/>
    <n v="113.7"/>
  </r>
  <r>
    <n v="202310"/>
    <x v="45"/>
    <n v="2023"/>
    <s v=" October "/>
    <x v="3"/>
    <x v="1"/>
    <s v="Luzon"/>
    <n v="151.74"/>
  </r>
  <r>
    <n v="202311"/>
    <x v="46"/>
    <n v="2023"/>
    <s v=" November "/>
    <x v="3"/>
    <x v="1"/>
    <s v="Luzon"/>
    <n v="140.05000000000001"/>
  </r>
  <r>
    <n v="202312"/>
    <x v="47"/>
    <n v="2023"/>
    <s v=" December "/>
    <x v="3"/>
    <x v="1"/>
    <s v="Luzon"/>
    <n v="169.55"/>
  </r>
  <r>
    <n v="202301"/>
    <x v="36"/>
    <n v="2023"/>
    <s v=" January "/>
    <x v="3"/>
    <x v="1"/>
    <s v="Luzon"/>
    <n v="58.69"/>
  </r>
  <r>
    <n v="202302"/>
    <x v="37"/>
    <n v="2023"/>
    <s v=" February "/>
    <x v="3"/>
    <x v="1"/>
    <s v="Luzon"/>
    <n v="29.22"/>
  </r>
  <r>
    <n v="202303"/>
    <x v="38"/>
    <n v="2023"/>
    <s v=" March "/>
    <x v="3"/>
    <x v="1"/>
    <s v="Luzon"/>
    <n v="41.47"/>
  </r>
  <r>
    <n v="202304"/>
    <x v="39"/>
    <n v="2023"/>
    <s v=" April "/>
    <x v="3"/>
    <x v="1"/>
    <s v="Luzon"/>
    <n v="42.36"/>
  </r>
  <r>
    <n v="202305"/>
    <x v="40"/>
    <n v="2023"/>
    <s v=" May "/>
    <x v="3"/>
    <x v="1"/>
    <s v="Luzon"/>
    <n v="37.92"/>
  </r>
  <r>
    <n v="202306"/>
    <x v="41"/>
    <n v="2023"/>
    <s v=" June "/>
    <x v="3"/>
    <x v="1"/>
    <s v="Luzon"/>
    <n v="49.62"/>
  </r>
  <r>
    <n v="202307"/>
    <x v="42"/>
    <n v="2023"/>
    <s v=" July "/>
    <x v="3"/>
    <x v="1"/>
    <s v="Luzon"/>
    <n v="39.39"/>
  </r>
  <r>
    <n v="202308"/>
    <x v="43"/>
    <n v="2023"/>
    <s v=" August "/>
    <x v="3"/>
    <x v="1"/>
    <s v="Luzon"/>
    <n v="40.46"/>
  </r>
  <r>
    <n v="202309"/>
    <x v="44"/>
    <n v="2023"/>
    <s v=" September "/>
    <x v="3"/>
    <x v="1"/>
    <s v="Luzon"/>
    <n v="55.22"/>
  </r>
  <r>
    <n v="202310"/>
    <x v="45"/>
    <n v="2023"/>
    <s v=" October "/>
    <x v="3"/>
    <x v="1"/>
    <s v="Luzon"/>
    <n v="52.51"/>
  </r>
  <r>
    <n v="202311"/>
    <x v="46"/>
    <n v="2023"/>
    <s v=" November "/>
    <x v="3"/>
    <x v="1"/>
    <s v="Luzon"/>
    <n v="44.55"/>
  </r>
  <r>
    <n v="202312"/>
    <x v="47"/>
    <n v="2023"/>
    <s v=" December "/>
    <x v="3"/>
    <x v="1"/>
    <s v="Luzon"/>
    <n v="54.45"/>
  </r>
  <r>
    <n v="202301"/>
    <x v="36"/>
    <n v="2023"/>
    <s v=" January "/>
    <x v="4"/>
    <x v="1"/>
    <s v="Luzon"/>
    <n v="94.39"/>
  </r>
  <r>
    <n v="202302"/>
    <x v="37"/>
    <n v="2023"/>
    <s v=" February "/>
    <x v="4"/>
    <x v="1"/>
    <s v="Luzon"/>
    <n v="48.19"/>
  </r>
  <r>
    <n v="202303"/>
    <x v="38"/>
    <n v="2023"/>
    <s v=" March "/>
    <x v="4"/>
    <x v="1"/>
    <s v="Luzon"/>
    <n v="45.25"/>
  </r>
  <r>
    <n v="202304"/>
    <x v="39"/>
    <n v="2023"/>
    <s v=" April "/>
    <x v="4"/>
    <x v="1"/>
    <s v="Luzon"/>
    <n v="76.650000000000006"/>
  </r>
  <r>
    <n v="202305"/>
    <x v="40"/>
    <n v="2023"/>
    <s v=" May "/>
    <x v="4"/>
    <x v="1"/>
    <s v="Luzon"/>
    <n v="55.55"/>
  </r>
  <r>
    <n v="202306"/>
    <x v="41"/>
    <n v="2023"/>
    <s v=" June "/>
    <x v="4"/>
    <x v="1"/>
    <s v="Luzon"/>
    <n v="79.44"/>
  </r>
  <r>
    <n v="202307"/>
    <x v="42"/>
    <n v="2023"/>
    <s v=" July "/>
    <x v="4"/>
    <x v="1"/>
    <s v="Luzon"/>
    <n v="61.93"/>
  </r>
  <r>
    <n v="202308"/>
    <x v="43"/>
    <n v="2023"/>
    <s v=" August "/>
    <x v="4"/>
    <x v="1"/>
    <s v="Luzon"/>
    <n v="68.89"/>
  </r>
  <r>
    <n v="202309"/>
    <x v="44"/>
    <n v="2023"/>
    <s v=" September "/>
    <x v="4"/>
    <x v="1"/>
    <s v="Luzon"/>
    <n v="61.53"/>
  </r>
  <r>
    <n v="202310"/>
    <x v="45"/>
    <n v="2023"/>
    <s v=" October "/>
    <x v="4"/>
    <x v="1"/>
    <s v="Luzon"/>
    <n v="76.73"/>
  </r>
  <r>
    <n v="202311"/>
    <x v="46"/>
    <n v="2023"/>
    <s v=" November "/>
    <x v="4"/>
    <x v="1"/>
    <s v="Luzon"/>
    <n v="66.78"/>
  </r>
  <r>
    <n v="202312"/>
    <x v="47"/>
    <n v="2023"/>
    <s v=" December "/>
    <x v="4"/>
    <x v="1"/>
    <s v="Luzon"/>
    <n v="79.67"/>
  </r>
  <r>
    <n v="202301"/>
    <x v="36"/>
    <n v="2023"/>
    <s v=" January "/>
    <x v="4"/>
    <x v="1"/>
    <s v="Luzon"/>
    <n v="567.28"/>
  </r>
  <r>
    <n v="202302"/>
    <x v="37"/>
    <n v="2023"/>
    <s v=" February "/>
    <x v="4"/>
    <x v="1"/>
    <s v="Luzon"/>
    <n v="307.67"/>
  </r>
  <r>
    <n v="202303"/>
    <x v="38"/>
    <n v="2023"/>
    <s v=" March "/>
    <x v="4"/>
    <x v="1"/>
    <s v="Luzon"/>
    <n v="320.14999999999998"/>
  </r>
  <r>
    <n v="202304"/>
    <x v="39"/>
    <n v="2023"/>
    <s v=" April "/>
    <x v="4"/>
    <x v="1"/>
    <s v="Luzon"/>
    <n v="541.75"/>
  </r>
  <r>
    <n v="202305"/>
    <x v="40"/>
    <n v="2023"/>
    <s v=" May "/>
    <x v="4"/>
    <x v="1"/>
    <s v="Luzon"/>
    <n v="345.15"/>
  </r>
  <r>
    <n v="202306"/>
    <x v="41"/>
    <n v="2023"/>
    <s v=" June "/>
    <x v="4"/>
    <x v="1"/>
    <s v="Luzon"/>
    <n v="368.7"/>
  </r>
  <r>
    <n v="202307"/>
    <x v="42"/>
    <n v="2023"/>
    <s v=" July "/>
    <x v="4"/>
    <x v="1"/>
    <s v="Luzon"/>
    <n v="509.45"/>
  </r>
  <r>
    <n v="202308"/>
    <x v="43"/>
    <n v="2023"/>
    <s v=" August "/>
    <x v="4"/>
    <x v="1"/>
    <s v="Luzon"/>
    <n v="361.55"/>
  </r>
  <r>
    <n v="202309"/>
    <x v="44"/>
    <n v="2023"/>
    <s v=" September "/>
    <x v="4"/>
    <x v="1"/>
    <s v="Luzon"/>
    <n v="270.22000000000003"/>
  </r>
  <r>
    <n v="202310"/>
    <x v="45"/>
    <n v="2023"/>
    <s v=" October "/>
    <x v="4"/>
    <x v="1"/>
    <s v="Luzon"/>
    <n v="623.15"/>
  </r>
  <r>
    <n v="202311"/>
    <x v="46"/>
    <n v="2023"/>
    <s v=" November "/>
    <x v="4"/>
    <x v="1"/>
    <s v="Luzon"/>
    <n v="422.64"/>
  </r>
  <r>
    <n v="202312"/>
    <x v="47"/>
    <n v="2023"/>
    <s v=" December "/>
    <x v="4"/>
    <x v="1"/>
    <s v="Luzon"/>
    <n v="378.98"/>
  </r>
  <r>
    <n v="202301"/>
    <x v="36"/>
    <n v="2023"/>
    <s v=" January "/>
    <x v="4"/>
    <x v="1"/>
    <s v="Luzon"/>
    <n v="1673.77"/>
  </r>
  <r>
    <n v="202302"/>
    <x v="37"/>
    <n v="2023"/>
    <s v=" February "/>
    <x v="4"/>
    <x v="1"/>
    <s v="Luzon"/>
    <n v="809.39"/>
  </r>
  <r>
    <n v="202303"/>
    <x v="38"/>
    <n v="2023"/>
    <s v=" March "/>
    <x v="4"/>
    <x v="1"/>
    <s v="Luzon"/>
    <n v="1453.46"/>
  </r>
  <r>
    <n v="202304"/>
    <x v="39"/>
    <n v="2023"/>
    <s v=" April "/>
    <x v="4"/>
    <x v="1"/>
    <s v="Luzon"/>
    <n v="2124.0300000000002"/>
  </r>
  <r>
    <n v="202305"/>
    <x v="40"/>
    <n v="2023"/>
    <s v=" May "/>
    <x v="4"/>
    <x v="1"/>
    <s v="Luzon"/>
    <n v="1302.6600000000001"/>
  </r>
  <r>
    <n v="202306"/>
    <x v="41"/>
    <n v="2023"/>
    <s v=" June "/>
    <x v="4"/>
    <x v="1"/>
    <s v="Luzon"/>
    <n v="1336.76"/>
  </r>
  <r>
    <n v="202307"/>
    <x v="42"/>
    <n v="2023"/>
    <s v=" July "/>
    <x v="4"/>
    <x v="1"/>
    <s v="Luzon"/>
    <n v="1812.5"/>
  </r>
  <r>
    <n v="202308"/>
    <x v="43"/>
    <n v="2023"/>
    <s v=" August "/>
    <x v="4"/>
    <x v="1"/>
    <s v="Luzon"/>
    <n v="1238.92"/>
  </r>
  <r>
    <n v="202309"/>
    <x v="44"/>
    <n v="2023"/>
    <s v=" September "/>
    <x v="4"/>
    <x v="1"/>
    <s v="Luzon"/>
    <n v="1143.77"/>
  </r>
  <r>
    <n v="202310"/>
    <x v="45"/>
    <n v="2023"/>
    <s v=" October "/>
    <x v="4"/>
    <x v="1"/>
    <s v="Luzon"/>
    <n v="1922.95"/>
  </r>
  <r>
    <n v="202311"/>
    <x v="46"/>
    <n v="2023"/>
    <s v=" November "/>
    <x v="4"/>
    <x v="1"/>
    <s v="Luzon"/>
    <n v="1406.77"/>
  </r>
  <r>
    <n v="202312"/>
    <x v="47"/>
    <n v="2023"/>
    <s v=" December "/>
    <x v="4"/>
    <x v="1"/>
    <s v="Luzon"/>
    <n v="1347.4"/>
  </r>
  <r>
    <n v="202301"/>
    <x v="36"/>
    <n v="2023"/>
    <s v=" January "/>
    <x v="4"/>
    <x v="1"/>
    <s v="Luzon"/>
    <n v="691.95"/>
  </r>
  <r>
    <n v="202302"/>
    <x v="37"/>
    <n v="2023"/>
    <s v=" February "/>
    <x v="4"/>
    <x v="1"/>
    <s v="Luzon"/>
    <n v="339.94"/>
  </r>
  <r>
    <n v="202303"/>
    <x v="38"/>
    <n v="2023"/>
    <s v=" March "/>
    <x v="4"/>
    <x v="1"/>
    <s v="Luzon"/>
    <n v="526.72"/>
  </r>
  <r>
    <n v="202304"/>
    <x v="39"/>
    <n v="2023"/>
    <s v=" April "/>
    <x v="4"/>
    <x v="1"/>
    <s v="Luzon"/>
    <n v="732.15"/>
  </r>
  <r>
    <n v="202305"/>
    <x v="40"/>
    <n v="2023"/>
    <s v=" May "/>
    <x v="4"/>
    <x v="1"/>
    <s v="Luzon"/>
    <n v="523.19000000000005"/>
  </r>
  <r>
    <n v="202306"/>
    <x v="41"/>
    <n v="2023"/>
    <s v=" June "/>
    <x v="4"/>
    <x v="1"/>
    <s v="Luzon"/>
    <n v="620.33000000000004"/>
  </r>
  <r>
    <n v="202307"/>
    <x v="42"/>
    <n v="2023"/>
    <s v=" July "/>
    <x v="4"/>
    <x v="1"/>
    <s v="Luzon"/>
    <n v="551.17999999999995"/>
  </r>
  <r>
    <n v="202308"/>
    <x v="43"/>
    <n v="2023"/>
    <s v=" August "/>
    <x v="4"/>
    <x v="1"/>
    <s v="Luzon"/>
    <n v="558.96"/>
  </r>
  <r>
    <n v="202309"/>
    <x v="44"/>
    <n v="2023"/>
    <s v=" September "/>
    <x v="4"/>
    <x v="1"/>
    <s v="Luzon"/>
    <n v="546.12"/>
  </r>
  <r>
    <n v="202310"/>
    <x v="45"/>
    <n v="2023"/>
    <s v=" October "/>
    <x v="4"/>
    <x v="1"/>
    <s v="Luzon"/>
    <n v="767.36"/>
  </r>
  <r>
    <n v="202311"/>
    <x v="46"/>
    <n v="2023"/>
    <s v=" November "/>
    <x v="4"/>
    <x v="1"/>
    <s v="Luzon"/>
    <n v="533.41999999999996"/>
  </r>
  <r>
    <n v="202312"/>
    <x v="47"/>
    <n v="2023"/>
    <s v=" December "/>
    <x v="4"/>
    <x v="1"/>
    <s v="Luzon"/>
    <n v="606.87"/>
  </r>
  <r>
    <n v="202301"/>
    <x v="36"/>
    <n v="2023"/>
    <s v=" January "/>
    <x v="4"/>
    <x v="1"/>
    <s v="Luzon"/>
    <n v="1275.72"/>
  </r>
  <r>
    <n v="202302"/>
    <x v="37"/>
    <n v="2023"/>
    <s v=" February "/>
    <x v="4"/>
    <x v="1"/>
    <s v="Luzon"/>
    <n v="679.24"/>
  </r>
  <r>
    <n v="202303"/>
    <x v="38"/>
    <n v="2023"/>
    <s v=" March "/>
    <x v="4"/>
    <x v="1"/>
    <s v="Luzon"/>
    <n v="991.24"/>
  </r>
  <r>
    <n v="202304"/>
    <x v="39"/>
    <n v="2023"/>
    <s v=" April "/>
    <x v="4"/>
    <x v="1"/>
    <s v="Luzon"/>
    <n v="1749.84"/>
  </r>
  <r>
    <n v="202305"/>
    <x v="40"/>
    <n v="2023"/>
    <s v=" May "/>
    <x v="4"/>
    <x v="1"/>
    <s v="Luzon"/>
    <n v="1180.04"/>
  </r>
  <r>
    <n v="202306"/>
    <x v="41"/>
    <n v="2023"/>
    <s v=" June "/>
    <x v="4"/>
    <x v="1"/>
    <s v="Luzon"/>
    <n v="1008.59"/>
  </r>
  <r>
    <n v="202307"/>
    <x v="42"/>
    <n v="2023"/>
    <s v=" July "/>
    <x v="4"/>
    <x v="1"/>
    <s v="Luzon"/>
    <n v="1529.68"/>
  </r>
  <r>
    <n v="202308"/>
    <x v="43"/>
    <n v="2023"/>
    <s v=" August "/>
    <x v="4"/>
    <x v="1"/>
    <s v="Luzon"/>
    <n v="1249.03"/>
  </r>
  <r>
    <n v="202309"/>
    <x v="44"/>
    <n v="2023"/>
    <s v=" September "/>
    <x v="4"/>
    <x v="1"/>
    <s v="Luzon"/>
    <n v="1024.1500000000001"/>
  </r>
  <r>
    <n v="202310"/>
    <x v="45"/>
    <n v="2023"/>
    <s v=" October "/>
    <x v="4"/>
    <x v="1"/>
    <s v="Luzon"/>
    <n v="1596.55"/>
  </r>
  <r>
    <n v="202311"/>
    <x v="46"/>
    <n v="2023"/>
    <s v=" November "/>
    <x v="4"/>
    <x v="1"/>
    <s v="Luzon"/>
    <n v="1187.68"/>
  </r>
  <r>
    <n v="202312"/>
    <x v="47"/>
    <n v="2023"/>
    <s v=" December "/>
    <x v="4"/>
    <x v="1"/>
    <s v="Luzon"/>
    <n v="970.4"/>
  </r>
  <r>
    <n v="202301"/>
    <x v="36"/>
    <n v="2023"/>
    <s v=" January "/>
    <x v="4"/>
    <x v="1"/>
    <s v="Luzon"/>
    <n v="516.25"/>
  </r>
  <r>
    <n v="202302"/>
    <x v="37"/>
    <n v="2023"/>
    <s v=" February "/>
    <x v="4"/>
    <x v="1"/>
    <s v="Luzon"/>
    <n v="356.69"/>
  </r>
  <r>
    <n v="202303"/>
    <x v="38"/>
    <n v="2023"/>
    <s v=" March "/>
    <x v="4"/>
    <x v="1"/>
    <s v="Luzon"/>
    <n v="434.7"/>
  </r>
  <r>
    <n v="202304"/>
    <x v="39"/>
    <n v="2023"/>
    <s v=" April "/>
    <x v="4"/>
    <x v="1"/>
    <s v="Luzon"/>
    <n v="655.59"/>
  </r>
  <r>
    <n v="202305"/>
    <x v="40"/>
    <n v="2023"/>
    <s v=" May "/>
    <x v="4"/>
    <x v="1"/>
    <s v="Luzon"/>
    <n v="496.1"/>
  </r>
  <r>
    <n v="202306"/>
    <x v="41"/>
    <n v="2023"/>
    <s v=" June "/>
    <x v="4"/>
    <x v="1"/>
    <s v="Luzon"/>
    <n v="452.76"/>
  </r>
  <r>
    <n v="202307"/>
    <x v="42"/>
    <n v="2023"/>
    <s v=" July "/>
    <x v="4"/>
    <x v="1"/>
    <s v="Luzon"/>
    <n v="522.54999999999995"/>
  </r>
  <r>
    <n v="202308"/>
    <x v="43"/>
    <n v="2023"/>
    <s v=" August "/>
    <x v="4"/>
    <x v="1"/>
    <s v="Luzon"/>
    <n v="404.68"/>
  </r>
  <r>
    <n v="202309"/>
    <x v="44"/>
    <n v="2023"/>
    <s v=" September "/>
    <x v="4"/>
    <x v="1"/>
    <s v="Luzon"/>
    <n v="431.19"/>
  </r>
  <r>
    <n v="202310"/>
    <x v="45"/>
    <n v="2023"/>
    <s v=" October "/>
    <x v="4"/>
    <x v="1"/>
    <s v="Luzon"/>
    <n v="572.04"/>
  </r>
  <r>
    <n v="202311"/>
    <x v="46"/>
    <n v="2023"/>
    <s v=" November "/>
    <x v="4"/>
    <x v="1"/>
    <s v="Luzon"/>
    <n v="443.43"/>
  </r>
  <r>
    <n v="202312"/>
    <x v="47"/>
    <n v="2023"/>
    <s v=" December "/>
    <x v="4"/>
    <x v="1"/>
    <s v="Luzon"/>
    <n v="577.49"/>
  </r>
  <r>
    <n v="202301"/>
    <x v="36"/>
    <n v="2023"/>
    <s v=" January "/>
    <x v="4"/>
    <x v="1"/>
    <s v="Luzon"/>
    <n v="248.43"/>
  </r>
  <r>
    <n v="202302"/>
    <x v="37"/>
    <n v="2023"/>
    <s v=" February "/>
    <x v="4"/>
    <x v="1"/>
    <s v="Luzon"/>
    <n v="117.76"/>
  </r>
  <r>
    <n v="202303"/>
    <x v="38"/>
    <n v="2023"/>
    <s v=" March "/>
    <x v="4"/>
    <x v="1"/>
    <s v="Luzon"/>
    <n v="133.18"/>
  </r>
  <r>
    <n v="202304"/>
    <x v="39"/>
    <n v="2023"/>
    <s v=" April "/>
    <x v="4"/>
    <x v="1"/>
    <s v="Luzon"/>
    <n v="279.7"/>
  </r>
  <r>
    <n v="202305"/>
    <x v="40"/>
    <n v="2023"/>
    <s v=" May "/>
    <x v="4"/>
    <x v="1"/>
    <s v="Luzon"/>
    <n v="225.98"/>
  </r>
  <r>
    <n v="202306"/>
    <x v="41"/>
    <n v="2023"/>
    <s v=" June "/>
    <x v="4"/>
    <x v="1"/>
    <s v="Luzon"/>
    <n v="135.4"/>
  </r>
  <r>
    <n v="202307"/>
    <x v="42"/>
    <n v="2023"/>
    <s v=" July "/>
    <x v="4"/>
    <x v="1"/>
    <s v="Luzon"/>
    <n v="162.68"/>
  </r>
  <r>
    <n v="202308"/>
    <x v="43"/>
    <n v="2023"/>
    <s v=" August "/>
    <x v="4"/>
    <x v="1"/>
    <s v="Luzon"/>
    <n v="171.81"/>
  </r>
  <r>
    <n v="202309"/>
    <x v="44"/>
    <n v="2023"/>
    <s v=" September "/>
    <x v="4"/>
    <x v="1"/>
    <s v="Luzon"/>
    <n v="114.39"/>
  </r>
  <r>
    <n v="202310"/>
    <x v="45"/>
    <n v="2023"/>
    <s v=" October "/>
    <x v="4"/>
    <x v="1"/>
    <s v="Luzon"/>
    <n v="155.16"/>
  </r>
  <r>
    <n v="202311"/>
    <x v="46"/>
    <n v="2023"/>
    <s v=" November "/>
    <x v="4"/>
    <x v="1"/>
    <s v="Luzon"/>
    <n v="179.99"/>
  </r>
  <r>
    <n v="202312"/>
    <x v="47"/>
    <n v="2023"/>
    <s v=" December "/>
    <x v="4"/>
    <x v="1"/>
    <s v="Luzon"/>
    <n v="85.68"/>
  </r>
  <r>
    <n v="202301"/>
    <x v="36"/>
    <n v="2023"/>
    <s v=" January "/>
    <x v="4"/>
    <x v="1"/>
    <s v="Luzon"/>
    <n v="776.73"/>
  </r>
  <r>
    <n v="202302"/>
    <x v="37"/>
    <n v="2023"/>
    <s v=" February "/>
    <x v="4"/>
    <x v="1"/>
    <s v="Luzon"/>
    <n v="658.58"/>
  </r>
  <r>
    <n v="202303"/>
    <x v="38"/>
    <n v="2023"/>
    <s v=" March "/>
    <x v="4"/>
    <x v="1"/>
    <s v="Luzon"/>
    <n v="722.73"/>
  </r>
  <r>
    <n v="202304"/>
    <x v="39"/>
    <n v="2023"/>
    <s v=" April "/>
    <x v="4"/>
    <x v="1"/>
    <s v="Luzon"/>
    <n v="1545.82"/>
  </r>
  <r>
    <n v="202305"/>
    <x v="40"/>
    <n v="2023"/>
    <s v=" May "/>
    <x v="4"/>
    <x v="1"/>
    <s v="Luzon"/>
    <n v="1415.53"/>
  </r>
  <r>
    <n v="202306"/>
    <x v="41"/>
    <n v="2023"/>
    <s v=" June "/>
    <x v="4"/>
    <x v="1"/>
    <s v="Luzon"/>
    <n v="786.6"/>
  </r>
  <r>
    <n v="202307"/>
    <x v="42"/>
    <n v="2023"/>
    <s v=" July "/>
    <x v="4"/>
    <x v="1"/>
    <s v="Luzon"/>
    <n v="1140.48"/>
  </r>
  <r>
    <n v="202308"/>
    <x v="43"/>
    <n v="2023"/>
    <s v=" August "/>
    <x v="4"/>
    <x v="1"/>
    <s v="Luzon"/>
    <n v="1324.66"/>
  </r>
  <r>
    <n v="202309"/>
    <x v="44"/>
    <n v="2023"/>
    <s v=" September "/>
    <x v="4"/>
    <x v="1"/>
    <s v="Luzon"/>
    <n v="686.55"/>
  </r>
  <r>
    <n v="202310"/>
    <x v="45"/>
    <n v="2023"/>
    <s v=" October "/>
    <x v="4"/>
    <x v="1"/>
    <s v="Luzon"/>
    <n v="1059.02"/>
  </r>
  <r>
    <n v="202311"/>
    <x v="46"/>
    <n v="2023"/>
    <s v=" November "/>
    <x v="4"/>
    <x v="1"/>
    <s v="Luzon"/>
    <n v="1162.3900000000001"/>
  </r>
  <r>
    <n v="202312"/>
    <x v="47"/>
    <n v="2023"/>
    <s v=" December "/>
    <x v="4"/>
    <x v="1"/>
    <s v="Luzon"/>
    <n v="445.04"/>
  </r>
  <r>
    <n v="202301"/>
    <x v="36"/>
    <n v="2023"/>
    <s v=" January "/>
    <x v="4"/>
    <x v="1"/>
    <s v="Luzon"/>
    <n v="226.2"/>
  </r>
  <r>
    <n v="202302"/>
    <x v="37"/>
    <n v="2023"/>
    <s v=" February "/>
    <x v="4"/>
    <x v="1"/>
    <s v="Luzon"/>
    <n v="136.69"/>
  </r>
  <r>
    <n v="202303"/>
    <x v="38"/>
    <n v="2023"/>
    <s v=" March "/>
    <x v="4"/>
    <x v="1"/>
    <s v="Luzon"/>
    <n v="221.1"/>
  </r>
  <r>
    <n v="202304"/>
    <x v="39"/>
    <n v="2023"/>
    <s v=" April "/>
    <x v="4"/>
    <x v="1"/>
    <s v="Luzon"/>
    <n v="325.01"/>
  </r>
  <r>
    <n v="202305"/>
    <x v="40"/>
    <n v="2023"/>
    <s v=" May "/>
    <x v="4"/>
    <x v="1"/>
    <s v="Luzon"/>
    <n v="202.53"/>
  </r>
  <r>
    <n v="202306"/>
    <x v="41"/>
    <n v="2023"/>
    <s v=" June "/>
    <x v="4"/>
    <x v="1"/>
    <s v="Luzon"/>
    <n v="318.01"/>
  </r>
  <r>
    <n v="202307"/>
    <x v="42"/>
    <n v="2023"/>
    <s v=" July "/>
    <x v="4"/>
    <x v="1"/>
    <s v="Luzon"/>
    <n v="236.81"/>
  </r>
  <r>
    <n v="202308"/>
    <x v="43"/>
    <n v="2023"/>
    <s v=" August "/>
    <x v="4"/>
    <x v="1"/>
    <s v="Luzon"/>
    <n v="174.46"/>
  </r>
  <r>
    <n v="202309"/>
    <x v="44"/>
    <n v="2023"/>
    <s v=" September "/>
    <x v="4"/>
    <x v="1"/>
    <s v="Luzon"/>
    <n v="199.57"/>
  </r>
  <r>
    <n v="202310"/>
    <x v="45"/>
    <n v="2023"/>
    <s v=" October "/>
    <x v="4"/>
    <x v="1"/>
    <s v="Luzon"/>
    <n v="321.54000000000002"/>
  </r>
  <r>
    <n v="202311"/>
    <x v="46"/>
    <n v="2023"/>
    <s v=" November "/>
    <x v="4"/>
    <x v="1"/>
    <s v="Luzon"/>
    <n v="195.77"/>
  </r>
  <r>
    <n v="202312"/>
    <x v="47"/>
    <n v="2023"/>
    <s v=" December "/>
    <x v="4"/>
    <x v="1"/>
    <s v="Luzon"/>
    <n v="239.64"/>
  </r>
  <r>
    <n v="202301"/>
    <x v="36"/>
    <n v="2023"/>
    <s v=" January "/>
    <x v="5"/>
    <x v="1"/>
    <s v="Luzon"/>
    <n v="1967.72"/>
  </r>
  <r>
    <n v="202302"/>
    <x v="37"/>
    <n v="2023"/>
    <s v=" February "/>
    <x v="5"/>
    <x v="1"/>
    <s v="Luzon"/>
    <n v="1111.4100000000001"/>
  </r>
  <r>
    <n v="202303"/>
    <x v="38"/>
    <n v="2023"/>
    <s v=" March "/>
    <x v="5"/>
    <x v="1"/>
    <s v="Luzon"/>
    <n v="1551.56"/>
  </r>
  <r>
    <n v="202304"/>
    <x v="39"/>
    <n v="2023"/>
    <s v=" April "/>
    <x v="5"/>
    <x v="1"/>
    <s v="Luzon"/>
    <n v="2595.52"/>
  </r>
  <r>
    <n v="202305"/>
    <x v="40"/>
    <n v="2023"/>
    <s v=" May "/>
    <x v="5"/>
    <x v="1"/>
    <s v="Luzon"/>
    <n v="2106.13"/>
  </r>
  <r>
    <n v="202306"/>
    <x v="41"/>
    <n v="2023"/>
    <s v=" June "/>
    <x v="5"/>
    <x v="1"/>
    <s v="Luzon"/>
    <n v="1430.4"/>
  </r>
  <r>
    <n v="202307"/>
    <x v="42"/>
    <n v="2023"/>
    <s v=" July "/>
    <x v="5"/>
    <x v="1"/>
    <s v="Luzon"/>
    <n v="2077.7199999999998"/>
  </r>
  <r>
    <n v="202308"/>
    <x v="43"/>
    <n v="2023"/>
    <s v=" August "/>
    <x v="5"/>
    <x v="1"/>
    <s v="Luzon"/>
    <n v="2005.93"/>
  </r>
  <r>
    <n v="202309"/>
    <x v="44"/>
    <n v="2023"/>
    <s v=" September "/>
    <x v="5"/>
    <x v="1"/>
    <s v="Luzon"/>
    <n v="1289.46"/>
  </r>
  <r>
    <n v="202310"/>
    <x v="45"/>
    <n v="2023"/>
    <s v=" October "/>
    <x v="5"/>
    <x v="1"/>
    <s v="Luzon"/>
    <n v="2100.09"/>
  </r>
  <r>
    <n v="202311"/>
    <x v="46"/>
    <n v="2023"/>
    <s v=" November "/>
    <x v="5"/>
    <x v="1"/>
    <s v="Luzon"/>
    <n v="1875.81"/>
  </r>
  <r>
    <n v="202312"/>
    <x v="47"/>
    <n v="2023"/>
    <s v=" December "/>
    <x v="5"/>
    <x v="1"/>
    <s v="Luzon"/>
    <n v="1398.69"/>
  </r>
  <r>
    <n v="202301"/>
    <x v="36"/>
    <n v="2023"/>
    <s v=" January "/>
    <x v="5"/>
    <x v="1"/>
    <s v="Luzon"/>
    <n v="2782.69"/>
  </r>
  <r>
    <n v="202302"/>
    <x v="37"/>
    <n v="2023"/>
    <s v=" February "/>
    <x v="5"/>
    <x v="1"/>
    <s v="Luzon"/>
    <n v="1405.67"/>
  </r>
  <r>
    <n v="202303"/>
    <x v="38"/>
    <n v="2023"/>
    <s v=" March "/>
    <x v="5"/>
    <x v="1"/>
    <s v="Luzon"/>
    <n v="2322.6799999999998"/>
  </r>
  <r>
    <n v="202304"/>
    <x v="39"/>
    <n v="2023"/>
    <s v=" April "/>
    <x v="5"/>
    <x v="1"/>
    <s v="Luzon"/>
    <n v="3297.63"/>
  </r>
  <r>
    <n v="202305"/>
    <x v="40"/>
    <n v="2023"/>
    <s v=" May "/>
    <x v="5"/>
    <x v="1"/>
    <s v="Luzon"/>
    <n v="2939.39"/>
  </r>
  <r>
    <n v="202306"/>
    <x v="41"/>
    <n v="2023"/>
    <s v=" June "/>
    <x v="5"/>
    <x v="1"/>
    <s v="Luzon"/>
    <n v="2640.54"/>
  </r>
  <r>
    <n v="202307"/>
    <x v="42"/>
    <n v="2023"/>
    <s v=" July "/>
    <x v="5"/>
    <x v="1"/>
    <s v="Luzon"/>
    <n v="3070.51"/>
  </r>
  <r>
    <n v="202308"/>
    <x v="43"/>
    <n v="2023"/>
    <s v=" August "/>
    <x v="5"/>
    <x v="1"/>
    <s v="Luzon"/>
    <n v="2200.9899999999998"/>
  </r>
  <r>
    <n v="202309"/>
    <x v="44"/>
    <n v="2023"/>
    <s v=" September "/>
    <x v="5"/>
    <x v="1"/>
    <s v="Luzon"/>
    <n v="1794.53"/>
  </r>
  <r>
    <n v="202310"/>
    <x v="45"/>
    <n v="2023"/>
    <s v=" October "/>
    <x v="5"/>
    <x v="1"/>
    <s v="Luzon"/>
    <n v="3022.91"/>
  </r>
  <r>
    <n v="202311"/>
    <x v="46"/>
    <n v="2023"/>
    <s v=" November "/>
    <x v="5"/>
    <x v="1"/>
    <s v="Luzon"/>
    <n v="2242.67"/>
  </r>
  <r>
    <n v="202312"/>
    <x v="47"/>
    <n v="2023"/>
    <s v=" December "/>
    <x v="5"/>
    <x v="1"/>
    <s v="Luzon"/>
    <n v="2045.69"/>
  </r>
  <r>
    <n v="202301"/>
    <x v="36"/>
    <n v="2023"/>
    <s v=" January "/>
    <x v="5"/>
    <x v="1"/>
    <s v="Luzon"/>
    <n v="2974.62"/>
  </r>
  <r>
    <n v="202302"/>
    <x v="37"/>
    <n v="2023"/>
    <s v=" February "/>
    <x v="5"/>
    <x v="1"/>
    <s v="Luzon"/>
    <n v="1618.83"/>
  </r>
  <r>
    <n v="202303"/>
    <x v="38"/>
    <n v="2023"/>
    <s v=" March "/>
    <x v="5"/>
    <x v="1"/>
    <s v="Luzon"/>
    <n v="2085.19"/>
  </r>
  <r>
    <n v="202304"/>
    <x v="39"/>
    <n v="2023"/>
    <s v=" April "/>
    <x v="5"/>
    <x v="1"/>
    <s v="Luzon"/>
    <n v="4314.74"/>
  </r>
  <r>
    <n v="202305"/>
    <x v="40"/>
    <n v="2023"/>
    <s v=" May "/>
    <x v="5"/>
    <x v="1"/>
    <s v="Luzon"/>
    <n v="2832.34"/>
  </r>
  <r>
    <n v="202306"/>
    <x v="41"/>
    <n v="2023"/>
    <s v=" June "/>
    <x v="5"/>
    <x v="1"/>
    <s v="Luzon"/>
    <n v="1982.61"/>
  </r>
  <r>
    <n v="202307"/>
    <x v="42"/>
    <n v="2023"/>
    <s v=" July "/>
    <x v="5"/>
    <x v="1"/>
    <s v="Luzon"/>
    <n v="3221.14"/>
  </r>
  <r>
    <n v="202308"/>
    <x v="43"/>
    <n v="2023"/>
    <s v=" August "/>
    <x v="5"/>
    <x v="1"/>
    <s v="Luzon"/>
    <n v="2674.56"/>
  </r>
  <r>
    <n v="202309"/>
    <x v="44"/>
    <n v="2023"/>
    <s v=" September "/>
    <x v="5"/>
    <x v="1"/>
    <s v="Luzon"/>
    <n v="1816.6"/>
  </r>
  <r>
    <n v="202310"/>
    <x v="45"/>
    <n v="2023"/>
    <s v=" October "/>
    <x v="5"/>
    <x v="1"/>
    <s v="Luzon"/>
    <n v="3649.7"/>
  </r>
  <r>
    <n v="202311"/>
    <x v="46"/>
    <n v="2023"/>
    <s v=" November "/>
    <x v="5"/>
    <x v="1"/>
    <s v="Luzon"/>
    <n v="2843.78"/>
  </r>
  <r>
    <n v="202312"/>
    <x v="47"/>
    <n v="2023"/>
    <s v=" December "/>
    <x v="5"/>
    <x v="1"/>
    <s v="Luzon"/>
    <n v="2463.0300000000002"/>
  </r>
  <r>
    <n v="202301"/>
    <x v="36"/>
    <n v="2023"/>
    <s v=" January "/>
    <x v="5"/>
    <x v="1"/>
    <s v="Luzon"/>
    <n v="100.09"/>
  </r>
  <r>
    <n v="202302"/>
    <x v="37"/>
    <n v="2023"/>
    <s v=" February "/>
    <x v="5"/>
    <x v="1"/>
    <s v="Luzon"/>
    <n v="49.91"/>
  </r>
  <r>
    <n v="202303"/>
    <x v="38"/>
    <n v="2023"/>
    <s v=" March "/>
    <x v="5"/>
    <x v="1"/>
    <s v="Luzon"/>
    <n v="63.89"/>
  </r>
  <r>
    <n v="202304"/>
    <x v="39"/>
    <n v="2023"/>
    <s v=" April "/>
    <x v="5"/>
    <x v="1"/>
    <s v="Luzon"/>
    <n v="166.73"/>
  </r>
  <r>
    <n v="202305"/>
    <x v="40"/>
    <n v="2023"/>
    <s v=" May "/>
    <x v="5"/>
    <x v="1"/>
    <s v="Luzon"/>
    <n v="108.19"/>
  </r>
  <r>
    <n v="202306"/>
    <x v="41"/>
    <n v="2023"/>
    <s v=" June "/>
    <x v="5"/>
    <x v="1"/>
    <s v="Luzon"/>
    <n v="76.989999999999995"/>
  </r>
  <r>
    <n v="202307"/>
    <x v="42"/>
    <n v="2023"/>
    <s v=" July "/>
    <x v="5"/>
    <x v="1"/>
    <s v="Luzon"/>
    <n v="140.56"/>
  </r>
  <r>
    <n v="202308"/>
    <x v="43"/>
    <n v="2023"/>
    <s v=" August "/>
    <x v="5"/>
    <x v="1"/>
    <s v="Luzon"/>
    <n v="94.2"/>
  </r>
  <r>
    <n v="202309"/>
    <x v="44"/>
    <n v="2023"/>
    <s v=" September "/>
    <x v="5"/>
    <x v="1"/>
    <s v="Luzon"/>
    <n v="107.9"/>
  </r>
  <r>
    <n v="202310"/>
    <x v="45"/>
    <n v="2023"/>
    <s v=" October "/>
    <x v="5"/>
    <x v="1"/>
    <s v="Luzon"/>
    <n v="121.12"/>
  </r>
  <r>
    <n v="202311"/>
    <x v="46"/>
    <n v="2023"/>
    <s v=" November "/>
    <x v="5"/>
    <x v="1"/>
    <s v="Luzon"/>
    <n v="80.209999999999994"/>
  </r>
  <r>
    <n v="202312"/>
    <x v="47"/>
    <n v="2023"/>
    <s v=" December "/>
    <x v="5"/>
    <x v="1"/>
    <s v="Luzon"/>
    <n v="123.12"/>
  </r>
  <r>
    <n v="202301"/>
    <x v="36"/>
    <n v="2023"/>
    <s v=" January "/>
    <x v="5"/>
    <x v="1"/>
    <s v="Luzon"/>
    <n v="706.69"/>
  </r>
  <r>
    <n v="202302"/>
    <x v="37"/>
    <n v="2023"/>
    <s v=" February "/>
    <x v="5"/>
    <x v="1"/>
    <s v="Luzon"/>
    <n v="357.89"/>
  </r>
  <r>
    <n v="202303"/>
    <x v="38"/>
    <n v="2023"/>
    <s v=" March "/>
    <x v="5"/>
    <x v="1"/>
    <s v="Luzon"/>
    <n v="456.98"/>
  </r>
  <r>
    <n v="202304"/>
    <x v="39"/>
    <n v="2023"/>
    <s v=" April "/>
    <x v="5"/>
    <x v="1"/>
    <s v="Luzon"/>
    <n v="955.85"/>
  </r>
  <r>
    <n v="202305"/>
    <x v="40"/>
    <n v="2023"/>
    <s v=" May "/>
    <x v="5"/>
    <x v="1"/>
    <s v="Luzon"/>
    <n v="546.92999999999995"/>
  </r>
  <r>
    <n v="202306"/>
    <x v="41"/>
    <n v="2023"/>
    <s v=" June "/>
    <x v="5"/>
    <x v="1"/>
    <s v="Luzon"/>
    <n v="480.09"/>
  </r>
  <r>
    <n v="202307"/>
    <x v="42"/>
    <n v="2023"/>
    <s v=" July "/>
    <x v="5"/>
    <x v="1"/>
    <s v="Luzon"/>
    <n v="720.17"/>
  </r>
  <r>
    <n v="202308"/>
    <x v="43"/>
    <n v="2023"/>
    <s v=" August "/>
    <x v="5"/>
    <x v="1"/>
    <s v="Luzon"/>
    <n v="550.42999999999995"/>
  </r>
  <r>
    <n v="202309"/>
    <x v="44"/>
    <n v="2023"/>
    <s v=" September "/>
    <x v="5"/>
    <x v="1"/>
    <s v="Luzon"/>
    <n v="457.39"/>
  </r>
  <r>
    <n v="202310"/>
    <x v="45"/>
    <n v="2023"/>
    <s v=" October "/>
    <x v="5"/>
    <x v="1"/>
    <s v="Luzon"/>
    <n v="964.04"/>
  </r>
  <r>
    <n v="202311"/>
    <x v="46"/>
    <n v="2023"/>
    <s v=" November "/>
    <x v="5"/>
    <x v="1"/>
    <s v="Luzon"/>
    <n v="565.76"/>
  </r>
  <r>
    <n v="202312"/>
    <x v="47"/>
    <n v="2023"/>
    <s v=" December "/>
    <x v="5"/>
    <x v="1"/>
    <s v="Luzon"/>
    <n v="549.77"/>
  </r>
  <r>
    <n v="202301"/>
    <x v="36"/>
    <n v="2023"/>
    <s v=" January "/>
    <x v="5"/>
    <x v="1"/>
    <s v="Luzon"/>
    <n v="539.51"/>
  </r>
  <r>
    <n v="202302"/>
    <x v="37"/>
    <n v="2023"/>
    <s v=" February "/>
    <x v="5"/>
    <x v="1"/>
    <s v="Luzon"/>
    <n v="288.75"/>
  </r>
  <r>
    <n v="202303"/>
    <x v="38"/>
    <n v="2023"/>
    <s v=" March "/>
    <x v="5"/>
    <x v="1"/>
    <s v="Luzon"/>
    <n v="401.48"/>
  </r>
  <r>
    <n v="202304"/>
    <x v="39"/>
    <n v="2023"/>
    <s v=" April "/>
    <x v="5"/>
    <x v="1"/>
    <s v="Luzon"/>
    <n v="626.98"/>
  </r>
  <r>
    <n v="202305"/>
    <x v="40"/>
    <n v="2023"/>
    <s v=" May "/>
    <x v="5"/>
    <x v="1"/>
    <s v="Luzon"/>
    <n v="499.35"/>
  </r>
  <r>
    <n v="202306"/>
    <x v="41"/>
    <n v="2023"/>
    <s v=" June "/>
    <x v="5"/>
    <x v="1"/>
    <s v="Luzon"/>
    <n v="398.38"/>
  </r>
  <r>
    <n v="202307"/>
    <x v="42"/>
    <n v="2023"/>
    <s v=" July "/>
    <x v="5"/>
    <x v="1"/>
    <s v="Luzon"/>
    <n v="575.99"/>
  </r>
  <r>
    <n v="202308"/>
    <x v="43"/>
    <n v="2023"/>
    <s v=" August "/>
    <x v="5"/>
    <x v="1"/>
    <s v="Luzon"/>
    <n v="473.31"/>
  </r>
  <r>
    <n v="202309"/>
    <x v="44"/>
    <n v="2023"/>
    <s v=" September "/>
    <x v="5"/>
    <x v="1"/>
    <s v="Luzon"/>
    <n v="427.38"/>
  </r>
  <r>
    <n v="202310"/>
    <x v="45"/>
    <n v="2023"/>
    <s v=" October "/>
    <x v="5"/>
    <x v="1"/>
    <s v="Luzon"/>
    <n v="607.72"/>
  </r>
  <r>
    <n v="202311"/>
    <x v="46"/>
    <n v="2023"/>
    <s v=" November "/>
    <x v="5"/>
    <x v="1"/>
    <s v="Luzon"/>
    <n v="494.5"/>
  </r>
  <r>
    <n v="202312"/>
    <x v="47"/>
    <n v="2023"/>
    <s v=" December "/>
    <x v="5"/>
    <x v="1"/>
    <s v="Luzon"/>
    <n v="563.66999999999996"/>
  </r>
  <r>
    <n v="202301"/>
    <x v="36"/>
    <n v="2023"/>
    <s v=" January "/>
    <x v="6"/>
    <x v="1"/>
    <s v="Luzon"/>
    <n v="50.31"/>
  </r>
  <r>
    <n v="202302"/>
    <x v="37"/>
    <n v="2023"/>
    <s v=" February "/>
    <x v="6"/>
    <x v="1"/>
    <s v="Luzon"/>
    <n v="27.61"/>
  </r>
  <r>
    <n v="202303"/>
    <x v="38"/>
    <n v="2023"/>
    <s v=" March "/>
    <x v="6"/>
    <x v="1"/>
    <s v="Luzon"/>
    <n v="38.130000000000003"/>
  </r>
  <r>
    <n v="202304"/>
    <x v="39"/>
    <n v="2023"/>
    <s v=" April "/>
    <x v="6"/>
    <x v="1"/>
    <s v="Luzon"/>
    <n v="66.3"/>
  </r>
  <r>
    <n v="202305"/>
    <x v="40"/>
    <n v="2023"/>
    <s v=" May "/>
    <x v="6"/>
    <x v="1"/>
    <s v="Luzon"/>
    <n v="87.89"/>
  </r>
  <r>
    <n v="202306"/>
    <x v="41"/>
    <n v="2023"/>
    <s v=" June "/>
    <x v="6"/>
    <x v="1"/>
    <s v="Luzon"/>
    <n v="56.14"/>
  </r>
  <r>
    <n v="202307"/>
    <x v="42"/>
    <n v="2023"/>
    <s v=" July "/>
    <x v="6"/>
    <x v="1"/>
    <s v="Luzon"/>
    <n v="64.98"/>
  </r>
  <r>
    <n v="202308"/>
    <x v="43"/>
    <n v="2023"/>
    <s v=" August "/>
    <x v="6"/>
    <x v="1"/>
    <s v="Luzon"/>
    <n v="22.55"/>
  </r>
  <r>
    <n v="202309"/>
    <x v="44"/>
    <n v="2023"/>
    <s v=" September "/>
    <x v="6"/>
    <x v="1"/>
    <s v="Luzon"/>
    <n v="62.2"/>
  </r>
  <r>
    <n v="202310"/>
    <x v="45"/>
    <n v="2023"/>
    <s v=" October "/>
    <x v="6"/>
    <x v="1"/>
    <s v="Luzon"/>
    <n v="65.91"/>
  </r>
  <r>
    <n v="202311"/>
    <x v="46"/>
    <n v="2023"/>
    <s v=" November "/>
    <x v="6"/>
    <x v="1"/>
    <s v="Luzon"/>
    <n v="42.09"/>
  </r>
  <r>
    <n v="202312"/>
    <x v="47"/>
    <n v="2023"/>
    <s v=" December "/>
    <x v="6"/>
    <x v="1"/>
    <s v="Luzon"/>
    <n v="51.33"/>
  </r>
  <r>
    <n v="202301"/>
    <x v="36"/>
    <n v="2023"/>
    <s v=" January "/>
    <x v="6"/>
    <x v="1"/>
    <s v="Luzon"/>
    <n v="91.72"/>
  </r>
  <r>
    <n v="202302"/>
    <x v="37"/>
    <n v="2023"/>
    <s v=" February "/>
    <x v="6"/>
    <x v="1"/>
    <s v="Luzon"/>
    <n v="68.67"/>
  </r>
  <r>
    <n v="202303"/>
    <x v="38"/>
    <n v="2023"/>
    <s v=" March "/>
    <x v="6"/>
    <x v="1"/>
    <s v="Luzon"/>
    <n v="70.45"/>
  </r>
  <r>
    <n v="202304"/>
    <x v="39"/>
    <n v="2023"/>
    <s v=" April "/>
    <x v="6"/>
    <x v="1"/>
    <s v="Luzon"/>
    <n v="113.99"/>
  </r>
  <r>
    <n v="202305"/>
    <x v="40"/>
    <n v="2023"/>
    <s v=" May "/>
    <x v="6"/>
    <x v="1"/>
    <s v="Luzon"/>
    <n v="91.41"/>
  </r>
  <r>
    <n v="202306"/>
    <x v="41"/>
    <n v="2023"/>
    <s v=" June "/>
    <x v="6"/>
    <x v="1"/>
    <s v="Luzon"/>
    <n v="63.44"/>
  </r>
  <r>
    <n v="202307"/>
    <x v="42"/>
    <n v="2023"/>
    <s v=" July "/>
    <x v="6"/>
    <x v="1"/>
    <s v="Luzon"/>
    <n v="89.31"/>
  </r>
  <r>
    <n v="202308"/>
    <x v="43"/>
    <n v="2023"/>
    <s v=" August "/>
    <x v="6"/>
    <x v="1"/>
    <s v="Luzon"/>
    <n v="78.55"/>
  </r>
  <r>
    <n v="202309"/>
    <x v="44"/>
    <n v="2023"/>
    <s v=" September "/>
    <x v="6"/>
    <x v="1"/>
    <s v="Luzon"/>
    <n v="69.34"/>
  </r>
  <r>
    <n v="202310"/>
    <x v="45"/>
    <n v="2023"/>
    <s v=" October "/>
    <x v="6"/>
    <x v="1"/>
    <s v="Luzon"/>
    <n v="106.4"/>
  </r>
  <r>
    <n v="202311"/>
    <x v="46"/>
    <n v="2023"/>
    <s v=" November "/>
    <x v="6"/>
    <x v="1"/>
    <s v="Luzon"/>
    <n v="81.09"/>
  </r>
  <r>
    <n v="202312"/>
    <x v="47"/>
    <n v="2023"/>
    <s v=" December "/>
    <x v="6"/>
    <x v="1"/>
    <s v="Luzon"/>
    <n v="82.16"/>
  </r>
  <r>
    <n v="202301"/>
    <x v="36"/>
    <n v="2023"/>
    <s v=" January "/>
    <x v="6"/>
    <x v="1"/>
    <s v="Luzon"/>
    <n v="228.21"/>
  </r>
  <r>
    <n v="202302"/>
    <x v="37"/>
    <n v="2023"/>
    <s v=" February "/>
    <x v="6"/>
    <x v="1"/>
    <s v="Luzon"/>
    <n v="112.3"/>
  </r>
  <r>
    <n v="202303"/>
    <x v="38"/>
    <n v="2023"/>
    <s v=" March "/>
    <x v="6"/>
    <x v="1"/>
    <s v="Luzon"/>
    <n v="173.66"/>
  </r>
  <r>
    <n v="202304"/>
    <x v="39"/>
    <n v="2023"/>
    <s v=" April "/>
    <x v="6"/>
    <x v="1"/>
    <s v="Luzon"/>
    <n v="326.01"/>
  </r>
  <r>
    <n v="202305"/>
    <x v="40"/>
    <n v="2023"/>
    <s v=" May "/>
    <x v="6"/>
    <x v="1"/>
    <s v="Luzon"/>
    <n v="252.08"/>
  </r>
  <r>
    <n v="202306"/>
    <x v="41"/>
    <n v="2023"/>
    <s v=" June "/>
    <x v="6"/>
    <x v="1"/>
    <s v="Luzon"/>
    <n v="186.2"/>
  </r>
  <r>
    <n v="202307"/>
    <x v="42"/>
    <n v="2023"/>
    <s v=" July "/>
    <x v="6"/>
    <x v="1"/>
    <s v="Luzon"/>
    <n v="257.25"/>
  </r>
  <r>
    <n v="202308"/>
    <x v="43"/>
    <n v="2023"/>
    <s v=" August "/>
    <x v="6"/>
    <x v="1"/>
    <s v="Luzon"/>
    <n v="182.92"/>
  </r>
  <r>
    <n v="202309"/>
    <x v="44"/>
    <n v="2023"/>
    <s v=" September "/>
    <x v="6"/>
    <x v="1"/>
    <s v="Luzon"/>
    <n v="182.33"/>
  </r>
  <r>
    <n v="202310"/>
    <x v="45"/>
    <n v="2023"/>
    <s v=" October "/>
    <x v="6"/>
    <x v="1"/>
    <s v="Luzon"/>
    <n v="237.43"/>
  </r>
  <r>
    <n v="202311"/>
    <x v="46"/>
    <n v="2023"/>
    <s v=" November "/>
    <x v="6"/>
    <x v="1"/>
    <s v="Luzon"/>
    <n v="187"/>
  </r>
  <r>
    <n v="202312"/>
    <x v="47"/>
    <n v="2023"/>
    <s v=" December "/>
    <x v="6"/>
    <x v="1"/>
    <s v="Luzon"/>
    <n v="171.75"/>
  </r>
  <r>
    <n v="202301"/>
    <x v="36"/>
    <n v="2023"/>
    <s v=" January "/>
    <x v="6"/>
    <x v="1"/>
    <s v="Luzon"/>
    <n v="426.52"/>
  </r>
  <r>
    <n v="202302"/>
    <x v="37"/>
    <n v="2023"/>
    <s v=" February "/>
    <x v="6"/>
    <x v="1"/>
    <s v="Luzon"/>
    <n v="193.1"/>
  </r>
  <r>
    <n v="202303"/>
    <x v="38"/>
    <n v="2023"/>
    <s v=" March "/>
    <x v="6"/>
    <x v="1"/>
    <s v="Luzon"/>
    <n v="272.67"/>
  </r>
  <r>
    <n v="202304"/>
    <x v="39"/>
    <n v="2023"/>
    <s v=" April "/>
    <x v="6"/>
    <x v="1"/>
    <s v="Luzon"/>
    <n v="499.85"/>
  </r>
  <r>
    <n v="202305"/>
    <x v="40"/>
    <n v="2023"/>
    <s v=" May "/>
    <x v="6"/>
    <x v="1"/>
    <s v="Luzon"/>
    <n v="312.24"/>
  </r>
  <r>
    <n v="202306"/>
    <x v="41"/>
    <n v="2023"/>
    <s v=" June "/>
    <x v="6"/>
    <x v="1"/>
    <s v="Luzon"/>
    <n v="275.99"/>
  </r>
  <r>
    <n v="202307"/>
    <x v="42"/>
    <n v="2023"/>
    <s v=" July "/>
    <x v="6"/>
    <x v="1"/>
    <s v="Luzon"/>
    <n v="366.68"/>
  </r>
  <r>
    <n v="202308"/>
    <x v="43"/>
    <n v="2023"/>
    <s v=" August "/>
    <x v="6"/>
    <x v="1"/>
    <s v="Luzon"/>
    <n v="333.31"/>
  </r>
  <r>
    <n v="202309"/>
    <x v="44"/>
    <n v="2023"/>
    <s v=" September "/>
    <x v="6"/>
    <x v="1"/>
    <s v="Luzon"/>
    <n v="257.36"/>
  </r>
  <r>
    <n v="202310"/>
    <x v="45"/>
    <n v="2023"/>
    <s v=" October "/>
    <x v="6"/>
    <x v="1"/>
    <s v="Luzon"/>
    <n v="408.74"/>
  </r>
  <r>
    <n v="202311"/>
    <x v="46"/>
    <n v="2023"/>
    <s v=" November "/>
    <x v="6"/>
    <x v="1"/>
    <s v="Luzon"/>
    <n v="286.99"/>
  </r>
  <r>
    <n v="202312"/>
    <x v="47"/>
    <n v="2023"/>
    <s v=" December "/>
    <x v="6"/>
    <x v="1"/>
    <s v="Luzon"/>
    <n v="341.34"/>
  </r>
  <r>
    <n v="202301"/>
    <x v="36"/>
    <n v="2023"/>
    <s v=" January "/>
    <x v="6"/>
    <x v="1"/>
    <s v="Luzon"/>
    <n v="160.47999999999999"/>
  </r>
  <r>
    <n v="202302"/>
    <x v="37"/>
    <n v="2023"/>
    <s v=" February "/>
    <x v="6"/>
    <x v="1"/>
    <s v="Luzon"/>
    <n v="32.03"/>
  </r>
  <r>
    <n v="202303"/>
    <x v="38"/>
    <n v="2023"/>
    <s v=" March "/>
    <x v="6"/>
    <x v="1"/>
    <s v="Luzon"/>
    <n v="40.46"/>
  </r>
  <r>
    <n v="202304"/>
    <x v="39"/>
    <n v="2023"/>
    <s v=" April "/>
    <x v="6"/>
    <x v="1"/>
    <s v="Luzon"/>
    <n v="77.23"/>
  </r>
  <r>
    <n v="202305"/>
    <x v="40"/>
    <n v="2023"/>
    <s v=" May "/>
    <x v="6"/>
    <x v="1"/>
    <s v="Luzon"/>
    <n v="59.35"/>
  </r>
  <r>
    <n v="202306"/>
    <x v="41"/>
    <n v="2023"/>
    <s v=" June "/>
    <x v="6"/>
    <x v="1"/>
    <s v="Luzon"/>
    <n v="139.96"/>
  </r>
  <r>
    <n v="202307"/>
    <x v="42"/>
    <n v="2023"/>
    <s v=" July "/>
    <x v="6"/>
    <x v="1"/>
    <s v="Luzon"/>
    <n v="162.91999999999999"/>
  </r>
  <r>
    <n v="202308"/>
    <x v="43"/>
    <n v="2023"/>
    <s v=" August "/>
    <x v="6"/>
    <x v="1"/>
    <s v="Luzon"/>
    <n v="43.84"/>
  </r>
  <r>
    <n v="202309"/>
    <x v="44"/>
    <n v="2023"/>
    <s v=" September "/>
    <x v="6"/>
    <x v="1"/>
    <s v="Luzon"/>
    <n v="41.15"/>
  </r>
  <r>
    <n v="202310"/>
    <x v="45"/>
    <n v="2023"/>
    <s v=" October "/>
    <x v="6"/>
    <x v="1"/>
    <s v="Luzon"/>
    <n v="145.53"/>
  </r>
  <r>
    <n v="202311"/>
    <x v="46"/>
    <n v="2023"/>
    <s v=" November "/>
    <x v="6"/>
    <x v="1"/>
    <s v="Luzon"/>
    <n v="38.049999999999997"/>
  </r>
  <r>
    <n v="202312"/>
    <x v="47"/>
    <n v="2023"/>
    <s v=" December "/>
    <x v="6"/>
    <x v="1"/>
    <s v="Luzon"/>
    <n v="39.07"/>
  </r>
  <r>
    <n v="202301"/>
    <x v="36"/>
    <n v="2023"/>
    <s v=" January "/>
    <x v="7"/>
    <x v="1"/>
    <s v="Luzon"/>
    <n v="509.6"/>
  </r>
  <r>
    <n v="202302"/>
    <x v="37"/>
    <n v="2023"/>
    <s v=" February "/>
    <x v="7"/>
    <x v="1"/>
    <s v="Luzon"/>
    <n v="350.32"/>
  </r>
  <r>
    <n v="202303"/>
    <x v="38"/>
    <n v="2023"/>
    <s v=" March "/>
    <x v="7"/>
    <x v="1"/>
    <s v="Luzon"/>
    <n v="358.79"/>
  </r>
  <r>
    <n v="202304"/>
    <x v="39"/>
    <n v="2023"/>
    <s v=" April "/>
    <x v="7"/>
    <x v="1"/>
    <s v="Luzon"/>
    <n v="569.85"/>
  </r>
  <r>
    <n v="202305"/>
    <x v="40"/>
    <n v="2023"/>
    <s v=" May "/>
    <x v="7"/>
    <x v="1"/>
    <s v="Luzon"/>
    <n v="418.74"/>
  </r>
  <r>
    <n v="202306"/>
    <x v="41"/>
    <n v="2023"/>
    <s v=" June "/>
    <x v="7"/>
    <x v="1"/>
    <s v="Luzon"/>
    <n v="576.45000000000005"/>
  </r>
  <r>
    <n v="202307"/>
    <x v="42"/>
    <n v="2023"/>
    <s v=" July "/>
    <x v="7"/>
    <x v="1"/>
    <s v="Luzon"/>
    <n v="657.04"/>
  </r>
  <r>
    <n v="202308"/>
    <x v="43"/>
    <n v="2023"/>
    <s v=" August "/>
    <x v="7"/>
    <x v="1"/>
    <s v="Luzon"/>
    <n v="455.1"/>
  </r>
  <r>
    <n v="202309"/>
    <x v="44"/>
    <n v="2023"/>
    <s v=" September "/>
    <x v="7"/>
    <x v="1"/>
    <s v="Luzon"/>
    <n v="585.29999999999995"/>
  </r>
  <r>
    <n v="202310"/>
    <x v="45"/>
    <n v="2023"/>
    <s v=" October "/>
    <x v="7"/>
    <x v="1"/>
    <s v="Luzon"/>
    <n v="584.05999999999995"/>
  </r>
  <r>
    <n v="202311"/>
    <x v="46"/>
    <n v="2023"/>
    <s v=" November "/>
    <x v="7"/>
    <x v="1"/>
    <s v="Luzon"/>
    <n v="395.99"/>
  </r>
  <r>
    <n v="202312"/>
    <x v="47"/>
    <n v="2023"/>
    <s v=" December "/>
    <x v="7"/>
    <x v="1"/>
    <s v="Luzon"/>
    <n v="759.63"/>
  </r>
  <r>
    <n v="202301"/>
    <x v="36"/>
    <n v="2023"/>
    <s v=" January "/>
    <x v="7"/>
    <x v="1"/>
    <s v="Luzon"/>
    <n v="107.15"/>
  </r>
  <r>
    <n v="202302"/>
    <x v="37"/>
    <n v="2023"/>
    <s v=" February "/>
    <x v="7"/>
    <x v="1"/>
    <s v="Luzon"/>
    <n v="70.3"/>
  </r>
  <r>
    <n v="202303"/>
    <x v="38"/>
    <n v="2023"/>
    <s v=" March "/>
    <x v="7"/>
    <x v="1"/>
    <s v="Luzon"/>
    <n v="92.99"/>
  </r>
  <r>
    <n v="202304"/>
    <x v="39"/>
    <n v="2023"/>
    <s v=" April "/>
    <x v="7"/>
    <x v="1"/>
    <s v="Luzon"/>
    <n v="138.52000000000001"/>
  </r>
  <r>
    <n v="202305"/>
    <x v="40"/>
    <n v="2023"/>
    <s v=" May "/>
    <x v="7"/>
    <x v="1"/>
    <s v="Luzon"/>
    <n v="95.65"/>
  </r>
  <r>
    <n v="202306"/>
    <x v="41"/>
    <n v="2023"/>
    <s v=" June "/>
    <x v="7"/>
    <x v="1"/>
    <s v="Luzon"/>
    <n v="90.68"/>
  </r>
  <r>
    <n v="202307"/>
    <x v="42"/>
    <n v="2023"/>
    <s v=" July "/>
    <x v="7"/>
    <x v="1"/>
    <s v="Luzon"/>
    <n v="110.61"/>
  </r>
  <r>
    <n v="202308"/>
    <x v="43"/>
    <n v="2023"/>
    <s v=" August "/>
    <x v="7"/>
    <x v="1"/>
    <s v="Luzon"/>
    <n v="124.43"/>
  </r>
  <r>
    <n v="202309"/>
    <x v="44"/>
    <n v="2023"/>
    <s v=" September "/>
    <x v="7"/>
    <x v="1"/>
    <s v="Luzon"/>
    <n v="95.68"/>
  </r>
  <r>
    <n v="202310"/>
    <x v="45"/>
    <n v="2023"/>
    <s v=" October "/>
    <x v="7"/>
    <x v="1"/>
    <s v="Luzon"/>
    <n v="140.15"/>
  </r>
  <r>
    <n v="202311"/>
    <x v="46"/>
    <n v="2023"/>
    <s v=" November "/>
    <x v="7"/>
    <x v="1"/>
    <s v="Luzon"/>
    <n v="87.69"/>
  </r>
  <r>
    <n v="202312"/>
    <x v="47"/>
    <n v="2023"/>
    <s v=" December "/>
    <x v="7"/>
    <x v="1"/>
    <s v="Luzon"/>
    <n v="165.84"/>
  </r>
  <r>
    <n v="202301"/>
    <x v="36"/>
    <n v="2023"/>
    <s v=" January "/>
    <x v="7"/>
    <x v="1"/>
    <s v="Luzon"/>
    <n v="606.91999999999996"/>
  </r>
  <r>
    <n v="202302"/>
    <x v="37"/>
    <n v="2023"/>
    <s v=" February "/>
    <x v="7"/>
    <x v="1"/>
    <s v="Luzon"/>
    <n v="252.53"/>
  </r>
  <r>
    <n v="202303"/>
    <x v="38"/>
    <n v="2023"/>
    <s v=" March "/>
    <x v="7"/>
    <x v="1"/>
    <s v="Luzon"/>
    <n v="400.64"/>
  </r>
  <r>
    <n v="202304"/>
    <x v="39"/>
    <n v="2023"/>
    <s v=" April "/>
    <x v="7"/>
    <x v="1"/>
    <s v="Luzon"/>
    <n v="579.69000000000005"/>
  </r>
  <r>
    <n v="202305"/>
    <x v="40"/>
    <n v="2023"/>
    <s v=" May "/>
    <x v="7"/>
    <x v="1"/>
    <s v="Luzon"/>
    <n v="424.87"/>
  </r>
  <r>
    <n v="202306"/>
    <x v="41"/>
    <n v="2023"/>
    <s v=" June "/>
    <x v="7"/>
    <x v="1"/>
    <s v="Luzon"/>
    <n v="406.45"/>
  </r>
  <r>
    <n v="202307"/>
    <x v="42"/>
    <n v="2023"/>
    <s v=" July "/>
    <x v="7"/>
    <x v="1"/>
    <s v="Luzon"/>
    <n v="649.41999999999996"/>
  </r>
  <r>
    <n v="202308"/>
    <x v="43"/>
    <n v="2023"/>
    <s v=" August "/>
    <x v="7"/>
    <x v="1"/>
    <s v="Luzon"/>
    <n v="399.95"/>
  </r>
  <r>
    <n v="202309"/>
    <x v="44"/>
    <n v="2023"/>
    <s v=" September "/>
    <x v="7"/>
    <x v="1"/>
    <s v="Luzon"/>
    <n v="390.1"/>
  </r>
  <r>
    <n v="202310"/>
    <x v="45"/>
    <n v="2023"/>
    <s v=" October "/>
    <x v="7"/>
    <x v="1"/>
    <s v="Luzon"/>
    <n v="619.75"/>
  </r>
  <r>
    <n v="202311"/>
    <x v="46"/>
    <n v="2023"/>
    <s v=" November "/>
    <x v="7"/>
    <x v="1"/>
    <s v="Luzon"/>
    <n v="471.41"/>
  </r>
  <r>
    <n v="202312"/>
    <x v="47"/>
    <n v="2023"/>
    <s v=" December "/>
    <x v="7"/>
    <x v="1"/>
    <s v="Luzon"/>
    <n v="441.68"/>
  </r>
  <r>
    <n v="202301"/>
    <x v="36"/>
    <n v="2023"/>
    <s v=" January "/>
    <x v="7"/>
    <x v="1"/>
    <s v="Luzon"/>
    <n v="105.32"/>
  </r>
  <r>
    <n v="202302"/>
    <x v="37"/>
    <n v="2023"/>
    <s v=" February "/>
    <x v="7"/>
    <x v="1"/>
    <s v="Luzon"/>
    <n v="46.17"/>
  </r>
  <r>
    <n v="202303"/>
    <x v="38"/>
    <n v="2023"/>
    <s v=" March "/>
    <x v="7"/>
    <x v="1"/>
    <s v="Luzon"/>
    <n v="58.6"/>
  </r>
  <r>
    <n v="202304"/>
    <x v="39"/>
    <n v="2023"/>
    <s v=" April "/>
    <x v="7"/>
    <x v="1"/>
    <s v="Luzon"/>
    <n v="82.41"/>
  </r>
  <r>
    <n v="202305"/>
    <x v="40"/>
    <n v="2023"/>
    <s v=" May "/>
    <x v="7"/>
    <x v="1"/>
    <s v="Luzon"/>
    <n v="69.73"/>
  </r>
  <r>
    <n v="202306"/>
    <x v="41"/>
    <n v="2023"/>
    <s v=" June "/>
    <x v="7"/>
    <x v="1"/>
    <s v="Luzon"/>
    <n v="53.56"/>
  </r>
  <r>
    <n v="202307"/>
    <x v="42"/>
    <n v="2023"/>
    <s v=" July "/>
    <x v="7"/>
    <x v="1"/>
    <s v="Luzon"/>
    <n v="86.79"/>
  </r>
  <r>
    <n v="202308"/>
    <x v="43"/>
    <n v="2023"/>
    <s v=" August "/>
    <x v="7"/>
    <x v="1"/>
    <s v="Luzon"/>
    <n v="60.83"/>
  </r>
  <r>
    <n v="202309"/>
    <x v="44"/>
    <n v="2023"/>
    <s v=" September "/>
    <x v="7"/>
    <x v="1"/>
    <s v="Luzon"/>
    <n v="60.5"/>
  </r>
  <r>
    <n v="202310"/>
    <x v="45"/>
    <n v="2023"/>
    <s v=" October "/>
    <x v="7"/>
    <x v="1"/>
    <s v="Luzon"/>
    <n v="85.43"/>
  </r>
  <r>
    <n v="202311"/>
    <x v="46"/>
    <n v="2023"/>
    <s v=" November "/>
    <x v="7"/>
    <x v="1"/>
    <s v="Luzon"/>
    <n v="66.97"/>
  </r>
  <r>
    <n v="202312"/>
    <x v="47"/>
    <n v="2023"/>
    <s v=" December "/>
    <x v="7"/>
    <x v="1"/>
    <s v="Luzon"/>
    <n v="65.349999999999994"/>
  </r>
  <r>
    <n v="202301"/>
    <x v="36"/>
    <n v="2023"/>
    <s v=" January "/>
    <x v="7"/>
    <x v="1"/>
    <s v="Luzon"/>
    <n v="184.58"/>
  </r>
  <r>
    <n v="202302"/>
    <x v="37"/>
    <n v="2023"/>
    <s v=" February "/>
    <x v="7"/>
    <x v="1"/>
    <s v="Luzon"/>
    <n v="62.34"/>
  </r>
  <r>
    <n v="202303"/>
    <x v="38"/>
    <n v="2023"/>
    <s v=" March "/>
    <x v="7"/>
    <x v="1"/>
    <s v="Luzon"/>
    <n v="67.849999999999994"/>
  </r>
  <r>
    <n v="202304"/>
    <x v="39"/>
    <n v="2023"/>
    <s v=" April "/>
    <x v="7"/>
    <x v="1"/>
    <s v="Luzon"/>
    <n v="115.95"/>
  </r>
  <r>
    <n v="202305"/>
    <x v="40"/>
    <n v="2023"/>
    <s v=" May "/>
    <x v="7"/>
    <x v="1"/>
    <s v="Luzon"/>
    <n v="107.79"/>
  </r>
  <r>
    <n v="202306"/>
    <x v="41"/>
    <n v="2023"/>
    <s v=" June "/>
    <x v="7"/>
    <x v="1"/>
    <s v="Luzon"/>
    <n v="111.95"/>
  </r>
  <r>
    <n v="202307"/>
    <x v="42"/>
    <n v="2023"/>
    <s v=" July "/>
    <x v="7"/>
    <x v="1"/>
    <s v="Luzon"/>
    <n v="142.38"/>
  </r>
  <r>
    <n v="202308"/>
    <x v="43"/>
    <n v="2023"/>
    <s v=" August "/>
    <x v="7"/>
    <x v="1"/>
    <s v="Luzon"/>
    <n v="85.94"/>
  </r>
  <r>
    <n v="202309"/>
    <x v="44"/>
    <n v="2023"/>
    <s v=" September "/>
    <x v="7"/>
    <x v="1"/>
    <s v="Luzon"/>
    <n v="106.13"/>
  </r>
  <r>
    <n v="202310"/>
    <x v="45"/>
    <n v="2023"/>
    <s v=" October "/>
    <x v="7"/>
    <x v="1"/>
    <s v="Luzon"/>
    <n v="172.05"/>
  </r>
  <r>
    <n v="202311"/>
    <x v="46"/>
    <n v="2023"/>
    <s v=" November "/>
    <x v="7"/>
    <x v="1"/>
    <s v="Luzon"/>
    <n v="139.24"/>
  </r>
  <r>
    <n v="202312"/>
    <x v="47"/>
    <n v="2023"/>
    <s v=" December "/>
    <x v="7"/>
    <x v="1"/>
    <s v="Luzon"/>
    <n v="95.71"/>
  </r>
  <r>
    <n v="202301"/>
    <x v="36"/>
    <n v="2023"/>
    <s v=" January "/>
    <x v="7"/>
    <x v="1"/>
    <s v="Luzon"/>
    <n v="158.63"/>
  </r>
  <r>
    <n v="202302"/>
    <x v="37"/>
    <n v="2023"/>
    <s v=" February "/>
    <x v="7"/>
    <x v="1"/>
    <s v="Luzon"/>
    <n v="103.99"/>
  </r>
  <r>
    <n v="202303"/>
    <x v="38"/>
    <n v="2023"/>
    <s v=" March "/>
    <x v="7"/>
    <x v="1"/>
    <s v="Luzon"/>
    <n v="105.22"/>
  </r>
  <r>
    <n v="202304"/>
    <x v="39"/>
    <n v="2023"/>
    <s v=" April "/>
    <x v="7"/>
    <x v="1"/>
    <s v="Luzon"/>
    <n v="193.18"/>
  </r>
  <r>
    <n v="202305"/>
    <x v="40"/>
    <n v="2023"/>
    <s v=" May "/>
    <x v="7"/>
    <x v="1"/>
    <s v="Luzon"/>
    <n v="159.16"/>
  </r>
  <r>
    <n v="202306"/>
    <x v="41"/>
    <n v="2023"/>
    <s v=" June "/>
    <x v="7"/>
    <x v="1"/>
    <s v="Luzon"/>
    <n v="151.22999999999999"/>
  </r>
  <r>
    <n v="202307"/>
    <x v="42"/>
    <n v="2023"/>
    <s v=" July "/>
    <x v="7"/>
    <x v="1"/>
    <s v="Luzon"/>
    <n v="172.39"/>
  </r>
  <r>
    <n v="202308"/>
    <x v="43"/>
    <n v="2023"/>
    <s v=" August "/>
    <x v="7"/>
    <x v="1"/>
    <s v="Luzon"/>
    <n v="161.04"/>
  </r>
  <r>
    <n v="202309"/>
    <x v="44"/>
    <n v="2023"/>
    <s v=" September "/>
    <x v="7"/>
    <x v="1"/>
    <s v="Luzon"/>
    <n v="174.42"/>
  </r>
  <r>
    <n v="202310"/>
    <x v="45"/>
    <n v="2023"/>
    <s v=" October "/>
    <x v="7"/>
    <x v="1"/>
    <s v="Luzon"/>
    <n v="214.62"/>
  </r>
  <r>
    <n v="202311"/>
    <x v="46"/>
    <n v="2023"/>
    <s v=" November "/>
    <x v="7"/>
    <x v="1"/>
    <s v="Luzon"/>
    <n v="146.91999999999999"/>
  </r>
  <r>
    <n v="202312"/>
    <x v="47"/>
    <n v="2023"/>
    <s v=" December "/>
    <x v="7"/>
    <x v="1"/>
    <s v="Luzon"/>
    <n v="247.28"/>
  </r>
  <r>
    <n v="202301"/>
    <x v="36"/>
    <n v="2023"/>
    <s v=" January "/>
    <x v="8"/>
    <x v="1"/>
    <s v="Visayas"/>
    <n v="275.77"/>
  </r>
  <r>
    <n v="202302"/>
    <x v="37"/>
    <n v="2023"/>
    <s v=" February "/>
    <x v="8"/>
    <x v="1"/>
    <s v="Visayas"/>
    <n v="174.21"/>
  </r>
  <r>
    <n v="202303"/>
    <x v="38"/>
    <n v="2023"/>
    <s v=" March "/>
    <x v="8"/>
    <x v="1"/>
    <s v="Visayas"/>
    <n v="140.96"/>
  </r>
  <r>
    <n v="202304"/>
    <x v="39"/>
    <n v="2023"/>
    <s v=" April "/>
    <x v="8"/>
    <x v="1"/>
    <s v="Visayas"/>
    <n v="285.05"/>
  </r>
  <r>
    <n v="202305"/>
    <x v="40"/>
    <n v="2023"/>
    <s v=" May "/>
    <x v="8"/>
    <x v="1"/>
    <s v="Visayas"/>
    <n v="191.41"/>
  </r>
  <r>
    <n v="202306"/>
    <x v="41"/>
    <n v="2023"/>
    <s v=" June "/>
    <x v="8"/>
    <x v="1"/>
    <s v="Visayas"/>
    <n v="183.62"/>
  </r>
  <r>
    <n v="202307"/>
    <x v="42"/>
    <n v="2023"/>
    <s v=" July "/>
    <x v="8"/>
    <x v="1"/>
    <s v="Visayas"/>
    <n v="277.22000000000003"/>
  </r>
  <r>
    <n v="202308"/>
    <x v="43"/>
    <n v="2023"/>
    <s v=" August "/>
    <x v="8"/>
    <x v="1"/>
    <s v="Visayas"/>
    <n v="187.08"/>
  </r>
  <r>
    <n v="202309"/>
    <x v="44"/>
    <n v="2023"/>
    <s v=" September "/>
    <x v="8"/>
    <x v="1"/>
    <s v="Visayas"/>
    <n v="171.95"/>
  </r>
  <r>
    <n v="202310"/>
    <x v="45"/>
    <n v="2023"/>
    <s v=" October "/>
    <x v="8"/>
    <x v="1"/>
    <s v="Visayas"/>
    <n v="284.97000000000003"/>
  </r>
  <r>
    <n v="202311"/>
    <x v="46"/>
    <n v="2023"/>
    <s v=" November "/>
    <x v="8"/>
    <x v="1"/>
    <s v="Visayas"/>
    <n v="155.54"/>
  </r>
  <r>
    <n v="202312"/>
    <x v="47"/>
    <n v="2023"/>
    <s v=" December "/>
    <x v="8"/>
    <x v="1"/>
    <s v="Visayas"/>
    <n v="168.76"/>
  </r>
  <r>
    <n v="202301"/>
    <x v="36"/>
    <n v="2023"/>
    <s v=" January "/>
    <x v="8"/>
    <x v="1"/>
    <s v="Visayas"/>
    <n v="102.05"/>
  </r>
  <r>
    <n v="202302"/>
    <x v="37"/>
    <n v="2023"/>
    <s v=" February "/>
    <x v="8"/>
    <x v="1"/>
    <s v="Visayas"/>
    <n v="43.22"/>
  </r>
  <r>
    <n v="202303"/>
    <x v="38"/>
    <n v="2023"/>
    <s v=" March "/>
    <x v="8"/>
    <x v="1"/>
    <s v="Visayas"/>
    <n v="69.569999999999993"/>
  </r>
  <r>
    <n v="202304"/>
    <x v="39"/>
    <n v="2023"/>
    <s v=" April "/>
    <x v="8"/>
    <x v="1"/>
    <s v="Visayas"/>
    <n v="92.03"/>
  </r>
  <r>
    <n v="202305"/>
    <x v="40"/>
    <n v="2023"/>
    <s v=" May "/>
    <x v="8"/>
    <x v="1"/>
    <s v="Visayas"/>
    <n v="89.6"/>
  </r>
  <r>
    <n v="202306"/>
    <x v="41"/>
    <n v="2023"/>
    <s v=" June "/>
    <x v="8"/>
    <x v="1"/>
    <s v="Visayas"/>
    <n v="97.93"/>
  </r>
  <r>
    <n v="202307"/>
    <x v="42"/>
    <n v="2023"/>
    <s v=" July "/>
    <x v="8"/>
    <x v="1"/>
    <s v="Visayas"/>
    <n v="75.709999999999994"/>
  </r>
  <r>
    <n v="202308"/>
    <x v="43"/>
    <n v="2023"/>
    <s v=" August "/>
    <x v="8"/>
    <x v="1"/>
    <s v="Visayas"/>
    <n v="105.66"/>
  </r>
  <r>
    <n v="202309"/>
    <x v="44"/>
    <n v="2023"/>
    <s v=" September "/>
    <x v="8"/>
    <x v="1"/>
    <s v="Visayas"/>
    <n v="86.31"/>
  </r>
  <r>
    <n v="202310"/>
    <x v="45"/>
    <n v="2023"/>
    <s v=" October "/>
    <x v="8"/>
    <x v="1"/>
    <s v="Visayas"/>
    <n v="95.49"/>
  </r>
  <r>
    <n v="202311"/>
    <x v="46"/>
    <n v="2023"/>
    <s v=" November "/>
    <x v="8"/>
    <x v="1"/>
    <s v="Visayas"/>
    <n v="79.45"/>
  </r>
  <r>
    <n v="202312"/>
    <x v="47"/>
    <n v="2023"/>
    <s v=" December "/>
    <x v="8"/>
    <x v="1"/>
    <s v="Visayas"/>
    <n v="119.35"/>
  </r>
  <r>
    <n v="202301"/>
    <x v="36"/>
    <n v="2023"/>
    <s v=" January "/>
    <x v="8"/>
    <x v="1"/>
    <s v="Visayas"/>
    <n v="176.13"/>
  </r>
  <r>
    <n v="202302"/>
    <x v="37"/>
    <n v="2023"/>
    <s v=" February "/>
    <x v="8"/>
    <x v="1"/>
    <s v="Visayas"/>
    <n v="93.73"/>
  </r>
  <r>
    <n v="202303"/>
    <x v="38"/>
    <n v="2023"/>
    <s v=" March "/>
    <x v="8"/>
    <x v="1"/>
    <s v="Visayas"/>
    <n v="109.91"/>
  </r>
  <r>
    <n v="202304"/>
    <x v="39"/>
    <n v="2023"/>
    <s v=" April "/>
    <x v="8"/>
    <x v="1"/>
    <s v="Visayas"/>
    <n v="172.32"/>
  </r>
  <r>
    <n v="202305"/>
    <x v="40"/>
    <n v="2023"/>
    <s v=" May "/>
    <x v="8"/>
    <x v="1"/>
    <s v="Visayas"/>
    <n v="134.11000000000001"/>
  </r>
  <r>
    <n v="202306"/>
    <x v="41"/>
    <n v="2023"/>
    <s v=" June "/>
    <x v="8"/>
    <x v="1"/>
    <s v="Visayas"/>
    <n v="122.87"/>
  </r>
  <r>
    <n v="202307"/>
    <x v="42"/>
    <n v="2023"/>
    <s v=" July "/>
    <x v="8"/>
    <x v="1"/>
    <s v="Visayas"/>
    <n v="159.88999999999999"/>
  </r>
  <r>
    <n v="202308"/>
    <x v="43"/>
    <n v="2023"/>
    <s v=" August "/>
    <x v="8"/>
    <x v="1"/>
    <s v="Visayas"/>
    <n v="118.67"/>
  </r>
  <r>
    <n v="202309"/>
    <x v="44"/>
    <n v="2023"/>
    <s v=" September "/>
    <x v="8"/>
    <x v="1"/>
    <s v="Visayas"/>
    <n v="123.72"/>
  </r>
  <r>
    <n v="202310"/>
    <x v="45"/>
    <n v="2023"/>
    <s v=" October "/>
    <x v="8"/>
    <x v="1"/>
    <s v="Visayas"/>
    <n v="216.49"/>
  </r>
  <r>
    <n v="202311"/>
    <x v="46"/>
    <n v="2023"/>
    <s v=" November "/>
    <x v="8"/>
    <x v="1"/>
    <s v="Visayas"/>
    <n v="114.71"/>
  </r>
  <r>
    <n v="202312"/>
    <x v="47"/>
    <n v="2023"/>
    <s v=" December "/>
    <x v="8"/>
    <x v="1"/>
    <s v="Visayas"/>
    <n v="152.57"/>
  </r>
  <r>
    <n v="202301"/>
    <x v="36"/>
    <n v="2023"/>
    <s v=" January "/>
    <x v="8"/>
    <x v="1"/>
    <s v="Visayas"/>
    <n v="159.99"/>
  </r>
  <r>
    <n v="202302"/>
    <x v="37"/>
    <n v="2023"/>
    <s v=" February "/>
    <x v="8"/>
    <x v="1"/>
    <s v="Visayas"/>
    <n v="89.01"/>
  </r>
  <r>
    <n v="202303"/>
    <x v="38"/>
    <n v="2023"/>
    <s v=" March "/>
    <x v="8"/>
    <x v="1"/>
    <s v="Visayas"/>
    <n v="110.11"/>
  </r>
  <r>
    <n v="202304"/>
    <x v="39"/>
    <n v="2023"/>
    <s v=" April "/>
    <x v="8"/>
    <x v="1"/>
    <s v="Visayas"/>
    <n v="202.02"/>
  </r>
  <r>
    <n v="202305"/>
    <x v="40"/>
    <n v="2023"/>
    <s v=" May "/>
    <x v="8"/>
    <x v="1"/>
    <s v="Visayas"/>
    <n v="145.01"/>
  </r>
  <r>
    <n v="202306"/>
    <x v="41"/>
    <n v="2023"/>
    <s v=" June "/>
    <x v="8"/>
    <x v="1"/>
    <s v="Visayas"/>
    <n v="191.86"/>
  </r>
  <r>
    <n v="202307"/>
    <x v="42"/>
    <n v="2023"/>
    <s v=" July "/>
    <x v="8"/>
    <x v="1"/>
    <s v="Visayas"/>
    <n v="130.63999999999999"/>
  </r>
  <r>
    <n v="202308"/>
    <x v="43"/>
    <n v="2023"/>
    <s v=" August "/>
    <x v="8"/>
    <x v="1"/>
    <s v="Visayas"/>
    <n v="147.47"/>
  </r>
  <r>
    <n v="202309"/>
    <x v="44"/>
    <n v="2023"/>
    <s v=" September "/>
    <x v="8"/>
    <x v="1"/>
    <s v="Visayas"/>
    <n v="130.88"/>
  </r>
  <r>
    <n v="202310"/>
    <x v="45"/>
    <n v="2023"/>
    <s v=" October "/>
    <x v="8"/>
    <x v="1"/>
    <s v="Visayas"/>
    <n v="165.89"/>
  </r>
  <r>
    <n v="202311"/>
    <x v="46"/>
    <n v="2023"/>
    <s v=" November "/>
    <x v="8"/>
    <x v="1"/>
    <s v="Visayas"/>
    <n v="112.88"/>
  </r>
  <r>
    <n v="202312"/>
    <x v="47"/>
    <n v="2023"/>
    <s v=" December "/>
    <x v="8"/>
    <x v="1"/>
    <s v="Visayas"/>
    <n v="133.18"/>
  </r>
  <r>
    <n v="202301"/>
    <x v="36"/>
    <n v="2023"/>
    <s v=" January "/>
    <x v="8"/>
    <x v="1"/>
    <s v="Visayas"/>
    <n v="991.44"/>
  </r>
  <r>
    <n v="202302"/>
    <x v="37"/>
    <n v="2023"/>
    <s v=" February "/>
    <x v="8"/>
    <x v="1"/>
    <s v="Visayas"/>
    <n v="413.22"/>
  </r>
  <r>
    <n v="202303"/>
    <x v="38"/>
    <n v="2023"/>
    <s v=" March "/>
    <x v="8"/>
    <x v="1"/>
    <s v="Visayas"/>
    <n v="588.24"/>
  </r>
  <r>
    <n v="202304"/>
    <x v="39"/>
    <n v="2023"/>
    <s v=" April "/>
    <x v="8"/>
    <x v="1"/>
    <s v="Visayas"/>
    <n v="1058.6099999999999"/>
  </r>
  <r>
    <n v="202305"/>
    <x v="40"/>
    <n v="2023"/>
    <s v=" May "/>
    <x v="8"/>
    <x v="1"/>
    <s v="Visayas"/>
    <n v="700.27"/>
  </r>
  <r>
    <n v="202306"/>
    <x v="41"/>
    <n v="2023"/>
    <s v=" June "/>
    <x v="8"/>
    <x v="1"/>
    <s v="Visayas"/>
    <n v="681.16"/>
  </r>
  <r>
    <n v="202307"/>
    <x v="42"/>
    <n v="2023"/>
    <s v=" July "/>
    <x v="8"/>
    <x v="1"/>
    <s v="Visayas"/>
    <n v="862.51"/>
  </r>
  <r>
    <n v="202308"/>
    <x v="43"/>
    <n v="2023"/>
    <s v=" August "/>
    <x v="8"/>
    <x v="1"/>
    <s v="Visayas"/>
    <n v="640.9"/>
  </r>
  <r>
    <n v="202309"/>
    <x v="44"/>
    <n v="2023"/>
    <s v=" September "/>
    <x v="8"/>
    <x v="1"/>
    <s v="Visayas"/>
    <n v="739.45"/>
  </r>
  <r>
    <n v="202310"/>
    <x v="45"/>
    <n v="2023"/>
    <s v=" October "/>
    <x v="8"/>
    <x v="1"/>
    <s v="Visayas"/>
    <n v="895.71"/>
  </r>
  <r>
    <n v="202311"/>
    <x v="46"/>
    <n v="2023"/>
    <s v=" November "/>
    <x v="8"/>
    <x v="1"/>
    <s v="Visayas"/>
    <n v="633.21"/>
  </r>
  <r>
    <n v="202312"/>
    <x v="47"/>
    <n v="2023"/>
    <s v=" December "/>
    <x v="8"/>
    <x v="1"/>
    <s v="Visayas"/>
    <n v="796.64"/>
  </r>
  <r>
    <n v="202301"/>
    <x v="36"/>
    <n v="2023"/>
    <s v=" January "/>
    <x v="9"/>
    <x v="1"/>
    <s v="Visayas"/>
    <n v="990.44"/>
  </r>
  <r>
    <n v="202302"/>
    <x v="37"/>
    <n v="2023"/>
    <s v=" February "/>
    <x v="9"/>
    <x v="1"/>
    <s v="Visayas"/>
    <n v="577.72"/>
  </r>
  <r>
    <n v="202303"/>
    <x v="38"/>
    <n v="2023"/>
    <s v=" March "/>
    <x v="9"/>
    <x v="1"/>
    <s v="Visayas"/>
    <n v="732.71"/>
  </r>
  <r>
    <n v="202304"/>
    <x v="39"/>
    <n v="2023"/>
    <s v=" April "/>
    <x v="9"/>
    <x v="1"/>
    <s v="Visayas"/>
    <n v="1634.15"/>
  </r>
  <r>
    <n v="202305"/>
    <x v="40"/>
    <n v="2023"/>
    <s v=" May "/>
    <x v="9"/>
    <x v="1"/>
    <s v="Visayas"/>
    <n v="777.43"/>
  </r>
  <r>
    <n v="202306"/>
    <x v="41"/>
    <n v="2023"/>
    <s v=" June "/>
    <x v="9"/>
    <x v="1"/>
    <s v="Visayas"/>
    <n v="699.28"/>
  </r>
  <r>
    <n v="202307"/>
    <x v="42"/>
    <n v="2023"/>
    <s v=" July "/>
    <x v="9"/>
    <x v="1"/>
    <s v="Visayas"/>
    <n v="955.71"/>
  </r>
  <r>
    <n v="202308"/>
    <x v="43"/>
    <n v="2023"/>
    <s v=" August "/>
    <x v="9"/>
    <x v="1"/>
    <s v="Visayas"/>
    <n v="793.25"/>
  </r>
  <r>
    <n v="202309"/>
    <x v="44"/>
    <n v="2023"/>
    <s v=" September "/>
    <x v="9"/>
    <x v="1"/>
    <s v="Visayas"/>
    <n v="669.31"/>
  </r>
  <r>
    <n v="202310"/>
    <x v="45"/>
    <n v="2023"/>
    <s v=" October "/>
    <x v="9"/>
    <x v="1"/>
    <s v="Visayas"/>
    <n v="1142.5"/>
  </r>
  <r>
    <n v="202311"/>
    <x v="46"/>
    <n v="2023"/>
    <s v=" November "/>
    <x v="9"/>
    <x v="1"/>
    <s v="Visayas"/>
    <n v="814.05"/>
  </r>
  <r>
    <n v="202312"/>
    <x v="47"/>
    <n v="2023"/>
    <s v=" December "/>
    <x v="9"/>
    <x v="1"/>
    <s v="Visayas"/>
    <n v="711.11"/>
  </r>
  <r>
    <n v="202301"/>
    <x v="36"/>
    <n v="2023"/>
    <s v=" January "/>
    <x v="9"/>
    <x v="1"/>
    <s v="Visayas"/>
    <n v="285.14"/>
  </r>
  <r>
    <n v="202302"/>
    <x v="37"/>
    <n v="2023"/>
    <s v=" February "/>
    <x v="9"/>
    <x v="1"/>
    <s v="Visayas"/>
    <n v="202.7"/>
  </r>
  <r>
    <n v="202303"/>
    <x v="38"/>
    <n v="2023"/>
    <s v=" March "/>
    <x v="9"/>
    <x v="1"/>
    <s v="Visayas"/>
    <n v="289.08999999999997"/>
  </r>
  <r>
    <n v="202304"/>
    <x v="39"/>
    <n v="2023"/>
    <s v=" April "/>
    <x v="9"/>
    <x v="1"/>
    <s v="Visayas"/>
    <n v="428.28"/>
  </r>
  <r>
    <n v="202305"/>
    <x v="40"/>
    <n v="2023"/>
    <s v=" May "/>
    <x v="9"/>
    <x v="1"/>
    <s v="Visayas"/>
    <n v="302.95"/>
  </r>
  <r>
    <n v="202306"/>
    <x v="41"/>
    <n v="2023"/>
    <s v=" June "/>
    <x v="9"/>
    <x v="1"/>
    <s v="Visayas"/>
    <n v="252.46"/>
  </r>
  <r>
    <n v="202307"/>
    <x v="42"/>
    <n v="2023"/>
    <s v=" July "/>
    <x v="9"/>
    <x v="1"/>
    <s v="Visayas"/>
    <n v="354.45"/>
  </r>
  <r>
    <n v="202308"/>
    <x v="43"/>
    <n v="2023"/>
    <s v=" August "/>
    <x v="9"/>
    <x v="1"/>
    <s v="Visayas"/>
    <n v="335.93"/>
  </r>
  <r>
    <n v="202309"/>
    <x v="44"/>
    <n v="2023"/>
    <s v=" September "/>
    <x v="9"/>
    <x v="1"/>
    <s v="Visayas"/>
    <n v="288.56"/>
  </r>
  <r>
    <n v="202310"/>
    <x v="45"/>
    <n v="2023"/>
    <s v=" October "/>
    <x v="9"/>
    <x v="1"/>
    <s v="Visayas"/>
    <n v="404.21"/>
  </r>
  <r>
    <n v="202311"/>
    <x v="46"/>
    <n v="2023"/>
    <s v=" November "/>
    <x v="9"/>
    <x v="1"/>
    <s v="Visayas"/>
    <n v="309.73"/>
  </r>
  <r>
    <n v="202312"/>
    <x v="47"/>
    <n v="2023"/>
    <s v=" December "/>
    <x v="9"/>
    <x v="1"/>
    <s v="Visayas"/>
    <n v="351.11"/>
  </r>
  <r>
    <n v="202301"/>
    <x v="36"/>
    <n v="2023"/>
    <s v=" January "/>
    <x v="10"/>
    <x v="1"/>
    <s v="Visayas"/>
    <n v="309.10000000000002"/>
  </r>
  <r>
    <n v="202302"/>
    <x v="37"/>
    <n v="2023"/>
    <s v=" February "/>
    <x v="10"/>
    <x v="1"/>
    <s v="Visayas"/>
    <n v="190.21"/>
  </r>
  <r>
    <n v="202303"/>
    <x v="38"/>
    <n v="2023"/>
    <s v=" March "/>
    <x v="10"/>
    <x v="1"/>
    <s v="Visayas"/>
    <n v="248.59"/>
  </r>
  <r>
    <n v="202304"/>
    <x v="39"/>
    <n v="2023"/>
    <s v=" April "/>
    <x v="10"/>
    <x v="1"/>
    <s v="Visayas"/>
    <n v="385.55"/>
  </r>
  <r>
    <n v="202305"/>
    <x v="40"/>
    <n v="2023"/>
    <s v=" May "/>
    <x v="10"/>
    <x v="1"/>
    <s v="Visayas"/>
    <n v="342.77"/>
  </r>
  <r>
    <n v="202306"/>
    <x v="41"/>
    <n v="2023"/>
    <s v=" June "/>
    <x v="10"/>
    <x v="1"/>
    <s v="Visayas"/>
    <n v="286.36"/>
  </r>
  <r>
    <n v="202307"/>
    <x v="42"/>
    <n v="2023"/>
    <s v=" July "/>
    <x v="10"/>
    <x v="1"/>
    <s v="Visayas"/>
    <n v="317.32"/>
  </r>
  <r>
    <n v="202308"/>
    <x v="43"/>
    <n v="2023"/>
    <s v=" August "/>
    <x v="10"/>
    <x v="1"/>
    <s v="Visayas"/>
    <n v="369.44"/>
  </r>
  <r>
    <n v="202309"/>
    <x v="44"/>
    <n v="2023"/>
    <s v=" September "/>
    <x v="10"/>
    <x v="1"/>
    <s v="Visayas"/>
    <n v="294.93"/>
  </r>
  <r>
    <n v="202310"/>
    <x v="45"/>
    <n v="2023"/>
    <s v=" October "/>
    <x v="10"/>
    <x v="1"/>
    <s v="Visayas"/>
    <n v="381.45"/>
  </r>
  <r>
    <n v="202311"/>
    <x v="46"/>
    <n v="2023"/>
    <s v=" November "/>
    <x v="10"/>
    <x v="1"/>
    <s v="Visayas"/>
    <n v="300.52"/>
  </r>
  <r>
    <n v="202312"/>
    <x v="47"/>
    <n v="2023"/>
    <s v=" December "/>
    <x v="10"/>
    <x v="1"/>
    <s v="Visayas"/>
    <n v="336.32"/>
  </r>
  <r>
    <n v="202301"/>
    <x v="36"/>
    <n v="2023"/>
    <s v=" January "/>
    <x v="10"/>
    <x v="1"/>
    <s v="Visayas"/>
    <n v="1682.67"/>
  </r>
  <r>
    <n v="202302"/>
    <x v="37"/>
    <n v="2023"/>
    <s v=" February "/>
    <x v="10"/>
    <x v="1"/>
    <s v="Visayas"/>
    <n v="1067.45"/>
  </r>
  <r>
    <n v="202303"/>
    <x v="38"/>
    <n v="2023"/>
    <s v=" March "/>
    <x v="10"/>
    <x v="1"/>
    <s v="Visayas"/>
    <n v="1366.63"/>
  </r>
  <r>
    <n v="202304"/>
    <x v="39"/>
    <n v="2023"/>
    <s v=" April "/>
    <x v="10"/>
    <x v="1"/>
    <s v="Visayas"/>
    <n v="2511.62"/>
  </r>
  <r>
    <n v="202305"/>
    <x v="40"/>
    <n v="2023"/>
    <s v=" May "/>
    <x v="10"/>
    <x v="1"/>
    <s v="Visayas"/>
    <n v="1668.47"/>
  </r>
  <r>
    <n v="202306"/>
    <x v="41"/>
    <n v="2023"/>
    <s v=" June "/>
    <x v="10"/>
    <x v="1"/>
    <s v="Visayas"/>
    <n v="1117.51"/>
  </r>
  <r>
    <n v="202307"/>
    <x v="42"/>
    <n v="2023"/>
    <s v=" July "/>
    <x v="10"/>
    <x v="1"/>
    <s v="Visayas"/>
    <n v="2002.13"/>
  </r>
  <r>
    <n v="202308"/>
    <x v="43"/>
    <n v="2023"/>
    <s v=" August "/>
    <x v="10"/>
    <x v="1"/>
    <s v="Visayas"/>
    <n v="1509.67"/>
  </r>
  <r>
    <n v="202309"/>
    <x v="44"/>
    <n v="2023"/>
    <s v=" September "/>
    <x v="10"/>
    <x v="1"/>
    <s v="Visayas"/>
    <n v="1266.48"/>
  </r>
  <r>
    <n v="202310"/>
    <x v="45"/>
    <n v="2023"/>
    <s v=" October "/>
    <x v="10"/>
    <x v="1"/>
    <s v="Visayas"/>
    <n v="2298"/>
  </r>
  <r>
    <n v="202311"/>
    <x v="46"/>
    <n v="2023"/>
    <s v=" November "/>
    <x v="10"/>
    <x v="1"/>
    <s v="Visayas"/>
    <n v="1922.32"/>
  </r>
  <r>
    <n v="202312"/>
    <x v="47"/>
    <n v="2023"/>
    <s v=" December "/>
    <x v="10"/>
    <x v="1"/>
    <s v="Visayas"/>
    <n v="1285.92"/>
  </r>
  <r>
    <n v="202301"/>
    <x v="36"/>
    <n v="2023"/>
    <s v=" January "/>
    <x v="10"/>
    <x v="1"/>
    <s v="Visayas"/>
    <n v="1884.14"/>
  </r>
  <r>
    <n v="202302"/>
    <x v="37"/>
    <n v="2023"/>
    <s v=" February "/>
    <x v="10"/>
    <x v="1"/>
    <s v="Visayas"/>
    <n v="1198.5"/>
  </r>
  <r>
    <n v="202303"/>
    <x v="38"/>
    <n v="2023"/>
    <s v=" March "/>
    <x v="10"/>
    <x v="1"/>
    <s v="Visayas"/>
    <n v="1184.5899999999999"/>
  </r>
  <r>
    <n v="202304"/>
    <x v="39"/>
    <n v="2023"/>
    <s v=" April "/>
    <x v="10"/>
    <x v="1"/>
    <s v="Visayas"/>
    <n v="2284.8200000000002"/>
  </r>
  <r>
    <n v="202305"/>
    <x v="40"/>
    <n v="2023"/>
    <s v=" May "/>
    <x v="10"/>
    <x v="1"/>
    <s v="Visayas"/>
    <n v="1396.39"/>
  </r>
  <r>
    <n v="202306"/>
    <x v="41"/>
    <n v="2023"/>
    <s v=" June "/>
    <x v="10"/>
    <x v="1"/>
    <s v="Visayas"/>
    <n v="1246.5"/>
  </r>
  <r>
    <n v="202307"/>
    <x v="42"/>
    <n v="2023"/>
    <s v=" July "/>
    <x v="10"/>
    <x v="1"/>
    <s v="Visayas"/>
    <n v="1920.26"/>
  </r>
  <r>
    <n v="202308"/>
    <x v="43"/>
    <n v="2023"/>
    <s v=" August "/>
    <x v="10"/>
    <x v="1"/>
    <s v="Visayas"/>
    <n v="1762.79"/>
  </r>
  <r>
    <n v="202309"/>
    <x v="44"/>
    <n v="2023"/>
    <s v=" September "/>
    <x v="10"/>
    <x v="1"/>
    <s v="Visayas"/>
    <n v="1326.94"/>
  </r>
  <r>
    <n v="202310"/>
    <x v="45"/>
    <n v="2023"/>
    <s v=" October "/>
    <x v="10"/>
    <x v="1"/>
    <s v="Visayas"/>
    <n v="2092.14"/>
  </r>
  <r>
    <n v="202311"/>
    <x v="46"/>
    <n v="2023"/>
    <s v=" November "/>
    <x v="10"/>
    <x v="1"/>
    <s v="Visayas"/>
    <n v="1517.81"/>
  </r>
  <r>
    <n v="202312"/>
    <x v="47"/>
    <n v="2023"/>
    <s v=" December "/>
    <x v="10"/>
    <x v="1"/>
    <s v="Visayas"/>
    <n v="1348.63"/>
  </r>
  <r>
    <n v="202301"/>
    <x v="36"/>
    <n v="2023"/>
    <s v=" January "/>
    <x v="10"/>
    <x v="1"/>
    <s v="Visayas"/>
    <n v="3790.86"/>
  </r>
  <r>
    <n v="202302"/>
    <x v="37"/>
    <n v="2023"/>
    <s v=" February "/>
    <x v="10"/>
    <x v="1"/>
    <s v="Visayas"/>
    <n v="1718.19"/>
  </r>
  <r>
    <n v="202303"/>
    <x v="38"/>
    <n v="2023"/>
    <s v=" March "/>
    <x v="10"/>
    <x v="1"/>
    <s v="Visayas"/>
    <n v="1934.44"/>
  </r>
  <r>
    <n v="202304"/>
    <x v="39"/>
    <n v="2023"/>
    <s v=" April "/>
    <x v="10"/>
    <x v="1"/>
    <s v="Visayas"/>
    <n v="5975.66"/>
  </r>
  <r>
    <n v="202305"/>
    <x v="40"/>
    <n v="2023"/>
    <s v=" May "/>
    <x v="10"/>
    <x v="1"/>
    <s v="Visayas"/>
    <n v="4014.59"/>
  </r>
  <r>
    <n v="202306"/>
    <x v="41"/>
    <n v="2023"/>
    <s v=" June "/>
    <x v="10"/>
    <x v="1"/>
    <s v="Visayas"/>
    <n v="2403.06"/>
  </r>
  <r>
    <n v="202307"/>
    <x v="42"/>
    <n v="2023"/>
    <s v=" July "/>
    <x v="10"/>
    <x v="1"/>
    <s v="Visayas"/>
    <n v="3587.69"/>
  </r>
  <r>
    <n v="202308"/>
    <x v="43"/>
    <n v="2023"/>
    <s v=" August "/>
    <x v="10"/>
    <x v="1"/>
    <s v="Visayas"/>
    <n v="3939.05"/>
  </r>
  <r>
    <n v="202309"/>
    <x v="44"/>
    <n v="2023"/>
    <s v=" September "/>
    <x v="10"/>
    <x v="1"/>
    <s v="Visayas"/>
    <n v="2246.4"/>
  </r>
  <r>
    <n v="202310"/>
    <x v="45"/>
    <n v="2023"/>
    <s v=" October "/>
    <x v="10"/>
    <x v="1"/>
    <s v="Visayas"/>
    <n v="3578.69"/>
  </r>
  <r>
    <n v="202311"/>
    <x v="46"/>
    <n v="2023"/>
    <s v=" November "/>
    <x v="10"/>
    <x v="1"/>
    <s v="Visayas"/>
    <n v="3795.8"/>
  </r>
  <r>
    <n v="202312"/>
    <x v="47"/>
    <n v="2023"/>
    <s v=" December "/>
    <x v="10"/>
    <x v="1"/>
    <s v="Visayas"/>
    <n v="2850.43"/>
  </r>
  <r>
    <n v="202301"/>
    <x v="36"/>
    <n v="2023"/>
    <s v=" January "/>
    <x v="11"/>
    <x v="1"/>
    <s v="Visayas"/>
    <n v="92.33"/>
  </r>
  <r>
    <n v="202302"/>
    <x v="37"/>
    <n v="2023"/>
    <s v=" February "/>
    <x v="11"/>
    <x v="1"/>
    <s v="Visayas"/>
    <n v="59.78"/>
  </r>
  <r>
    <n v="202303"/>
    <x v="38"/>
    <n v="2023"/>
    <s v=" March "/>
    <x v="11"/>
    <x v="1"/>
    <s v="Visayas"/>
    <n v="84.07"/>
  </r>
  <r>
    <n v="202304"/>
    <x v="39"/>
    <n v="2023"/>
    <s v=" April "/>
    <x v="11"/>
    <x v="1"/>
    <s v="Visayas"/>
    <n v="112.04"/>
  </r>
  <r>
    <n v="202305"/>
    <x v="40"/>
    <n v="2023"/>
    <s v=" May "/>
    <x v="11"/>
    <x v="1"/>
    <s v="Visayas"/>
    <n v="123.64"/>
  </r>
  <r>
    <n v="202306"/>
    <x v="41"/>
    <n v="2023"/>
    <s v=" June "/>
    <x v="11"/>
    <x v="1"/>
    <s v="Visayas"/>
    <n v="75.16"/>
  </r>
  <r>
    <n v="202307"/>
    <x v="42"/>
    <n v="2023"/>
    <s v=" July "/>
    <x v="11"/>
    <x v="1"/>
    <s v="Visayas"/>
    <n v="128.11000000000001"/>
  </r>
  <r>
    <n v="202308"/>
    <x v="43"/>
    <n v="2023"/>
    <s v=" August "/>
    <x v="11"/>
    <x v="1"/>
    <s v="Visayas"/>
    <n v="79.66"/>
  </r>
  <r>
    <n v="202309"/>
    <x v="44"/>
    <n v="2023"/>
    <s v=" September "/>
    <x v="11"/>
    <x v="1"/>
    <s v="Visayas"/>
    <n v="79.97"/>
  </r>
  <r>
    <n v="202310"/>
    <x v="45"/>
    <n v="2023"/>
    <s v=" October "/>
    <x v="11"/>
    <x v="1"/>
    <s v="Visayas"/>
    <n v="105.8"/>
  </r>
  <r>
    <n v="202311"/>
    <x v="46"/>
    <n v="2023"/>
    <s v=" November "/>
    <x v="11"/>
    <x v="1"/>
    <s v="Visayas"/>
    <n v="69.569999999999993"/>
  </r>
  <r>
    <n v="202312"/>
    <x v="47"/>
    <n v="2023"/>
    <s v=" December "/>
    <x v="11"/>
    <x v="1"/>
    <s v="Visayas"/>
    <n v="94.47"/>
  </r>
  <r>
    <n v="202301"/>
    <x v="36"/>
    <n v="2023"/>
    <s v=" January "/>
    <x v="11"/>
    <x v="1"/>
    <s v="Visayas"/>
    <n v="234.53"/>
  </r>
  <r>
    <n v="202302"/>
    <x v="37"/>
    <n v="2023"/>
    <s v=" February "/>
    <x v="11"/>
    <x v="1"/>
    <s v="Visayas"/>
    <n v="126.03"/>
  </r>
  <r>
    <n v="202303"/>
    <x v="38"/>
    <n v="2023"/>
    <s v=" March "/>
    <x v="11"/>
    <x v="1"/>
    <s v="Visayas"/>
    <n v="168.37"/>
  </r>
  <r>
    <n v="202304"/>
    <x v="39"/>
    <n v="2023"/>
    <s v=" April "/>
    <x v="11"/>
    <x v="1"/>
    <s v="Visayas"/>
    <n v="337.15"/>
  </r>
  <r>
    <n v="202305"/>
    <x v="40"/>
    <n v="2023"/>
    <s v=" May "/>
    <x v="11"/>
    <x v="1"/>
    <s v="Visayas"/>
    <n v="207.64"/>
  </r>
  <r>
    <n v="202306"/>
    <x v="41"/>
    <n v="2023"/>
    <s v=" June "/>
    <x v="11"/>
    <x v="1"/>
    <s v="Visayas"/>
    <n v="167.26"/>
  </r>
  <r>
    <n v="202307"/>
    <x v="42"/>
    <n v="2023"/>
    <s v=" July "/>
    <x v="11"/>
    <x v="1"/>
    <s v="Visayas"/>
    <n v="342.71"/>
  </r>
  <r>
    <n v="202308"/>
    <x v="43"/>
    <n v="2023"/>
    <s v=" August "/>
    <x v="11"/>
    <x v="1"/>
    <s v="Visayas"/>
    <n v="272.99"/>
  </r>
  <r>
    <n v="202309"/>
    <x v="44"/>
    <n v="2023"/>
    <s v=" September "/>
    <x v="11"/>
    <x v="1"/>
    <s v="Visayas"/>
    <n v="213.77"/>
  </r>
  <r>
    <n v="202310"/>
    <x v="45"/>
    <n v="2023"/>
    <s v=" October "/>
    <x v="11"/>
    <x v="1"/>
    <s v="Visayas"/>
    <n v="277.91000000000003"/>
  </r>
  <r>
    <n v="202311"/>
    <x v="46"/>
    <n v="2023"/>
    <s v=" November "/>
    <x v="11"/>
    <x v="1"/>
    <s v="Visayas"/>
    <n v="194.55"/>
  </r>
  <r>
    <n v="202312"/>
    <x v="47"/>
    <n v="2023"/>
    <s v=" December "/>
    <x v="11"/>
    <x v="1"/>
    <s v="Visayas"/>
    <n v="271.66000000000003"/>
  </r>
  <r>
    <n v="202301"/>
    <x v="36"/>
    <n v="2023"/>
    <s v=" January "/>
    <x v="11"/>
    <x v="1"/>
    <s v="Visayas"/>
    <n v="90"/>
  </r>
  <r>
    <n v="202302"/>
    <x v="37"/>
    <n v="2023"/>
    <s v=" February "/>
    <x v="11"/>
    <x v="1"/>
    <s v="Visayas"/>
    <n v="73.94"/>
  </r>
  <r>
    <n v="202303"/>
    <x v="38"/>
    <n v="2023"/>
    <s v=" March "/>
    <x v="11"/>
    <x v="1"/>
    <s v="Visayas"/>
    <n v="92.06"/>
  </r>
  <r>
    <n v="202304"/>
    <x v="39"/>
    <n v="2023"/>
    <s v=" April "/>
    <x v="11"/>
    <x v="1"/>
    <s v="Visayas"/>
    <n v="98.49"/>
  </r>
  <r>
    <n v="202305"/>
    <x v="40"/>
    <n v="2023"/>
    <s v=" May "/>
    <x v="11"/>
    <x v="1"/>
    <s v="Visayas"/>
    <n v="117.91"/>
  </r>
  <r>
    <n v="202306"/>
    <x v="41"/>
    <n v="2023"/>
    <s v=" June "/>
    <x v="11"/>
    <x v="1"/>
    <s v="Visayas"/>
    <n v="58.13"/>
  </r>
  <r>
    <n v="202307"/>
    <x v="42"/>
    <n v="2023"/>
    <s v=" July "/>
    <x v="11"/>
    <x v="1"/>
    <s v="Visayas"/>
    <n v="130.61000000000001"/>
  </r>
  <r>
    <n v="202308"/>
    <x v="43"/>
    <n v="2023"/>
    <s v=" August "/>
    <x v="11"/>
    <x v="1"/>
    <s v="Visayas"/>
    <n v="119.83"/>
  </r>
  <r>
    <n v="202309"/>
    <x v="44"/>
    <n v="2023"/>
    <s v=" September "/>
    <x v="11"/>
    <x v="1"/>
    <s v="Visayas"/>
    <n v="114.65"/>
  </r>
  <r>
    <n v="202310"/>
    <x v="45"/>
    <n v="2023"/>
    <s v=" October "/>
    <x v="11"/>
    <x v="1"/>
    <s v="Visayas"/>
    <n v="112.22"/>
  </r>
  <r>
    <n v="202311"/>
    <x v="46"/>
    <n v="2023"/>
    <s v=" November "/>
    <x v="11"/>
    <x v="1"/>
    <s v="Visayas"/>
    <n v="69.150000000000006"/>
  </r>
  <r>
    <n v="202312"/>
    <x v="47"/>
    <n v="2023"/>
    <s v=" December "/>
    <x v="11"/>
    <x v="1"/>
    <s v="Visayas"/>
    <n v="135.04"/>
  </r>
  <r>
    <n v="202301"/>
    <x v="36"/>
    <n v="2023"/>
    <s v=" January "/>
    <x v="11"/>
    <x v="1"/>
    <s v="Visayas"/>
    <n v="117.56"/>
  </r>
  <r>
    <n v="202302"/>
    <x v="37"/>
    <n v="2023"/>
    <s v=" February "/>
    <x v="11"/>
    <x v="1"/>
    <s v="Visayas"/>
    <n v="86.22"/>
  </r>
  <r>
    <n v="202303"/>
    <x v="38"/>
    <n v="2023"/>
    <s v=" March "/>
    <x v="11"/>
    <x v="1"/>
    <s v="Visayas"/>
    <n v="122.54"/>
  </r>
  <r>
    <n v="202304"/>
    <x v="39"/>
    <n v="2023"/>
    <s v=" April "/>
    <x v="11"/>
    <x v="1"/>
    <s v="Visayas"/>
    <n v="146.25"/>
  </r>
  <r>
    <n v="202305"/>
    <x v="40"/>
    <n v="2023"/>
    <s v=" May "/>
    <x v="11"/>
    <x v="1"/>
    <s v="Visayas"/>
    <n v="131.19999999999999"/>
  </r>
  <r>
    <n v="202306"/>
    <x v="41"/>
    <n v="2023"/>
    <s v=" June "/>
    <x v="11"/>
    <x v="1"/>
    <s v="Visayas"/>
    <n v="118.56"/>
  </r>
  <r>
    <n v="202307"/>
    <x v="42"/>
    <n v="2023"/>
    <s v=" July "/>
    <x v="11"/>
    <x v="1"/>
    <s v="Visayas"/>
    <n v="143.66"/>
  </r>
  <r>
    <n v="202308"/>
    <x v="43"/>
    <n v="2023"/>
    <s v=" August "/>
    <x v="11"/>
    <x v="1"/>
    <s v="Visayas"/>
    <n v="130.03"/>
  </r>
  <r>
    <n v="202309"/>
    <x v="44"/>
    <n v="2023"/>
    <s v=" September "/>
    <x v="11"/>
    <x v="1"/>
    <s v="Visayas"/>
    <n v="128.66"/>
  </r>
  <r>
    <n v="202310"/>
    <x v="45"/>
    <n v="2023"/>
    <s v=" October "/>
    <x v="11"/>
    <x v="1"/>
    <s v="Visayas"/>
    <n v="178.53"/>
  </r>
  <r>
    <n v="202311"/>
    <x v="46"/>
    <n v="2023"/>
    <s v=" November "/>
    <x v="11"/>
    <x v="1"/>
    <s v="Visayas"/>
    <n v="115.94"/>
  </r>
  <r>
    <n v="202312"/>
    <x v="47"/>
    <n v="2023"/>
    <s v=" December "/>
    <x v="11"/>
    <x v="1"/>
    <s v="Visayas"/>
    <n v="212.46"/>
  </r>
  <r>
    <n v="202301"/>
    <x v="36"/>
    <n v="2023"/>
    <s v=" January "/>
    <x v="11"/>
    <x v="1"/>
    <s v="Visayas"/>
    <n v="110.11"/>
  </r>
  <r>
    <n v="202302"/>
    <x v="37"/>
    <n v="2023"/>
    <s v=" February "/>
    <x v="11"/>
    <x v="1"/>
    <s v="Visayas"/>
    <n v="57.88"/>
  </r>
  <r>
    <n v="202303"/>
    <x v="38"/>
    <n v="2023"/>
    <s v=" March "/>
    <x v="11"/>
    <x v="1"/>
    <s v="Visayas"/>
    <n v="75.180000000000007"/>
  </r>
  <r>
    <n v="202304"/>
    <x v="39"/>
    <n v="2023"/>
    <s v=" April "/>
    <x v="11"/>
    <x v="1"/>
    <s v="Visayas"/>
    <n v="150.01"/>
  </r>
  <r>
    <n v="202305"/>
    <x v="40"/>
    <n v="2023"/>
    <s v=" May "/>
    <x v="11"/>
    <x v="1"/>
    <s v="Visayas"/>
    <n v="68.14"/>
  </r>
  <r>
    <n v="202306"/>
    <x v="41"/>
    <n v="2023"/>
    <s v=" June "/>
    <x v="11"/>
    <x v="1"/>
    <s v="Visayas"/>
    <n v="87.22"/>
  </r>
  <r>
    <n v="202307"/>
    <x v="42"/>
    <n v="2023"/>
    <s v=" July "/>
    <x v="11"/>
    <x v="1"/>
    <s v="Visayas"/>
    <n v="91.53"/>
  </r>
  <r>
    <n v="202308"/>
    <x v="43"/>
    <n v="2023"/>
    <s v=" August "/>
    <x v="11"/>
    <x v="1"/>
    <s v="Visayas"/>
    <n v="77.14"/>
  </r>
  <r>
    <n v="202309"/>
    <x v="44"/>
    <n v="2023"/>
    <s v=" September "/>
    <x v="11"/>
    <x v="1"/>
    <s v="Visayas"/>
    <n v="78.05"/>
  </r>
  <r>
    <n v="202310"/>
    <x v="45"/>
    <n v="2023"/>
    <s v=" October "/>
    <x v="11"/>
    <x v="1"/>
    <s v="Visayas"/>
    <n v="99.51"/>
  </r>
  <r>
    <n v="202311"/>
    <x v="46"/>
    <n v="2023"/>
    <s v=" November "/>
    <x v="11"/>
    <x v="1"/>
    <s v="Visayas"/>
    <n v="75.78"/>
  </r>
  <r>
    <n v="202312"/>
    <x v="47"/>
    <n v="2023"/>
    <s v=" December "/>
    <x v="11"/>
    <x v="1"/>
    <s v="Visayas"/>
    <n v="119.15"/>
  </r>
  <r>
    <n v="202301"/>
    <x v="36"/>
    <n v="2023"/>
    <s v=" January "/>
    <x v="11"/>
    <x v="1"/>
    <s v="Visayas"/>
    <n v="528.16"/>
  </r>
  <r>
    <n v="202302"/>
    <x v="37"/>
    <n v="2023"/>
    <s v=" February "/>
    <x v="11"/>
    <x v="1"/>
    <s v="Visayas"/>
    <n v="234.75"/>
  </r>
  <r>
    <n v="202303"/>
    <x v="38"/>
    <n v="2023"/>
    <s v=" March "/>
    <x v="11"/>
    <x v="1"/>
    <s v="Visayas"/>
    <n v="285.27999999999997"/>
  </r>
  <r>
    <n v="202304"/>
    <x v="39"/>
    <n v="2023"/>
    <s v=" April "/>
    <x v="11"/>
    <x v="1"/>
    <s v="Visayas"/>
    <n v="550.04"/>
  </r>
  <r>
    <n v="202305"/>
    <x v="40"/>
    <n v="2023"/>
    <s v=" May "/>
    <x v="11"/>
    <x v="1"/>
    <s v="Visayas"/>
    <n v="434.15"/>
  </r>
  <r>
    <n v="202306"/>
    <x v="41"/>
    <n v="2023"/>
    <s v=" June "/>
    <x v="11"/>
    <x v="1"/>
    <s v="Visayas"/>
    <n v="354.72"/>
  </r>
  <r>
    <n v="202307"/>
    <x v="42"/>
    <n v="2023"/>
    <s v=" July "/>
    <x v="11"/>
    <x v="1"/>
    <s v="Visayas"/>
    <n v="544.5"/>
  </r>
  <r>
    <n v="202308"/>
    <x v="43"/>
    <n v="2023"/>
    <s v=" August "/>
    <x v="11"/>
    <x v="1"/>
    <s v="Visayas"/>
    <n v="448.93"/>
  </r>
  <r>
    <n v="202309"/>
    <x v="44"/>
    <n v="2023"/>
    <s v=" September "/>
    <x v="11"/>
    <x v="1"/>
    <s v="Visayas"/>
    <n v="509.09"/>
  </r>
  <r>
    <n v="202310"/>
    <x v="45"/>
    <n v="2023"/>
    <s v=" October "/>
    <x v="11"/>
    <x v="1"/>
    <s v="Visayas"/>
    <n v="530.63"/>
  </r>
  <r>
    <n v="202311"/>
    <x v="46"/>
    <n v="2023"/>
    <s v=" November "/>
    <x v="11"/>
    <x v="1"/>
    <s v="Visayas"/>
    <n v="418.96"/>
  </r>
  <r>
    <n v="202312"/>
    <x v="47"/>
    <n v="2023"/>
    <s v=" December "/>
    <x v="11"/>
    <x v="1"/>
    <s v="Visayas"/>
    <n v="454.86"/>
  </r>
  <r>
    <n v="202301"/>
    <x v="36"/>
    <n v="2023"/>
    <s v=" January "/>
    <x v="12"/>
    <x v="1"/>
    <s v="Mindanao"/>
    <n v="248.09"/>
  </r>
  <r>
    <n v="202302"/>
    <x v="37"/>
    <n v="2023"/>
    <s v=" February "/>
    <x v="12"/>
    <x v="1"/>
    <s v="Mindanao"/>
    <n v="120.89"/>
  </r>
  <r>
    <n v="202303"/>
    <x v="38"/>
    <n v="2023"/>
    <s v=" March "/>
    <x v="12"/>
    <x v="1"/>
    <s v="Mindanao"/>
    <n v="145.46"/>
  </r>
  <r>
    <n v="202304"/>
    <x v="39"/>
    <n v="2023"/>
    <s v=" April "/>
    <x v="12"/>
    <x v="1"/>
    <s v="Mindanao"/>
    <n v="254.89"/>
  </r>
  <r>
    <n v="202305"/>
    <x v="40"/>
    <n v="2023"/>
    <s v=" May "/>
    <x v="12"/>
    <x v="1"/>
    <s v="Mindanao"/>
    <n v="167.76"/>
  </r>
  <r>
    <n v="202306"/>
    <x v="41"/>
    <n v="2023"/>
    <s v=" June "/>
    <x v="12"/>
    <x v="1"/>
    <s v="Mindanao"/>
    <n v="149.54"/>
  </r>
  <r>
    <n v="202307"/>
    <x v="42"/>
    <n v="2023"/>
    <s v=" July "/>
    <x v="12"/>
    <x v="1"/>
    <s v="Mindanao"/>
    <n v="239.64"/>
  </r>
  <r>
    <n v="202308"/>
    <x v="43"/>
    <n v="2023"/>
    <s v=" August "/>
    <x v="12"/>
    <x v="1"/>
    <s v="Mindanao"/>
    <n v="173.36"/>
  </r>
  <r>
    <n v="202309"/>
    <x v="44"/>
    <n v="2023"/>
    <s v=" September "/>
    <x v="12"/>
    <x v="1"/>
    <s v="Mindanao"/>
    <n v="147.16999999999999"/>
  </r>
  <r>
    <n v="202310"/>
    <x v="45"/>
    <n v="2023"/>
    <s v=" October "/>
    <x v="12"/>
    <x v="1"/>
    <s v="Mindanao"/>
    <n v="247.57"/>
  </r>
  <r>
    <n v="202311"/>
    <x v="46"/>
    <n v="2023"/>
    <s v=" November "/>
    <x v="12"/>
    <x v="1"/>
    <s v="Mindanao"/>
    <n v="170.77"/>
  </r>
  <r>
    <n v="202312"/>
    <x v="47"/>
    <n v="2023"/>
    <s v=" December "/>
    <x v="12"/>
    <x v="1"/>
    <s v="Mindanao"/>
    <n v="200.06"/>
  </r>
  <r>
    <n v="202301"/>
    <x v="36"/>
    <n v="2023"/>
    <s v=" January "/>
    <x v="12"/>
    <x v="1"/>
    <s v="Mindanao"/>
    <n v="241.85"/>
  </r>
  <r>
    <n v="202302"/>
    <x v="37"/>
    <n v="2023"/>
    <s v=" February "/>
    <x v="12"/>
    <x v="1"/>
    <s v="Mindanao"/>
    <n v="99.54"/>
  </r>
  <r>
    <n v="202303"/>
    <x v="38"/>
    <n v="2023"/>
    <s v=" March "/>
    <x v="12"/>
    <x v="1"/>
    <s v="Mindanao"/>
    <n v="180.26"/>
  </r>
  <r>
    <n v="202304"/>
    <x v="39"/>
    <n v="2023"/>
    <s v=" April "/>
    <x v="12"/>
    <x v="1"/>
    <s v="Mindanao"/>
    <n v="210.64"/>
  </r>
  <r>
    <n v="202305"/>
    <x v="40"/>
    <n v="2023"/>
    <s v=" May "/>
    <x v="12"/>
    <x v="1"/>
    <s v="Mindanao"/>
    <n v="156.84"/>
  </r>
  <r>
    <n v="202306"/>
    <x v="41"/>
    <n v="2023"/>
    <s v=" June "/>
    <x v="12"/>
    <x v="1"/>
    <s v="Mindanao"/>
    <n v="137.18"/>
  </r>
  <r>
    <n v="202307"/>
    <x v="42"/>
    <n v="2023"/>
    <s v=" July "/>
    <x v="12"/>
    <x v="1"/>
    <s v="Mindanao"/>
    <n v="203.24"/>
  </r>
  <r>
    <n v="202308"/>
    <x v="43"/>
    <n v="2023"/>
    <s v=" August "/>
    <x v="12"/>
    <x v="1"/>
    <s v="Mindanao"/>
    <n v="124.64"/>
  </r>
  <r>
    <n v="202309"/>
    <x v="44"/>
    <n v="2023"/>
    <s v=" September "/>
    <x v="12"/>
    <x v="1"/>
    <s v="Mindanao"/>
    <n v="142.49"/>
  </r>
  <r>
    <n v="202310"/>
    <x v="45"/>
    <n v="2023"/>
    <s v=" October "/>
    <x v="12"/>
    <x v="1"/>
    <s v="Mindanao"/>
    <n v="191.17"/>
  </r>
  <r>
    <n v="202311"/>
    <x v="46"/>
    <n v="2023"/>
    <s v=" November "/>
    <x v="12"/>
    <x v="1"/>
    <s v="Mindanao"/>
    <n v="173.41"/>
  </r>
  <r>
    <n v="202312"/>
    <x v="47"/>
    <n v="2023"/>
    <s v=" December "/>
    <x v="12"/>
    <x v="1"/>
    <s v="Mindanao"/>
    <n v="212.57"/>
  </r>
  <r>
    <n v="202301"/>
    <x v="36"/>
    <n v="2023"/>
    <s v=" January "/>
    <x v="12"/>
    <x v="1"/>
    <s v="Mindanao"/>
    <n v="73.3"/>
  </r>
  <r>
    <n v="202302"/>
    <x v="37"/>
    <n v="2023"/>
    <s v=" February "/>
    <x v="12"/>
    <x v="1"/>
    <s v="Mindanao"/>
    <n v="41.73"/>
  </r>
  <r>
    <n v="202303"/>
    <x v="38"/>
    <n v="2023"/>
    <s v=" March "/>
    <x v="12"/>
    <x v="1"/>
    <s v="Mindanao"/>
    <n v="66.27"/>
  </r>
  <r>
    <n v="202304"/>
    <x v="39"/>
    <n v="2023"/>
    <s v=" April "/>
    <x v="12"/>
    <x v="1"/>
    <s v="Mindanao"/>
    <n v="67.69"/>
  </r>
  <r>
    <n v="202305"/>
    <x v="40"/>
    <n v="2023"/>
    <s v=" May "/>
    <x v="12"/>
    <x v="1"/>
    <s v="Mindanao"/>
    <n v="84.72"/>
  </r>
  <r>
    <n v="202306"/>
    <x v="41"/>
    <n v="2023"/>
    <s v=" June "/>
    <x v="12"/>
    <x v="1"/>
    <s v="Mindanao"/>
    <n v="87.71"/>
  </r>
  <r>
    <n v="202307"/>
    <x v="42"/>
    <n v="2023"/>
    <s v=" July "/>
    <x v="12"/>
    <x v="1"/>
    <s v="Mindanao"/>
    <n v="78.05"/>
  </r>
  <r>
    <n v="202308"/>
    <x v="43"/>
    <n v="2023"/>
    <s v=" August "/>
    <x v="12"/>
    <x v="1"/>
    <s v="Mindanao"/>
    <n v="65.8"/>
  </r>
  <r>
    <n v="202309"/>
    <x v="44"/>
    <n v="2023"/>
    <s v=" September "/>
    <x v="12"/>
    <x v="1"/>
    <s v="Mindanao"/>
    <n v="76.77"/>
  </r>
  <r>
    <n v="202310"/>
    <x v="45"/>
    <n v="2023"/>
    <s v=" October "/>
    <x v="12"/>
    <x v="1"/>
    <s v="Mindanao"/>
    <n v="73.14"/>
  </r>
  <r>
    <n v="202311"/>
    <x v="46"/>
    <n v="2023"/>
    <s v=" November "/>
    <x v="12"/>
    <x v="1"/>
    <s v="Mindanao"/>
    <n v="54.98"/>
  </r>
  <r>
    <n v="202312"/>
    <x v="47"/>
    <n v="2023"/>
    <s v=" December "/>
    <x v="12"/>
    <x v="1"/>
    <s v="Mindanao"/>
    <n v="86.38"/>
  </r>
  <r>
    <n v="202301"/>
    <x v="36"/>
    <n v="2023"/>
    <s v=" January "/>
    <x v="12"/>
    <x v="1"/>
    <s v="Mindanao"/>
    <n v="305.36"/>
  </r>
  <r>
    <n v="202302"/>
    <x v="37"/>
    <n v="2023"/>
    <s v=" February "/>
    <x v="12"/>
    <x v="1"/>
    <s v="Mindanao"/>
    <n v="211.62"/>
  </r>
  <r>
    <n v="202303"/>
    <x v="38"/>
    <n v="2023"/>
    <s v=" March "/>
    <x v="12"/>
    <x v="1"/>
    <s v="Mindanao"/>
    <n v="229.27"/>
  </r>
  <r>
    <n v="202304"/>
    <x v="39"/>
    <n v="2023"/>
    <s v=" April "/>
    <x v="12"/>
    <x v="1"/>
    <s v="Mindanao"/>
    <n v="377.89"/>
  </r>
  <r>
    <n v="202305"/>
    <x v="40"/>
    <n v="2023"/>
    <s v=" May "/>
    <x v="12"/>
    <x v="1"/>
    <s v="Mindanao"/>
    <n v="269.86"/>
  </r>
  <r>
    <n v="202306"/>
    <x v="41"/>
    <n v="2023"/>
    <s v=" June "/>
    <x v="12"/>
    <x v="1"/>
    <s v="Mindanao"/>
    <n v="268.41000000000003"/>
  </r>
  <r>
    <n v="202307"/>
    <x v="42"/>
    <n v="2023"/>
    <s v=" July "/>
    <x v="12"/>
    <x v="1"/>
    <s v="Mindanao"/>
    <n v="423.76"/>
  </r>
  <r>
    <n v="202308"/>
    <x v="43"/>
    <n v="2023"/>
    <s v=" August "/>
    <x v="12"/>
    <x v="1"/>
    <s v="Mindanao"/>
    <n v="332.42"/>
  </r>
  <r>
    <n v="202309"/>
    <x v="44"/>
    <n v="2023"/>
    <s v=" September "/>
    <x v="12"/>
    <x v="1"/>
    <s v="Mindanao"/>
    <n v="285.75"/>
  </r>
  <r>
    <n v="202310"/>
    <x v="45"/>
    <n v="2023"/>
    <s v=" October "/>
    <x v="12"/>
    <x v="1"/>
    <s v="Mindanao"/>
    <n v="386.22"/>
  </r>
  <r>
    <n v="202311"/>
    <x v="46"/>
    <n v="2023"/>
    <s v=" November "/>
    <x v="12"/>
    <x v="1"/>
    <s v="Mindanao"/>
    <n v="258.47000000000003"/>
  </r>
  <r>
    <n v="202312"/>
    <x v="47"/>
    <n v="2023"/>
    <s v=" December "/>
    <x v="12"/>
    <x v="1"/>
    <s v="Mindanao"/>
    <n v="267.41000000000003"/>
  </r>
  <r>
    <n v="202301"/>
    <x v="36"/>
    <n v="2023"/>
    <s v=" January "/>
    <x v="13"/>
    <x v="1"/>
    <s v="Mindanao"/>
    <n v="290"/>
  </r>
  <r>
    <n v="202302"/>
    <x v="37"/>
    <n v="2023"/>
    <s v=" February "/>
    <x v="13"/>
    <x v="1"/>
    <s v="Mindanao"/>
    <n v="201.48"/>
  </r>
  <r>
    <n v="202303"/>
    <x v="38"/>
    <n v="2023"/>
    <s v=" March "/>
    <x v="13"/>
    <x v="1"/>
    <s v="Mindanao"/>
    <n v="255.8"/>
  </r>
  <r>
    <n v="202304"/>
    <x v="39"/>
    <n v="2023"/>
    <s v=" April "/>
    <x v="13"/>
    <x v="1"/>
    <s v="Mindanao"/>
    <n v="350.52"/>
  </r>
  <r>
    <n v="202305"/>
    <x v="40"/>
    <n v="2023"/>
    <s v=" May "/>
    <x v="13"/>
    <x v="1"/>
    <s v="Mindanao"/>
    <n v="285.11"/>
  </r>
  <r>
    <n v="202306"/>
    <x v="41"/>
    <n v="2023"/>
    <s v=" June "/>
    <x v="13"/>
    <x v="1"/>
    <s v="Mindanao"/>
    <n v="242.66"/>
  </r>
  <r>
    <n v="202307"/>
    <x v="42"/>
    <n v="2023"/>
    <s v=" July "/>
    <x v="13"/>
    <x v="1"/>
    <s v="Mindanao"/>
    <n v="307.14"/>
  </r>
  <r>
    <n v="202308"/>
    <x v="43"/>
    <n v="2023"/>
    <s v=" August "/>
    <x v="13"/>
    <x v="1"/>
    <s v="Mindanao"/>
    <n v="266.43"/>
  </r>
  <r>
    <n v="202309"/>
    <x v="44"/>
    <n v="2023"/>
    <s v=" September "/>
    <x v="13"/>
    <x v="1"/>
    <s v="Mindanao"/>
    <n v="230.96"/>
  </r>
  <r>
    <n v="202310"/>
    <x v="45"/>
    <n v="2023"/>
    <s v=" October "/>
    <x v="13"/>
    <x v="1"/>
    <s v="Mindanao"/>
    <n v="297.27"/>
  </r>
  <r>
    <n v="202311"/>
    <x v="46"/>
    <n v="2023"/>
    <s v=" November "/>
    <x v="13"/>
    <x v="1"/>
    <s v="Mindanao"/>
    <n v="213.48"/>
  </r>
  <r>
    <n v="202312"/>
    <x v="47"/>
    <n v="2023"/>
    <s v=" December "/>
    <x v="13"/>
    <x v="1"/>
    <s v="Mindanao"/>
    <n v="317.45"/>
  </r>
  <r>
    <n v="202301"/>
    <x v="36"/>
    <n v="2023"/>
    <s v=" January "/>
    <x v="13"/>
    <x v="1"/>
    <s v="Mindanao"/>
    <n v="171.41"/>
  </r>
  <r>
    <n v="202302"/>
    <x v="37"/>
    <n v="2023"/>
    <s v=" February "/>
    <x v="13"/>
    <x v="1"/>
    <s v="Mindanao"/>
    <n v="119.22"/>
  </r>
  <r>
    <n v="202303"/>
    <x v="38"/>
    <n v="2023"/>
    <s v=" March "/>
    <x v="13"/>
    <x v="1"/>
    <s v="Mindanao"/>
    <n v="145.38999999999999"/>
  </r>
  <r>
    <n v="202304"/>
    <x v="39"/>
    <n v="2023"/>
    <s v=" April "/>
    <x v="13"/>
    <x v="1"/>
    <s v="Mindanao"/>
    <n v="257.77999999999997"/>
  </r>
  <r>
    <n v="202305"/>
    <x v="40"/>
    <n v="2023"/>
    <s v=" May "/>
    <x v="13"/>
    <x v="1"/>
    <s v="Mindanao"/>
    <n v="261.55"/>
  </r>
  <r>
    <n v="202306"/>
    <x v="41"/>
    <n v="2023"/>
    <s v=" June "/>
    <x v="13"/>
    <x v="1"/>
    <s v="Mindanao"/>
    <n v="212.53"/>
  </r>
  <r>
    <n v="202307"/>
    <x v="42"/>
    <n v="2023"/>
    <s v=" July "/>
    <x v="13"/>
    <x v="1"/>
    <s v="Mindanao"/>
    <n v="172.19"/>
  </r>
  <r>
    <n v="202308"/>
    <x v="43"/>
    <n v="2023"/>
    <s v=" August "/>
    <x v="13"/>
    <x v="1"/>
    <s v="Mindanao"/>
    <n v="152.08000000000001"/>
  </r>
  <r>
    <n v="202309"/>
    <x v="44"/>
    <n v="2023"/>
    <s v=" September "/>
    <x v="13"/>
    <x v="1"/>
    <s v="Mindanao"/>
    <n v="157.47"/>
  </r>
  <r>
    <n v="202310"/>
    <x v="45"/>
    <n v="2023"/>
    <s v=" October "/>
    <x v="13"/>
    <x v="1"/>
    <s v="Mindanao"/>
    <n v="212.76"/>
  </r>
  <r>
    <n v="202311"/>
    <x v="46"/>
    <n v="2023"/>
    <s v=" November "/>
    <x v="13"/>
    <x v="1"/>
    <s v="Mindanao"/>
    <n v="148.26"/>
  </r>
  <r>
    <n v="202312"/>
    <x v="47"/>
    <n v="2023"/>
    <s v=" December "/>
    <x v="13"/>
    <x v="1"/>
    <s v="Mindanao"/>
    <n v="182.9"/>
  </r>
  <r>
    <n v="202301"/>
    <x v="36"/>
    <n v="2023"/>
    <s v=" January "/>
    <x v="13"/>
    <x v="1"/>
    <s v="Mindanao"/>
    <n v="172.28"/>
  </r>
  <r>
    <n v="202302"/>
    <x v="37"/>
    <n v="2023"/>
    <s v=" February "/>
    <x v="13"/>
    <x v="1"/>
    <s v="Mindanao"/>
    <n v="104.39"/>
  </r>
  <r>
    <n v="202303"/>
    <x v="38"/>
    <n v="2023"/>
    <s v=" March "/>
    <x v="13"/>
    <x v="1"/>
    <s v="Mindanao"/>
    <n v="132.11000000000001"/>
  </r>
  <r>
    <n v="202304"/>
    <x v="39"/>
    <n v="2023"/>
    <s v=" April "/>
    <x v="13"/>
    <x v="1"/>
    <s v="Mindanao"/>
    <n v="187.79"/>
  </r>
  <r>
    <n v="202305"/>
    <x v="40"/>
    <n v="2023"/>
    <s v=" May "/>
    <x v="13"/>
    <x v="1"/>
    <s v="Mindanao"/>
    <n v="117.24"/>
  </r>
  <r>
    <n v="202306"/>
    <x v="41"/>
    <n v="2023"/>
    <s v=" June "/>
    <x v="13"/>
    <x v="1"/>
    <s v="Mindanao"/>
    <n v="166.47"/>
  </r>
  <r>
    <n v="202307"/>
    <x v="42"/>
    <n v="2023"/>
    <s v=" July "/>
    <x v="13"/>
    <x v="1"/>
    <s v="Mindanao"/>
    <n v="140.88999999999999"/>
  </r>
  <r>
    <n v="202308"/>
    <x v="43"/>
    <n v="2023"/>
    <s v=" August "/>
    <x v="13"/>
    <x v="1"/>
    <s v="Mindanao"/>
    <n v="142.37"/>
  </r>
  <r>
    <n v="202309"/>
    <x v="44"/>
    <n v="2023"/>
    <s v=" September "/>
    <x v="13"/>
    <x v="1"/>
    <s v="Mindanao"/>
    <n v="144.44999999999999"/>
  </r>
  <r>
    <n v="202310"/>
    <x v="45"/>
    <n v="2023"/>
    <s v=" October "/>
    <x v="13"/>
    <x v="1"/>
    <s v="Mindanao"/>
    <n v="182.78"/>
  </r>
  <r>
    <n v="202311"/>
    <x v="46"/>
    <n v="2023"/>
    <s v=" November "/>
    <x v="13"/>
    <x v="1"/>
    <s v="Mindanao"/>
    <n v="128.91"/>
  </r>
  <r>
    <n v="202312"/>
    <x v="47"/>
    <n v="2023"/>
    <s v=" December "/>
    <x v="13"/>
    <x v="1"/>
    <s v="Mindanao"/>
    <n v="159.63999999999999"/>
  </r>
  <r>
    <n v="202301"/>
    <x v="36"/>
    <n v="2023"/>
    <s v=" January "/>
    <x v="13"/>
    <x v="1"/>
    <s v="Mindanao"/>
    <n v="84.7"/>
  </r>
  <r>
    <n v="202302"/>
    <x v="37"/>
    <n v="2023"/>
    <s v=" February "/>
    <x v="13"/>
    <x v="1"/>
    <s v="Mindanao"/>
    <n v="53.08"/>
  </r>
  <r>
    <n v="202303"/>
    <x v="38"/>
    <n v="2023"/>
    <s v=" March "/>
    <x v="13"/>
    <x v="1"/>
    <s v="Mindanao"/>
    <n v="60.14"/>
  </r>
  <r>
    <n v="202304"/>
    <x v="39"/>
    <n v="2023"/>
    <s v=" April "/>
    <x v="13"/>
    <x v="1"/>
    <s v="Mindanao"/>
    <n v="133.76"/>
  </r>
  <r>
    <n v="202305"/>
    <x v="40"/>
    <n v="2023"/>
    <s v=" May "/>
    <x v="13"/>
    <x v="1"/>
    <s v="Mindanao"/>
    <n v="97.04"/>
  </r>
  <r>
    <n v="202306"/>
    <x v="41"/>
    <n v="2023"/>
    <s v=" June "/>
    <x v="13"/>
    <x v="1"/>
    <s v="Mindanao"/>
    <n v="60.82"/>
  </r>
  <r>
    <n v="202307"/>
    <x v="42"/>
    <n v="2023"/>
    <s v=" July "/>
    <x v="13"/>
    <x v="1"/>
    <s v="Mindanao"/>
    <n v="127.59"/>
  </r>
  <r>
    <n v="202308"/>
    <x v="43"/>
    <n v="2023"/>
    <s v=" August "/>
    <x v="13"/>
    <x v="1"/>
    <s v="Mindanao"/>
    <n v="85.53"/>
  </r>
  <r>
    <n v="202309"/>
    <x v="44"/>
    <n v="2023"/>
    <s v=" September "/>
    <x v="13"/>
    <x v="1"/>
    <s v="Mindanao"/>
    <n v="97.01"/>
  </r>
  <r>
    <n v="202310"/>
    <x v="45"/>
    <n v="2023"/>
    <s v=" October "/>
    <x v="13"/>
    <x v="1"/>
    <s v="Mindanao"/>
    <n v="125.09"/>
  </r>
  <r>
    <n v="202311"/>
    <x v="46"/>
    <n v="2023"/>
    <s v=" November "/>
    <x v="13"/>
    <x v="1"/>
    <s v="Mindanao"/>
    <n v="76.180000000000007"/>
  </r>
  <r>
    <n v="202312"/>
    <x v="47"/>
    <n v="2023"/>
    <s v=" December "/>
    <x v="13"/>
    <x v="1"/>
    <s v="Mindanao"/>
    <n v="129.13999999999999"/>
  </r>
  <r>
    <n v="202301"/>
    <x v="36"/>
    <n v="2023"/>
    <s v=" January "/>
    <x v="13"/>
    <x v="1"/>
    <s v="Mindanao"/>
    <n v="737.48"/>
  </r>
  <r>
    <n v="202302"/>
    <x v="37"/>
    <n v="2023"/>
    <s v=" February "/>
    <x v="13"/>
    <x v="1"/>
    <s v="Mindanao"/>
    <n v="388.07"/>
  </r>
  <r>
    <n v="202303"/>
    <x v="38"/>
    <n v="2023"/>
    <s v=" March "/>
    <x v="13"/>
    <x v="1"/>
    <s v="Mindanao"/>
    <n v="543.25"/>
  </r>
  <r>
    <n v="202304"/>
    <x v="39"/>
    <n v="2023"/>
    <s v=" April "/>
    <x v="13"/>
    <x v="1"/>
    <s v="Mindanao"/>
    <n v="869.12"/>
  </r>
  <r>
    <n v="202305"/>
    <x v="40"/>
    <n v="2023"/>
    <s v=" May "/>
    <x v="13"/>
    <x v="1"/>
    <s v="Mindanao"/>
    <n v="630.29"/>
  </r>
  <r>
    <n v="202306"/>
    <x v="41"/>
    <n v="2023"/>
    <s v=" June "/>
    <x v="13"/>
    <x v="1"/>
    <s v="Mindanao"/>
    <n v="522.54"/>
  </r>
  <r>
    <n v="202307"/>
    <x v="42"/>
    <n v="2023"/>
    <s v=" July "/>
    <x v="13"/>
    <x v="1"/>
    <s v="Mindanao"/>
    <n v="864.72"/>
  </r>
  <r>
    <n v="202308"/>
    <x v="43"/>
    <n v="2023"/>
    <s v=" August "/>
    <x v="13"/>
    <x v="1"/>
    <s v="Mindanao"/>
    <n v="890.81"/>
  </r>
  <r>
    <n v="202309"/>
    <x v="44"/>
    <n v="2023"/>
    <s v=" September "/>
    <x v="13"/>
    <x v="1"/>
    <s v="Mindanao"/>
    <n v="787.35"/>
  </r>
  <r>
    <n v="202310"/>
    <x v="45"/>
    <n v="2023"/>
    <s v=" October "/>
    <x v="13"/>
    <x v="1"/>
    <s v="Mindanao"/>
    <n v="918.78"/>
  </r>
  <r>
    <n v="202311"/>
    <x v="46"/>
    <n v="2023"/>
    <s v=" November "/>
    <x v="13"/>
    <x v="1"/>
    <s v="Mindanao"/>
    <n v="500.68"/>
  </r>
  <r>
    <n v="202312"/>
    <x v="47"/>
    <n v="2023"/>
    <s v=" December "/>
    <x v="13"/>
    <x v="1"/>
    <s v="Mindanao"/>
    <n v="729.87"/>
  </r>
  <r>
    <n v="202301"/>
    <x v="36"/>
    <n v="2023"/>
    <s v=" January "/>
    <x v="14"/>
    <x v="1"/>
    <s v="Mindanao"/>
    <n v="531.14"/>
  </r>
  <r>
    <n v="202302"/>
    <x v="37"/>
    <n v="2023"/>
    <s v=" February "/>
    <x v="14"/>
    <x v="1"/>
    <s v="Mindanao"/>
    <n v="266.43"/>
  </r>
  <r>
    <n v="202303"/>
    <x v="38"/>
    <n v="2023"/>
    <s v=" March "/>
    <x v="14"/>
    <x v="1"/>
    <s v="Mindanao"/>
    <n v="352.07"/>
  </r>
  <r>
    <n v="202304"/>
    <x v="39"/>
    <n v="2023"/>
    <s v=" April "/>
    <x v="14"/>
    <x v="1"/>
    <s v="Mindanao"/>
    <n v="498.87"/>
  </r>
  <r>
    <n v="202305"/>
    <x v="40"/>
    <n v="2023"/>
    <s v=" May "/>
    <x v="14"/>
    <x v="1"/>
    <s v="Mindanao"/>
    <n v="354.91"/>
  </r>
  <r>
    <n v="202306"/>
    <x v="41"/>
    <n v="2023"/>
    <s v=" June "/>
    <x v="14"/>
    <x v="1"/>
    <s v="Mindanao"/>
    <n v="342.63"/>
  </r>
  <r>
    <n v="202307"/>
    <x v="42"/>
    <n v="2023"/>
    <s v=" July "/>
    <x v="14"/>
    <x v="1"/>
    <s v="Mindanao"/>
    <n v="397.02"/>
  </r>
  <r>
    <n v="202308"/>
    <x v="43"/>
    <n v="2023"/>
    <s v=" August "/>
    <x v="14"/>
    <x v="1"/>
    <s v="Mindanao"/>
    <n v="369.07"/>
  </r>
  <r>
    <n v="202309"/>
    <x v="44"/>
    <n v="2023"/>
    <s v=" September "/>
    <x v="14"/>
    <x v="1"/>
    <s v="Mindanao"/>
    <n v="338.68"/>
  </r>
  <r>
    <n v="202310"/>
    <x v="45"/>
    <n v="2023"/>
    <s v=" October "/>
    <x v="14"/>
    <x v="1"/>
    <s v="Mindanao"/>
    <n v="439.46"/>
  </r>
  <r>
    <n v="202311"/>
    <x v="46"/>
    <n v="2023"/>
    <s v=" November "/>
    <x v="14"/>
    <x v="1"/>
    <s v="Mindanao"/>
    <n v="367.25"/>
  </r>
  <r>
    <n v="202312"/>
    <x v="47"/>
    <n v="2023"/>
    <s v=" December "/>
    <x v="14"/>
    <x v="1"/>
    <s v="Mindanao"/>
    <n v="378.37"/>
  </r>
  <r>
    <n v="202301"/>
    <x v="36"/>
    <n v="2023"/>
    <s v=" January "/>
    <x v="14"/>
    <x v="1"/>
    <s v="Mindanao"/>
    <n v="171.01"/>
  </r>
  <r>
    <n v="202302"/>
    <x v="37"/>
    <n v="2023"/>
    <s v=" February "/>
    <x v="14"/>
    <x v="1"/>
    <s v="Mindanao"/>
    <n v="107.18"/>
  </r>
  <r>
    <n v="202303"/>
    <x v="38"/>
    <n v="2023"/>
    <s v=" March "/>
    <x v="14"/>
    <x v="1"/>
    <s v="Mindanao"/>
    <n v="151.22999999999999"/>
  </r>
  <r>
    <n v="202304"/>
    <x v="39"/>
    <n v="2023"/>
    <s v=" April "/>
    <x v="14"/>
    <x v="1"/>
    <s v="Mindanao"/>
    <n v="242.2"/>
  </r>
  <r>
    <n v="202305"/>
    <x v="40"/>
    <n v="2023"/>
    <s v=" May "/>
    <x v="14"/>
    <x v="1"/>
    <s v="Mindanao"/>
    <n v="167.47"/>
  </r>
  <r>
    <n v="202306"/>
    <x v="41"/>
    <n v="2023"/>
    <s v=" June "/>
    <x v="14"/>
    <x v="1"/>
    <s v="Mindanao"/>
    <n v="168.89"/>
  </r>
  <r>
    <n v="202307"/>
    <x v="42"/>
    <n v="2023"/>
    <s v=" July "/>
    <x v="14"/>
    <x v="1"/>
    <s v="Mindanao"/>
    <n v="230.24"/>
  </r>
  <r>
    <n v="202308"/>
    <x v="43"/>
    <n v="2023"/>
    <s v=" August "/>
    <x v="14"/>
    <x v="1"/>
    <s v="Mindanao"/>
    <n v="147.72"/>
  </r>
  <r>
    <n v="202309"/>
    <x v="44"/>
    <n v="2023"/>
    <s v=" September "/>
    <x v="14"/>
    <x v="1"/>
    <s v="Mindanao"/>
    <n v="155.49"/>
  </r>
  <r>
    <n v="202310"/>
    <x v="45"/>
    <n v="2023"/>
    <s v=" October "/>
    <x v="14"/>
    <x v="1"/>
    <s v="Mindanao"/>
    <n v="193.52"/>
  </r>
  <r>
    <n v="202311"/>
    <x v="46"/>
    <n v="2023"/>
    <s v=" November "/>
    <x v="14"/>
    <x v="1"/>
    <s v="Mindanao"/>
    <n v="146.03"/>
  </r>
  <r>
    <n v="202312"/>
    <x v="47"/>
    <n v="2023"/>
    <s v=" December "/>
    <x v="14"/>
    <x v="1"/>
    <s v="Mindanao"/>
    <n v="192.97"/>
  </r>
  <r>
    <n v="202301"/>
    <x v="36"/>
    <n v="2023"/>
    <s v=" January "/>
    <x v="14"/>
    <x v="1"/>
    <s v="Mindanao"/>
    <n v="101.85"/>
  </r>
  <r>
    <n v="202302"/>
    <x v="37"/>
    <n v="2023"/>
    <s v=" February "/>
    <x v="14"/>
    <x v="1"/>
    <s v="Mindanao"/>
    <n v="58.89"/>
  </r>
  <r>
    <n v="202303"/>
    <x v="38"/>
    <n v="2023"/>
    <s v=" March "/>
    <x v="14"/>
    <x v="1"/>
    <s v="Mindanao"/>
    <n v="118.35"/>
  </r>
  <r>
    <n v="202304"/>
    <x v="39"/>
    <n v="2023"/>
    <s v=" April "/>
    <x v="14"/>
    <x v="1"/>
    <s v="Mindanao"/>
    <n v="133.85"/>
  </r>
  <r>
    <n v="202305"/>
    <x v="40"/>
    <n v="2023"/>
    <s v=" May "/>
    <x v="14"/>
    <x v="1"/>
    <s v="Mindanao"/>
    <n v="121.41"/>
  </r>
  <r>
    <n v="202306"/>
    <x v="41"/>
    <n v="2023"/>
    <s v=" June "/>
    <x v="14"/>
    <x v="1"/>
    <s v="Mindanao"/>
    <n v="93.7"/>
  </r>
  <r>
    <n v="202307"/>
    <x v="42"/>
    <n v="2023"/>
    <s v=" July "/>
    <x v="14"/>
    <x v="1"/>
    <s v="Mindanao"/>
    <n v="149.66999999999999"/>
  </r>
  <r>
    <n v="202308"/>
    <x v="43"/>
    <n v="2023"/>
    <s v=" August "/>
    <x v="14"/>
    <x v="1"/>
    <s v="Mindanao"/>
    <n v="156.78"/>
  </r>
  <r>
    <n v="202309"/>
    <x v="44"/>
    <n v="2023"/>
    <s v=" September "/>
    <x v="14"/>
    <x v="1"/>
    <s v="Mindanao"/>
    <n v="128.83000000000001"/>
  </r>
  <r>
    <n v="202310"/>
    <x v="45"/>
    <n v="2023"/>
    <s v=" October "/>
    <x v="14"/>
    <x v="1"/>
    <s v="Mindanao"/>
    <n v="155.30000000000001"/>
  </r>
  <r>
    <n v="202311"/>
    <x v="46"/>
    <n v="2023"/>
    <s v=" November "/>
    <x v="14"/>
    <x v="1"/>
    <s v="Mindanao"/>
    <n v="83.84"/>
  </r>
  <r>
    <n v="202312"/>
    <x v="47"/>
    <n v="2023"/>
    <s v=" December "/>
    <x v="14"/>
    <x v="1"/>
    <s v="Mindanao"/>
    <n v="120.67"/>
  </r>
  <r>
    <n v="202301"/>
    <x v="36"/>
    <n v="2023"/>
    <s v=" January "/>
    <x v="14"/>
    <x v="1"/>
    <s v="Mindanao"/>
    <n v="1284.1500000000001"/>
  </r>
  <r>
    <n v="202302"/>
    <x v="37"/>
    <n v="2023"/>
    <s v=" February "/>
    <x v="14"/>
    <x v="1"/>
    <s v="Mindanao"/>
    <n v="741.29"/>
  </r>
  <r>
    <n v="202303"/>
    <x v="38"/>
    <n v="2023"/>
    <s v=" March "/>
    <x v="14"/>
    <x v="1"/>
    <s v="Mindanao"/>
    <n v="1153.4100000000001"/>
  </r>
  <r>
    <n v="202304"/>
    <x v="39"/>
    <n v="2023"/>
    <s v=" April "/>
    <x v="14"/>
    <x v="1"/>
    <s v="Mindanao"/>
    <n v="1731.48"/>
  </r>
  <r>
    <n v="202305"/>
    <x v="40"/>
    <n v="2023"/>
    <s v=" May "/>
    <x v="14"/>
    <x v="1"/>
    <s v="Mindanao"/>
    <n v="1168.58"/>
  </r>
  <r>
    <n v="202306"/>
    <x v="41"/>
    <n v="2023"/>
    <s v=" June "/>
    <x v="14"/>
    <x v="1"/>
    <s v="Mindanao"/>
    <n v="1041.58"/>
  </r>
  <r>
    <n v="202307"/>
    <x v="42"/>
    <n v="2023"/>
    <s v=" July "/>
    <x v="14"/>
    <x v="1"/>
    <s v="Mindanao"/>
    <n v="1466.64"/>
  </r>
  <r>
    <n v="202308"/>
    <x v="43"/>
    <n v="2023"/>
    <s v=" August "/>
    <x v="14"/>
    <x v="1"/>
    <s v="Mindanao"/>
    <n v="1118.3800000000001"/>
  </r>
  <r>
    <n v="202309"/>
    <x v="44"/>
    <n v="2023"/>
    <s v=" September "/>
    <x v="14"/>
    <x v="1"/>
    <s v="Mindanao"/>
    <n v="990.76"/>
  </r>
  <r>
    <n v="202310"/>
    <x v="45"/>
    <n v="2023"/>
    <s v=" October "/>
    <x v="14"/>
    <x v="1"/>
    <s v="Mindanao"/>
    <n v="1678.85"/>
  </r>
  <r>
    <n v="202311"/>
    <x v="46"/>
    <n v="2023"/>
    <s v=" November "/>
    <x v="14"/>
    <x v="1"/>
    <s v="Mindanao"/>
    <n v="1254.67"/>
  </r>
  <r>
    <n v="202312"/>
    <x v="47"/>
    <n v="2023"/>
    <s v=" December "/>
    <x v="14"/>
    <x v="1"/>
    <s v="Mindanao"/>
    <n v="1276.23"/>
  </r>
  <r>
    <n v="202301"/>
    <x v="36"/>
    <n v="2023"/>
    <s v=" January "/>
    <x v="14"/>
    <x v="1"/>
    <s v="Mindanao"/>
    <n v="2383.4699999999998"/>
  </r>
  <r>
    <n v="202302"/>
    <x v="37"/>
    <n v="2023"/>
    <s v=" February "/>
    <x v="14"/>
    <x v="1"/>
    <s v="Mindanao"/>
    <n v="999.76"/>
  </r>
  <r>
    <n v="202303"/>
    <x v="38"/>
    <n v="2023"/>
    <s v=" March "/>
    <x v="14"/>
    <x v="1"/>
    <s v="Mindanao"/>
    <n v="1438.87"/>
  </r>
  <r>
    <n v="202304"/>
    <x v="39"/>
    <n v="2023"/>
    <s v=" April "/>
    <x v="14"/>
    <x v="1"/>
    <s v="Mindanao"/>
    <n v="3487.44"/>
  </r>
  <r>
    <n v="202305"/>
    <x v="40"/>
    <n v="2023"/>
    <s v=" May "/>
    <x v="14"/>
    <x v="1"/>
    <s v="Mindanao"/>
    <n v="2173.5300000000002"/>
  </r>
  <r>
    <n v="202306"/>
    <x v="41"/>
    <n v="2023"/>
    <s v=" June "/>
    <x v="14"/>
    <x v="1"/>
    <s v="Mindanao"/>
    <n v="1354.78"/>
  </r>
  <r>
    <n v="202307"/>
    <x v="42"/>
    <n v="2023"/>
    <s v=" July "/>
    <x v="14"/>
    <x v="1"/>
    <s v="Mindanao"/>
    <n v="2220.21"/>
  </r>
  <r>
    <n v="202308"/>
    <x v="43"/>
    <n v="2023"/>
    <s v=" August "/>
    <x v="14"/>
    <x v="1"/>
    <s v="Mindanao"/>
    <n v="1947.34"/>
  </r>
  <r>
    <n v="202309"/>
    <x v="44"/>
    <n v="2023"/>
    <s v=" September "/>
    <x v="14"/>
    <x v="1"/>
    <s v="Mindanao"/>
    <n v="1419.43"/>
  </r>
  <r>
    <n v="202310"/>
    <x v="45"/>
    <n v="2023"/>
    <s v=" October "/>
    <x v="14"/>
    <x v="1"/>
    <s v="Mindanao"/>
    <n v="2431.58"/>
  </r>
  <r>
    <n v="202311"/>
    <x v="46"/>
    <n v="2023"/>
    <s v=" November "/>
    <x v="14"/>
    <x v="1"/>
    <s v="Mindanao"/>
    <n v="2203.9"/>
  </r>
  <r>
    <n v="202312"/>
    <x v="47"/>
    <n v="2023"/>
    <s v=" December "/>
    <x v="14"/>
    <x v="1"/>
    <s v="Mindanao"/>
    <n v="1554.94"/>
  </r>
  <r>
    <n v="202301"/>
    <x v="36"/>
    <n v="2023"/>
    <s v=" January "/>
    <x v="15"/>
    <x v="1"/>
    <s v="Mindanao"/>
    <n v="194.41"/>
  </r>
  <r>
    <n v="202302"/>
    <x v="37"/>
    <n v="2023"/>
    <s v=" February "/>
    <x v="15"/>
    <x v="1"/>
    <s v="Mindanao"/>
    <n v="149.21"/>
  </r>
  <r>
    <n v="202303"/>
    <x v="38"/>
    <n v="2023"/>
    <s v=" March "/>
    <x v="15"/>
    <x v="1"/>
    <s v="Mindanao"/>
    <n v="179.41"/>
  </r>
  <r>
    <n v="202304"/>
    <x v="39"/>
    <n v="2023"/>
    <s v=" April "/>
    <x v="15"/>
    <x v="1"/>
    <s v="Mindanao"/>
    <n v="261.85000000000002"/>
  </r>
  <r>
    <n v="202305"/>
    <x v="40"/>
    <n v="2023"/>
    <s v=" May "/>
    <x v="15"/>
    <x v="1"/>
    <s v="Mindanao"/>
    <n v="182.29"/>
  </r>
  <r>
    <n v="202306"/>
    <x v="41"/>
    <n v="2023"/>
    <s v=" June "/>
    <x v="15"/>
    <x v="1"/>
    <s v="Mindanao"/>
    <n v="167.67"/>
  </r>
  <r>
    <n v="202307"/>
    <x v="42"/>
    <n v="2023"/>
    <s v=" July "/>
    <x v="15"/>
    <x v="1"/>
    <s v="Mindanao"/>
    <n v="178.49"/>
  </r>
  <r>
    <n v="202308"/>
    <x v="43"/>
    <n v="2023"/>
    <s v=" August "/>
    <x v="15"/>
    <x v="1"/>
    <s v="Mindanao"/>
    <n v="182.28"/>
  </r>
  <r>
    <n v="202309"/>
    <x v="44"/>
    <n v="2023"/>
    <s v=" September "/>
    <x v="15"/>
    <x v="1"/>
    <s v="Mindanao"/>
    <n v="152.71"/>
  </r>
  <r>
    <n v="202310"/>
    <x v="45"/>
    <n v="2023"/>
    <s v=" October "/>
    <x v="15"/>
    <x v="1"/>
    <s v="Mindanao"/>
    <n v="202.4"/>
  </r>
  <r>
    <n v="202311"/>
    <x v="46"/>
    <n v="2023"/>
    <s v=" November "/>
    <x v="15"/>
    <x v="1"/>
    <s v="Mindanao"/>
    <n v="169.35"/>
  </r>
  <r>
    <n v="202312"/>
    <x v="47"/>
    <n v="2023"/>
    <s v=" December "/>
    <x v="15"/>
    <x v="1"/>
    <s v="Mindanao"/>
    <n v="211.76"/>
  </r>
  <r>
    <n v="202301"/>
    <x v="36"/>
    <n v="2023"/>
    <s v=" January "/>
    <x v="15"/>
    <x v="1"/>
    <s v="Mindanao"/>
    <n v="424.2"/>
  </r>
  <r>
    <n v="202302"/>
    <x v="37"/>
    <n v="2023"/>
    <s v=" February "/>
    <x v="15"/>
    <x v="1"/>
    <s v="Mindanao"/>
    <n v="164.43"/>
  </r>
  <r>
    <n v="202303"/>
    <x v="38"/>
    <n v="2023"/>
    <s v=" March "/>
    <x v="15"/>
    <x v="1"/>
    <s v="Mindanao"/>
    <n v="256.22000000000003"/>
  </r>
  <r>
    <n v="202304"/>
    <x v="39"/>
    <n v="2023"/>
    <s v=" April "/>
    <x v="15"/>
    <x v="1"/>
    <s v="Mindanao"/>
    <n v="677"/>
  </r>
  <r>
    <n v="202305"/>
    <x v="40"/>
    <n v="2023"/>
    <s v=" May "/>
    <x v="15"/>
    <x v="1"/>
    <s v="Mindanao"/>
    <n v="276.73"/>
  </r>
  <r>
    <n v="202306"/>
    <x v="41"/>
    <n v="2023"/>
    <s v=" June "/>
    <x v="15"/>
    <x v="1"/>
    <s v="Mindanao"/>
    <n v="254.21"/>
  </r>
  <r>
    <n v="202307"/>
    <x v="42"/>
    <n v="2023"/>
    <s v=" July "/>
    <x v="15"/>
    <x v="1"/>
    <s v="Mindanao"/>
    <n v="623.54999999999995"/>
  </r>
  <r>
    <n v="202308"/>
    <x v="43"/>
    <n v="2023"/>
    <s v=" August "/>
    <x v="15"/>
    <x v="1"/>
    <s v="Mindanao"/>
    <n v="378.94"/>
  </r>
  <r>
    <n v="202309"/>
    <x v="44"/>
    <n v="2023"/>
    <s v=" September "/>
    <x v="15"/>
    <x v="1"/>
    <s v="Mindanao"/>
    <n v="318.76"/>
  </r>
  <r>
    <n v="202310"/>
    <x v="45"/>
    <n v="2023"/>
    <s v=" October "/>
    <x v="15"/>
    <x v="1"/>
    <s v="Mindanao"/>
    <n v="441.18"/>
  </r>
  <r>
    <n v="202311"/>
    <x v="46"/>
    <n v="2023"/>
    <s v=" November "/>
    <x v="15"/>
    <x v="1"/>
    <s v="Mindanao"/>
    <n v="689.74"/>
  </r>
  <r>
    <n v="202312"/>
    <x v="47"/>
    <n v="2023"/>
    <s v=" December "/>
    <x v="15"/>
    <x v="1"/>
    <s v="Mindanao"/>
    <n v="504.15"/>
  </r>
  <r>
    <n v="202301"/>
    <x v="36"/>
    <n v="2023"/>
    <s v=" January "/>
    <x v="15"/>
    <x v="1"/>
    <s v="Mindanao"/>
    <n v="275.10000000000002"/>
  </r>
  <r>
    <n v="202302"/>
    <x v="37"/>
    <n v="2023"/>
    <s v=" February "/>
    <x v="15"/>
    <x v="1"/>
    <s v="Mindanao"/>
    <n v="125.9"/>
  </r>
  <r>
    <n v="202303"/>
    <x v="38"/>
    <n v="2023"/>
    <s v=" March "/>
    <x v="15"/>
    <x v="1"/>
    <s v="Mindanao"/>
    <n v="214.69"/>
  </r>
  <r>
    <n v="202304"/>
    <x v="39"/>
    <n v="2023"/>
    <s v=" April "/>
    <x v="15"/>
    <x v="1"/>
    <s v="Mindanao"/>
    <n v="289.08999999999997"/>
  </r>
  <r>
    <n v="202305"/>
    <x v="40"/>
    <n v="2023"/>
    <s v=" May "/>
    <x v="15"/>
    <x v="1"/>
    <s v="Mindanao"/>
    <n v="193.02"/>
  </r>
  <r>
    <n v="202306"/>
    <x v="41"/>
    <n v="2023"/>
    <s v=" June "/>
    <x v="15"/>
    <x v="1"/>
    <s v="Mindanao"/>
    <n v="242.62"/>
  </r>
  <r>
    <n v="202307"/>
    <x v="42"/>
    <n v="2023"/>
    <s v=" July "/>
    <x v="15"/>
    <x v="1"/>
    <s v="Mindanao"/>
    <n v="428.38"/>
  </r>
  <r>
    <n v="202308"/>
    <x v="43"/>
    <n v="2023"/>
    <s v=" August "/>
    <x v="15"/>
    <x v="1"/>
    <s v="Mindanao"/>
    <n v="244.14"/>
  </r>
  <r>
    <n v="202309"/>
    <x v="44"/>
    <n v="2023"/>
    <s v=" September "/>
    <x v="15"/>
    <x v="1"/>
    <s v="Mindanao"/>
    <n v="293.58"/>
  </r>
  <r>
    <n v="202310"/>
    <x v="45"/>
    <n v="2023"/>
    <s v=" October "/>
    <x v="15"/>
    <x v="1"/>
    <s v="Mindanao"/>
    <n v="357.28"/>
  </r>
  <r>
    <n v="202311"/>
    <x v="46"/>
    <n v="2023"/>
    <s v=" November "/>
    <x v="15"/>
    <x v="1"/>
    <s v="Mindanao"/>
    <n v="233.1"/>
  </r>
  <r>
    <n v="202312"/>
    <x v="47"/>
    <n v="2023"/>
    <s v=" December "/>
    <x v="15"/>
    <x v="1"/>
    <s v="Mindanao"/>
    <n v="359.63"/>
  </r>
  <r>
    <n v="202301"/>
    <x v="36"/>
    <n v="2023"/>
    <s v=" January "/>
    <x v="15"/>
    <x v="1"/>
    <s v="Mindanao"/>
    <n v="115.09"/>
  </r>
  <r>
    <n v="202302"/>
    <x v="37"/>
    <n v="2023"/>
    <s v=" February "/>
    <x v="15"/>
    <x v="1"/>
    <s v="Mindanao"/>
    <n v="99.14"/>
  </r>
  <r>
    <n v="202303"/>
    <x v="38"/>
    <n v="2023"/>
    <s v=" March "/>
    <x v="15"/>
    <x v="1"/>
    <s v="Mindanao"/>
    <n v="111.89"/>
  </r>
  <r>
    <n v="202304"/>
    <x v="39"/>
    <n v="2023"/>
    <s v=" April "/>
    <x v="15"/>
    <x v="1"/>
    <s v="Mindanao"/>
    <n v="155.65"/>
  </r>
  <r>
    <n v="202305"/>
    <x v="40"/>
    <n v="2023"/>
    <s v=" May "/>
    <x v="15"/>
    <x v="1"/>
    <s v="Mindanao"/>
    <n v="134.59"/>
  </r>
  <r>
    <n v="202306"/>
    <x v="41"/>
    <n v="2023"/>
    <s v=" June "/>
    <x v="15"/>
    <x v="1"/>
    <s v="Mindanao"/>
    <n v="99.42"/>
  </r>
  <r>
    <n v="202307"/>
    <x v="42"/>
    <n v="2023"/>
    <s v=" July "/>
    <x v="15"/>
    <x v="1"/>
    <s v="Mindanao"/>
    <n v="130.88999999999999"/>
  </r>
  <r>
    <n v="202308"/>
    <x v="43"/>
    <n v="2023"/>
    <s v=" August "/>
    <x v="15"/>
    <x v="1"/>
    <s v="Mindanao"/>
    <n v="121.09"/>
  </r>
  <r>
    <n v="202309"/>
    <x v="44"/>
    <n v="2023"/>
    <s v=" September "/>
    <x v="15"/>
    <x v="1"/>
    <s v="Mindanao"/>
    <n v="97.93"/>
  </r>
  <r>
    <n v="202310"/>
    <x v="45"/>
    <n v="2023"/>
    <s v=" October "/>
    <x v="15"/>
    <x v="1"/>
    <s v="Mindanao"/>
    <n v="166.58"/>
  </r>
  <r>
    <n v="202311"/>
    <x v="46"/>
    <n v="2023"/>
    <s v=" November "/>
    <x v="15"/>
    <x v="1"/>
    <s v="Mindanao"/>
    <n v="157.66"/>
  </r>
  <r>
    <n v="202312"/>
    <x v="47"/>
    <n v="2023"/>
    <s v=" December "/>
    <x v="15"/>
    <x v="1"/>
    <s v="Mindanao"/>
    <n v="134"/>
  </r>
  <r>
    <n v="202301"/>
    <x v="36"/>
    <n v="2023"/>
    <s v=" January "/>
    <x v="16"/>
    <x v="1"/>
    <s v="Mindanao"/>
    <n v="454.63"/>
  </r>
  <r>
    <n v="202302"/>
    <x v="37"/>
    <n v="2023"/>
    <s v=" February "/>
    <x v="16"/>
    <x v="1"/>
    <s v="Mindanao"/>
    <n v="251.31"/>
  </r>
  <r>
    <n v="202303"/>
    <x v="38"/>
    <n v="2023"/>
    <s v=" March "/>
    <x v="16"/>
    <x v="1"/>
    <s v="Mindanao"/>
    <n v="328.69"/>
  </r>
  <r>
    <n v="202304"/>
    <x v="39"/>
    <n v="2023"/>
    <s v=" April "/>
    <x v="16"/>
    <x v="1"/>
    <s v="Mindanao"/>
    <n v="364.82"/>
  </r>
  <r>
    <n v="202305"/>
    <x v="40"/>
    <n v="2023"/>
    <s v=" May "/>
    <x v="16"/>
    <x v="1"/>
    <s v="Mindanao"/>
    <n v="304.70999999999998"/>
  </r>
  <r>
    <n v="202306"/>
    <x v="41"/>
    <n v="2023"/>
    <s v=" June "/>
    <x v="16"/>
    <x v="1"/>
    <s v="Mindanao"/>
    <n v="317.88"/>
  </r>
  <r>
    <n v="202307"/>
    <x v="42"/>
    <n v="2023"/>
    <s v=" July "/>
    <x v="16"/>
    <x v="1"/>
    <s v="Mindanao"/>
    <n v="255.03"/>
  </r>
  <r>
    <n v="202308"/>
    <x v="43"/>
    <n v="2023"/>
    <s v=" August "/>
    <x v="16"/>
    <x v="1"/>
    <s v="Mindanao"/>
    <n v="504.13"/>
  </r>
  <r>
    <n v="202309"/>
    <x v="44"/>
    <n v="2023"/>
    <s v=" September "/>
    <x v="16"/>
    <x v="1"/>
    <s v="Mindanao"/>
    <n v="409.46"/>
  </r>
  <r>
    <n v="202310"/>
    <x v="45"/>
    <n v="2023"/>
    <s v=" October "/>
    <x v="16"/>
    <x v="1"/>
    <s v="Mindanao"/>
    <n v="427.95"/>
  </r>
  <r>
    <n v="202311"/>
    <x v="46"/>
    <n v="2023"/>
    <s v=" November "/>
    <x v="16"/>
    <x v="1"/>
    <s v="Mindanao"/>
    <n v="306.06"/>
  </r>
  <r>
    <n v="202312"/>
    <x v="47"/>
    <n v="2023"/>
    <s v=" December "/>
    <x v="16"/>
    <x v="1"/>
    <s v="Mindanao"/>
    <n v="407.01"/>
  </r>
  <r>
    <n v="202301"/>
    <x v="36"/>
    <n v="2023"/>
    <s v=" January "/>
    <x v="16"/>
    <x v="1"/>
    <s v="Mindanao"/>
    <n v="175.41"/>
  </r>
  <r>
    <n v="202302"/>
    <x v="37"/>
    <n v="2023"/>
    <s v=" February "/>
    <x v="16"/>
    <x v="1"/>
    <s v="Mindanao"/>
    <n v="109.17"/>
  </r>
  <r>
    <n v="202303"/>
    <x v="38"/>
    <n v="2023"/>
    <s v=" March "/>
    <x v="16"/>
    <x v="1"/>
    <s v="Mindanao"/>
    <n v="134.71"/>
  </r>
  <r>
    <n v="202304"/>
    <x v="39"/>
    <n v="2023"/>
    <s v=" April "/>
    <x v="16"/>
    <x v="1"/>
    <s v="Mindanao"/>
    <n v="170.87"/>
  </r>
  <r>
    <n v="202305"/>
    <x v="40"/>
    <n v="2023"/>
    <s v=" May "/>
    <x v="16"/>
    <x v="1"/>
    <s v="Mindanao"/>
    <n v="110.76"/>
  </r>
  <r>
    <n v="202306"/>
    <x v="41"/>
    <n v="2023"/>
    <s v=" June "/>
    <x v="16"/>
    <x v="1"/>
    <s v="Mindanao"/>
    <n v="117.31"/>
  </r>
  <r>
    <n v="202307"/>
    <x v="42"/>
    <n v="2023"/>
    <s v=" July "/>
    <x v="16"/>
    <x v="1"/>
    <s v="Mindanao"/>
    <n v="150.71"/>
  </r>
  <r>
    <n v="202308"/>
    <x v="43"/>
    <n v="2023"/>
    <s v=" August "/>
    <x v="16"/>
    <x v="1"/>
    <s v="Mindanao"/>
    <n v="139.46"/>
  </r>
  <r>
    <n v="202309"/>
    <x v="44"/>
    <n v="2023"/>
    <s v=" September "/>
    <x v="16"/>
    <x v="1"/>
    <s v="Mindanao"/>
    <n v="128.11000000000001"/>
  </r>
  <r>
    <n v="202310"/>
    <x v="45"/>
    <n v="2023"/>
    <s v=" October "/>
    <x v="16"/>
    <x v="1"/>
    <s v="Mindanao"/>
    <n v="158.51"/>
  </r>
  <r>
    <n v="202311"/>
    <x v="46"/>
    <n v="2023"/>
    <s v=" November "/>
    <x v="16"/>
    <x v="1"/>
    <s v="Mindanao"/>
    <n v="132.65"/>
  </r>
  <r>
    <n v="202312"/>
    <x v="47"/>
    <n v="2023"/>
    <s v=" December "/>
    <x v="16"/>
    <x v="1"/>
    <s v="Mindanao"/>
    <n v="115.86"/>
  </r>
  <r>
    <n v="202301"/>
    <x v="36"/>
    <n v="2023"/>
    <s v=" January "/>
    <x v="16"/>
    <x v="1"/>
    <s v="Mindanao"/>
    <n v="227.41"/>
  </r>
  <r>
    <n v="202302"/>
    <x v="37"/>
    <n v="2023"/>
    <s v=" February "/>
    <x v="16"/>
    <x v="1"/>
    <s v="Mindanao"/>
    <n v="135.35"/>
  </r>
  <r>
    <n v="202303"/>
    <x v="38"/>
    <n v="2023"/>
    <s v=" March "/>
    <x v="16"/>
    <x v="1"/>
    <s v="Mindanao"/>
    <n v="174.34"/>
  </r>
  <r>
    <n v="202304"/>
    <x v="39"/>
    <n v="2023"/>
    <s v=" April "/>
    <x v="16"/>
    <x v="1"/>
    <s v="Mindanao"/>
    <n v="207.41"/>
  </r>
  <r>
    <n v="202305"/>
    <x v="40"/>
    <n v="2023"/>
    <s v=" May "/>
    <x v="16"/>
    <x v="1"/>
    <s v="Mindanao"/>
    <n v="205.68"/>
  </r>
  <r>
    <n v="202306"/>
    <x v="41"/>
    <n v="2023"/>
    <s v=" June "/>
    <x v="16"/>
    <x v="1"/>
    <s v="Mindanao"/>
    <n v="162.97999999999999"/>
  </r>
  <r>
    <n v="202307"/>
    <x v="42"/>
    <n v="2023"/>
    <s v=" July "/>
    <x v="16"/>
    <x v="1"/>
    <s v="Mindanao"/>
    <n v="227.8"/>
  </r>
  <r>
    <n v="202308"/>
    <x v="43"/>
    <n v="2023"/>
    <s v=" August "/>
    <x v="16"/>
    <x v="1"/>
    <s v="Mindanao"/>
    <n v="174.61"/>
  </r>
  <r>
    <n v="202309"/>
    <x v="44"/>
    <n v="2023"/>
    <s v=" September "/>
    <x v="16"/>
    <x v="1"/>
    <s v="Mindanao"/>
    <n v="166.29"/>
  </r>
  <r>
    <n v="202310"/>
    <x v="45"/>
    <n v="2023"/>
    <s v=" October "/>
    <x v="16"/>
    <x v="1"/>
    <s v="Mindanao"/>
    <n v="242.35"/>
  </r>
  <r>
    <n v="202311"/>
    <x v="46"/>
    <n v="2023"/>
    <s v=" November "/>
    <x v="16"/>
    <x v="1"/>
    <s v="Mindanao"/>
    <n v="176.01"/>
  </r>
  <r>
    <n v="202312"/>
    <x v="47"/>
    <n v="2023"/>
    <s v=" December "/>
    <x v="16"/>
    <x v="1"/>
    <s v="Mindanao"/>
    <n v="175.22"/>
  </r>
  <r>
    <n v="202301"/>
    <x v="36"/>
    <n v="2023"/>
    <s v=" January "/>
    <x v="16"/>
    <x v="1"/>
    <s v="Mindanao"/>
    <n v="153.13999999999999"/>
  </r>
  <r>
    <n v="202302"/>
    <x v="37"/>
    <n v="2023"/>
    <s v=" February "/>
    <x v="16"/>
    <x v="1"/>
    <s v="Mindanao"/>
    <n v="93.45"/>
  </r>
  <r>
    <n v="202303"/>
    <x v="38"/>
    <n v="2023"/>
    <s v=" March "/>
    <x v="16"/>
    <x v="1"/>
    <s v="Mindanao"/>
    <n v="112.7"/>
  </r>
  <r>
    <n v="202304"/>
    <x v="39"/>
    <n v="2023"/>
    <s v=" April "/>
    <x v="16"/>
    <x v="1"/>
    <s v="Mindanao"/>
    <n v="153.25"/>
  </r>
  <r>
    <n v="202305"/>
    <x v="40"/>
    <n v="2023"/>
    <s v=" May "/>
    <x v="16"/>
    <x v="1"/>
    <s v="Mindanao"/>
    <n v="141.46"/>
  </r>
  <r>
    <n v="202306"/>
    <x v="41"/>
    <n v="2023"/>
    <s v=" June "/>
    <x v="16"/>
    <x v="1"/>
    <s v="Mindanao"/>
    <n v="129.91999999999999"/>
  </r>
  <r>
    <n v="202307"/>
    <x v="42"/>
    <n v="2023"/>
    <s v=" July "/>
    <x v="16"/>
    <x v="1"/>
    <s v="Mindanao"/>
    <n v="175.69"/>
  </r>
  <r>
    <n v="202308"/>
    <x v="43"/>
    <n v="2023"/>
    <s v=" August "/>
    <x v="16"/>
    <x v="1"/>
    <s v="Mindanao"/>
    <n v="150.1"/>
  </r>
  <r>
    <n v="202309"/>
    <x v="44"/>
    <n v="2023"/>
    <s v=" September "/>
    <x v="16"/>
    <x v="1"/>
    <s v="Mindanao"/>
    <n v="155.72"/>
  </r>
  <r>
    <n v="202310"/>
    <x v="45"/>
    <n v="2023"/>
    <s v=" October "/>
    <x v="16"/>
    <x v="1"/>
    <s v="Mindanao"/>
    <n v="174.67"/>
  </r>
  <r>
    <n v="202311"/>
    <x v="46"/>
    <n v="2023"/>
    <s v=" November "/>
    <x v="16"/>
    <x v="1"/>
    <s v="Mindanao"/>
    <n v="142.55000000000001"/>
  </r>
  <r>
    <n v="202312"/>
    <x v="47"/>
    <n v="2023"/>
    <s v=" December "/>
    <x v="16"/>
    <x v="1"/>
    <s v="Mindanao"/>
    <n v="130.65"/>
  </r>
  <r>
    <n v="202301"/>
    <x v="36"/>
    <n v="2023"/>
    <s v=" January "/>
    <x v="17"/>
    <x v="1"/>
    <s v="Mindanao"/>
    <n v="49.98"/>
  </r>
  <r>
    <n v="202302"/>
    <x v="37"/>
    <n v="2023"/>
    <s v=" February "/>
    <x v="17"/>
    <x v="1"/>
    <s v="Mindanao"/>
    <n v="17.170000000000002"/>
  </r>
  <r>
    <n v="202303"/>
    <x v="38"/>
    <n v="2023"/>
    <s v=" March "/>
    <x v="17"/>
    <x v="1"/>
    <s v="Mindanao"/>
    <n v="25.92"/>
  </r>
  <r>
    <n v="202304"/>
    <x v="39"/>
    <n v="2023"/>
    <s v=" April "/>
    <x v="17"/>
    <x v="1"/>
    <s v="Mindanao"/>
    <n v="36.75"/>
  </r>
  <r>
    <n v="202305"/>
    <x v="40"/>
    <n v="2023"/>
    <s v=" May "/>
    <x v="17"/>
    <x v="1"/>
    <s v="Mindanao"/>
    <n v="39.06"/>
  </r>
  <r>
    <n v="202306"/>
    <x v="41"/>
    <n v="2023"/>
    <s v=" June "/>
    <x v="17"/>
    <x v="1"/>
    <s v="Mindanao"/>
    <n v="27.44"/>
  </r>
  <r>
    <n v="202307"/>
    <x v="42"/>
    <n v="2023"/>
    <s v=" July "/>
    <x v="17"/>
    <x v="1"/>
    <s v="Mindanao"/>
    <n v="33.25"/>
  </r>
  <r>
    <n v="202308"/>
    <x v="43"/>
    <n v="2023"/>
    <s v=" August "/>
    <x v="17"/>
    <x v="1"/>
    <s v="Mindanao"/>
    <n v="31.64"/>
  </r>
  <r>
    <n v="202309"/>
    <x v="44"/>
    <n v="2023"/>
    <s v=" September "/>
    <x v="17"/>
    <x v="1"/>
    <s v="Mindanao"/>
    <n v="30.21"/>
  </r>
  <r>
    <n v="202310"/>
    <x v="45"/>
    <n v="2023"/>
    <s v=" October "/>
    <x v="17"/>
    <x v="1"/>
    <s v="Mindanao"/>
    <n v="40.840000000000003"/>
  </r>
  <r>
    <n v="202311"/>
    <x v="46"/>
    <n v="2023"/>
    <s v=" November "/>
    <x v="17"/>
    <x v="1"/>
    <s v="Mindanao"/>
    <n v="27.64"/>
  </r>
  <r>
    <n v="202312"/>
    <x v="47"/>
    <n v="2023"/>
    <s v=" December "/>
    <x v="17"/>
    <x v="1"/>
    <s v="Mindanao"/>
    <n v="28.73"/>
  </r>
  <r>
    <n v="202301"/>
    <x v="36"/>
    <n v="2023"/>
    <s v=" January "/>
    <x v="17"/>
    <x v="1"/>
    <s v="Mindanao"/>
    <n v="93.48"/>
  </r>
  <r>
    <n v="202302"/>
    <x v="37"/>
    <n v="2023"/>
    <s v=" February "/>
    <x v="17"/>
    <x v="1"/>
    <s v="Mindanao"/>
    <n v="62.39"/>
  </r>
  <r>
    <n v="202303"/>
    <x v="38"/>
    <n v="2023"/>
    <s v=" March "/>
    <x v="17"/>
    <x v="1"/>
    <s v="Mindanao"/>
    <n v="67.040000000000006"/>
  </r>
  <r>
    <n v="202304"/>
    <x v="39"/>
    <n v="2023"/>
    <s v=" April "/>
    <x v="17"/>
    <x v="1"/>
    <s v="Mindanao"/>
    <n v="93.95"/>
  </r>
  <r>
    <n v="202305"/>
    <x v="40"/>
    <n v="2023"/>
    <s v=" May "/>
    <x v="17"/>
    <x v="1"/>
    <s v="Mindanao"/>
    <n v="90.72"/>
  </r>
  <r>
    <n v="202306"/>
    <x v="41"/>
    <n v="2023"/>
    <s v=" June "/>
    <x v="17"/>
    <x v="1"/>
    <s v="Mindanao"/>
    <n v="85.05"/>
  </r>
  <r>
    <n v="202307"/>
    <x v="42"/>
    <n v="2023"/>
    <s v=" July "/>
    <x v="17"/>
    <x v="1"/>
    <s v="Mindanao"/>
    <n v="81.77"/>
  </r>
  <r>
    <n v="202308"/>
    <x v="43"/>
    <n v="2023"/>
    <s v=" August "/>
    <x v="17"/>
    <x v="1"/>
    <s v="Mindanao"/>
    <n v="92.03"/>
  </r>
  <r>
    <n v="202309"/>
    <x v="44"/>
    <n v="2023"/>
    <s v=" September "/>
    <x v="17"/>
    <x v="1"/>
    <s v="Mindanao"/>
    <n v="69.86"/>
  </r>
  <r>
    <n v="202310"/>
    <x v="45"/>
    <n v="2023"/>
    <s v=" October "/>
    <x v="17"/>
    <x v="1"/>
    <s v="Mindanao"/>
    <n v="92.71"/>
  </r>
  <r>
    <n v="202311"/>
    <x v="46"/>
    <n v="2023"/>
    <s v=" November "/>
    <x v="17"/>
    <x v="1"/>
    <s v="Mindanao"/>
    <n v="63.6"/>
  </r>
  <r>
    <n v="202312"/>
    <x v="47"/>
    <n v="2023"/>
    <s v=" December "/>
    <x v="17"/>
    <x v="1"/>
    <s v="Mindanao"/>
    <n v="66.34"/>
  </r>
  <r>
    <n v="202301"/>
    <x v="36"/>
    <n v="2023"/>
    <s v=" January "/>
    <x v="17"/>
    <x v="1"/>
    <s v="Mindanao"/>
    <n v="402.8"/>
  </r>
  <r>
    <n v="202302"/>
    <x v="37"/>
    <n v="2023"/>
    <s v=" February "/>
    <x v="17"/>
    <x v="1"/>
    <s v="Mindanao"/>
    <n v="177.88"/>
  </r>
  <r>
    <n v="202303"/>
    <x v="38"/>
    <n v="2023"/>
    <s v=" March "/>
    <x v="17"/>
    <x v="1"/>
    <s v="Mindanao"/>
    <n v="251.93"/>
  </r>
  <r>
    <n v="202304"/>
    <x v="39"/>
    <n v="2023"/>
    <s v=" April "/>
    <x v="17"/>
    <x v="1"/>
    <s v="Mindanao"/>
    <n v="190"/>
  </r>
  <r>
    <n v="202305"/>
    <x v="40"/>
    <n v="2023"/>
    <s v=" May "/>
    <x v="17"/>
    <x v="1"/>
    <s v="Mindanao"/>
    <n v="246.79"/>
  </r>
  <r>
    <n v="202306"/>
    <x v="41"/>
    <n v="2023"/>
    <s v=" June "/>
    <x v="17"/>
    <x v="1"/>
    <s v="Mindanao"/>
    <n v="226.71"/>
  </r>
  <r>
    <n v="202307"/>
    <x v="42"/>
    <n v="2023"/>
    <s v=" July "/>
    <x v="17"/>
    <x v="1"/>
    <s v="Mindanao"/>
    <n v="235.69"/>
  </r>
  <r>
    <n v="202308"/>
    <x v="43"/>
    <n v="2023"/>
    <s v=" August "/>
    <x v="17"/>
    <x v="1"/>
    <s v="Mindanao"/>
    <n v="221.55"/>
  </r>
  <r>
    <n v="202309"/>
    <x v="44"/>
    <n v="2023"/>
    <s v=" September "/>
    <x v="17"/>
    <x v="1"/>
    <s v="Mindanao"/>
    <n v="224.46"/>
  </r>
  <r>
    <n v="202310"/>
    <x v="45"/>
    <n v="2023"/>
    <s v=" October "/>
    <x v="17"/>
    <x v="1"/>
    <s v="Mindanao"/>
    <n v="254.98"/>
  </r>
  <r>
    <n v="202311"/>
    <x v="46"/>
    <n v="2023"/>
    <s v=" November "/>
    <x v="17"/>
    <x v="1"/>
    <s v="Mindanao"/>
    <n v="283.55"/>
  </r>
  <r>
    <n v="202312"/>
    <x v="47"/>
    <n v="2023"/>
    <s v=" December "/>
    <x v="17"/>
    <x v="1"/>
    <s v="Mindanao"/>
    <n v="371.2"/>
  </r>
  <r>
    <n v="202301"/>
    <x v="36"/>
    <n v="2023"/>
    <s v=" January "/>
    <x v="17"/>
    <x v="1"/>
    <s v="Mindanao"/>
    <n v="39.46"/>
  </r>
  <r>
    <n v="202302"/>
    <x v="37"/>
    <n v="2023"/>
    <s v=" February "/>
    <x v="17"/>
    <x v="1"/>
    <s v="Mindanao"/>
    <n v="20.64"/>
  </r>
  <r>
    <n v="202303"/>
    <x v="38"/>
    <n v="2023"/>
    <s v=" March "/>
    <x v="17"/>
    <x v="1"/>
    <s v="Mindanao"/>
    <n v="33.340000000000003"/>
  </r>
  <r>
    <n v="202304"/>
    <x v="39"/>
    <n v="2023"/>
    <s v=" April "/>
    <x v="17"/>
    <x v="1"/>
    <s v="Mindanao"/>
    <n v="41.85"/>
  </r>
  <r>
    <n v="202305"/>
    <x v="40"/>
    <n v="2023"/>
    <s v=" May "/>
    <x v="17"/>
    <x v="1"/>
    <s v="Mindanao"/>
    <n v="16.8"/>
  </r>
  <r>
    <n v="202306"/>
    <x v="41"/>
    <n v="2023"/>
    <s v=" June "/>
    <x v="17"/>
    <x v="1"/>
    <s v="Mindanao"/>
    <n v="30.63"/>
  </r>
  <r>
    <n v="202307"/>
    <x v="42"/>
    <n v="2023"/>
    <s v=" July "/>
    <x v="17"/>
    <x v="1"/>
    <s v="Mindanao"/>
    <n v="19.309999999999999"/>
  </r>
  <r>
    <n v="202308"/>
    <x v="43"/>
    <n v="2023"/>
    <s v=" August "/>
    <x v="17"/>
    <x v="1"/>
    <s v="Mindanao"/>
    <n v="27.93"/>
  </r>
  <r>
    <n v="202309"/>
    <x v="44"/>
    <n v="2023"/>
    <s v=" September "/>
    <x v="17"/>
    <x v="1"/>
    <s v="Mindanao"/>
    <n v="24.03"/>
  </r>
  <r>
    <n v="202310"/>
    <x v="45"/>
    <n v="2023"/>
    <s v=" October "/>
    <x v="17"/>
    <x v="1"/>
    <s v="Mindanao"/>
    <n v="20.55"/>
  </r>
  <r>
    <n v="202311"/>
    <x v="46"/>
    <n v="2023"/>
    <s v=" November "/>
    <x v="17"/>
    <x v="1"/>
    <s v="Mindanao"/>
    <n v="19.12"/>
  </r>
  <r>
    <n v="202312"/>
    <x v="47"/>
    <n v="2023"/>
    <s v=" December "/>
    <x v="17"/>
    <x v="1"/>
    <s v="Mindanao"/>
    <n v="34.29"/>
  </r>
  <r>
    <n v="202301"/>
    <x v="36"/>
    <n v="2023"/>
    <s v=" January "/>
    <x v="17"/>
    <x v="1"/>
    <s v="Mindanao"/>
    <n v="35.78"/>
  </r>
  <r>
    <n v="202302"/>
    <x v="37"/>
    <n v="2023"/>
    <s v=" February "/>
    <x v="17"/>
    <x v="1"/>
    <s v="Mindanao"/>
    <n v="28.98"/>
  </r>
  <r>
    <n v="202303"/>
    <x v="38"/>
    <n v="2023"/>
    <s v=" March "/>
    <x v="17"/>
    <x v="1"/>
    <s v="Mindanao"/>
    <n v="37.049999999999997"/>
  </r>
  <r>
    <n v="202304"/>
    <x v="39"/>
    <n v="2023"/>
    <s v=" April "/>
    <x v="17"/>
    <x v="1"/>
    <s v="Mindanao"/>
    <n v="31.47"/>
  </r>
  <r>
    <n v="202305"/>
    <x v="40"/>
    <n v="2023"/>
    <s v=" May "/>
    <x v="17"/>
    <x v="1"/>
    <s v="Mindanao"/>
    <n v="12.24"/>
  </r>
  <r>
    <n v="202306"/>
    <x v="41"/>
    <n v="2023"/>
    <s v=" June "/>
    <x v="17"/>
    <x v="1"/>
    <s v="Mindanao"/>
    <n v="23.94"/>
  </r>
  <r>
    <n v="202307"/>
    <x v="42"/>
    <n v="2023"/>
    <s v=" July "/>
    <x v="17"/>
    <x v="1"/>
    <s v="Mindanao"/>
    <n v="18.55"/>
  </r>
  <r>
    <n v="202308"/>
    <x v="43"/>
    <n v="2023"/>
    <s v=" August "/>
    <x v="17"/>
    <x v="1"/>
    <s v="Mindanao"/>
    <n v="16.7"/>
  </r>
  <r>
    <n v="202309"/>
    <x v="44"/>
    <n v="2023"/>
    <s v=" September "/>
    <x v="17"/>
    <x v="1"/>
    <s v="Mindanao"/>
    <n v="12.33"/>
  </r>
  <r>
    <n v="202310"/>
    <x v="45"/>
    <n v="2023"/>
    <s v=" October "/>
    <x v="17"/>
    <x v="1"/>
    <s v="Mindanao"/>
    <n v="21.59"/>
  </r>
  <r>
    <n v="202311"/>
    <x v="46"/>
    <n v="2023"/>
    <s v=" November "/>
    <x v="17"/>
    <x v="1"/>
    <s v="Mindanao"/>
    <n v="15"/>
  </r>
  <r>
    <n v="202312"/>
    <x v="47"/>
    <n v="2023"/>
    <s v=" December "/>
    <x v="17"/>
    <x v="1"/>
    <s v="Mindanao"/>
    <n v="26.52"/>
  </r>
  <r>
    <n v="202401"/>
    <x v="48"/>
    <n v="2024"/>
    <s v=" January "/>
    <x v="0"/>
    <x v="0"/>
    <s v="Luzon"/>
    <n v="1157.56"/>
  </r>
  <r>
    <n v="202402"/>
    <x v="49"/>
    <n v="2024"/>
    <s v=" February "/>
    <x v="0"/>
    <x v="0"/>
    <s v="Luzon"/>
    <n v="368.72"/>
  </r>
  <r>
    <n v="202403"/>
    <x v="50"/>
    <n v="2024"/>
    <s v=" March "/>
    <x v="0"/>
    <x v="0"/>
    <s v="Luzon"/>
    <n v="372.25"/>
  </r>
  <r>
    <n v="202404"/>
    <x v="51"/>
    <n v="2024"/>
    <s v=" April "/>
    <x v="0"/>
    <x v="0"/>
    <s v="Luzon"/>
    <n v="1122.19"/>
  </r>
  <r>
    <n v="202405"/>
    <x v="52"/>
    <n v="2024"/>
    <s v=" May "/>
    <x v="0"/>
    <x v="0"/>
    <s v="Luzon"/>
    <n v="658.68"/>
  </r>
  <r>
    <n v="202406"/>
    <x v="53"/>
    <n v="2024"/>
    <s v=" June "/>
    <x v="0"/>
    <x v="0"/>
    <s v="Luzon"/>
    <n v="346.36"/>
  </r>
  <r>
    <n v="202407"/>
    <x v="54"/>
    <n v="2024"/>
    <s v=" July "/>
    <x v="0"/>
    <x v="0"/>
    <s v="Luzon"/>
    <n v="951.09"/>
  </r>
  <r>
    <n v="202408"/>
    <x v="55"/>
    <n v="2024"/>
    <s v=" August "/>
    <x v="0"/>
    <x v="0"/>
    <s v="Luzon"/>
    <n v="595.88"/>
  </r>
  <r>
    <n v="202409"/>
    <x v="56"/>
    <n v="2024"/>
    <s v=" September "/>
    <x v="0"/>
    <x v="0"/>
    <s v="Luzon"/>
    <n v="494.53"/>
  </r>
  <r>
    <n v="202410"/>
    <x v="57"/>
    <n v="2024"/>
    <s v=" October "/>
    <x v="0"/>
    <x v="0"/>
    <s v="Luzon"/>
    <n v="1126.93"/>
  </r>
  <r>
    <n v="202411"/>
    <x v="58"/>
    <n v="2024"/>
    <s v=" November "/>
    <x v="0"/>
    <x v="0"/>
    <s v="Luzon"/>
    <n v="607.4"/>
  </r>
  <r>
    <n v="202412"/>
    <x v="59"/>
    <n v="2024"/>
    <s v=" December "/>
    <x v="0"/>
    <x v="0"/>
    <s v="Luzon"/>
    <n v="443.47"/>
  </r>
  <r>
    <n v="202401"/>
    <x v="48"/>
    <n v="2024"/>
    <s v=" January "/>
    <x v="0"/>
    <x v="0"/>
    <s v="Luzon"/>
    <n v="875.36"/>
  </r>
  <r>
    <n v="202402"/>
    <x v="49"/>
    <n v="2024"/>
    <s v=" February "/>
    <x v="0"/>
    <x v="0"/>
    <s v="Luzon"/>
    <n v="321.89999999999998"/>
  </r>
  <r>
    <n v="202403"/>
    <x v="50"/>
    <n v="2024"/>
    <s v=" March "/>
    <x v="0"/>
    <x v="0"/>
    <s v="Luzon"/>
    <n v="368.44"/>
  </r>
  <r>
    <n v="202404"/>
    <x v="51"/>
    <n v="2024"/>
    <s v=" April "/>
    <x v="0"/>
    <x v="0"/>
    <s v="Luzon"/>
    <n v="1079.74"/>
  </r>
  <r>
    <n v="202405"/>
    <x v="52"/>
    <n v="2024"/>
    <s v=" May "/>
    <x v="0"/>
    <x v="0"/>
    <s v="Luzon"/>
    <n v="530.62"/>
  </r>
  <r>
    <n v="202406"/>
    <x v="53"/>
    <n v="2024"/>
    <s v=" June "/>
    <x v="0"/>
    <x v="0"/>
    <s v="Luzon"/>
    <n v="375.67"/>
  </r>
  <r>
    <n v="202407"/>
    <x v="54"/>
    <n v="2024"/>
    <s v=" July "/>
    <x v="0"/>
    <x v="0"/>
    <s v="Luzon"/>
    <n v="810.87"/>
  </r>
  <r>
    <n v="202408"/>
    <x v="55"/>
    <n v="2024"/>
    <s v=" August "/>
    <x v="0"/>
    <x v="0"/>
    <s v="Luzon"/>
    <n v="558.77"/>
  </r>
  <r>
    <n v="202409"/>
    <x v="56"/>
    <n v="2024"/>
    <s v=" September "/>
    <x v="0"/>
    <x v="0"/>
    <s v="Luzon"/>
    <n v="358.07"/>
  </r>
  <r>
    <n v="202410"/>
    <x v="57"/>
    <n v="2024"/>
    <s v=" October "/>
    <x v="0"/>
    <x v="0"/>
    <s v="Luzon"/>
    <n v="842.71"/>
  </r>
  <r>
    <n v="202411"/>
    <x v="58"/>
    <n v="2024"/>
    <s v=" November "/>
    <x v="0"/>
    <x v="0"/>
    <s v="Luzon"/>
    <n v="550.91"/>
  </r>
  <r>
    <n v="202412"/>
    <x v="59"/>
    <n v="2024"/>
    <s v=" December "/>
    <x v="0"/>
    <x v="0"/>
    <s v="Luzon"/>
    <n v="424.45"/>
  </r>
  <r>
    <n v="202401"/>
    <x v="48"/>
    <n v="2024"/>
    <s v=" January "/>
    <x v="0"/>
    <x v="0"/>
    <s v="Luzon"/>
    <n v="16377.06"/>
  </r>
  <r>
    <n v="202402"/>
    <x v="49"/>
    <n v="2024"/>
    <s v=" February "/>
    <x v="0"/>
    <x v="0"/>
    <s v="Luzon"/>
    <n v="6171.35"/>
  </r>
  <r>
    <n v="202403"/>
    <x v="50"/>
    <n v="2024"/>
    <s v=" March "/>
    <x v="0"/>
    <x v="0"/>
    <s v="Luzon"/>
    <n v="6633.28"/>
  </r>
  <r>
    <n v="202404"/>
    <x v="51"/>
    <n v="2024"/>
    <s v=" April "/>
    <x v="0"/>
    <x v="0"/>
    <s v="Luzon"/>
    <n v="20179.73"/>
  </r>
  <r>
    <n v="202405"/>
    <x v="52"/>
    <n v="2024"/>
    <s v=" May "/>
    <x v="0"/>
    <x v="0"/>
    <s v="Luzon"/>
    <n v="10206.4"/>
  </r>
  <r>
    <n v="202406"/>
    <x v="53"/>
    <n v="2024"/>
    <s v=" June "/>
    <x v="0"/>
    <x v="0"/>
    <s v="Luzon"/>
    <n v="11078.7"/>
  </r>
  <r>
    <n v="202407"/>
    <x v="54"/>
    <n v="2024"/>
    <s v=" July "/>
    <x v="0"/>
    <x v="0"/>
    <s v="Luzon"/>
    <n v="17607.25"/>
  </r>
  <r>
    <n v="202408"/>
    <x v="55"/>
    <n v="2024"/>
    <s v=" August "/>
    <x v="0"/>
    <x v="0"/>
    <s v="Luzon"/>
    <n v="10772.52"/>
  </r>
  <r>
    <n v="202409"/>
    <x v="56"/>
    <n v="2024"/>
    <s v=" September "/>
    <x v="0"/>
    <x v="0"/>
    <s v="Luzon"/>
    <n v="7502.04"/>
  </r>
  <r>
    <n v="202410"/>
    <x v="57"/>
    <n v="2024"/>
    <s v=" October "/>
    <x v="0"/>
    <x v="0"/>
    <s v="Luzon"/>
    <n v="15708.85"/>
  </r>
  <r>
    <n v="202411"/>
    <x v="58"/>
    <n v="2024"/>
    <s v=" November "/>
    <x v="0"/>
    <x v="0"/>
    <s v="Luzon"/>
    <n v="12723.41"/>
  </r>
  <r>
    <n v="202412"/>
    <x v="59"/>
    <n v="2024"/>
    <s v=" December "/>
    <x v="0"/>
    <x v="0"/>
    <s v="Luzon"/>
    <n v="8534.26"/>
  </r>
  <r>
    <n v="202401"/>
    <x v="48"/>
    <n v="2024"/>
    <s v=" January "/>
    <x v="0"/>
    <x v="0"/>
    <s v="Luzon"/>
    <n v="569.89"/>
  </r>
  <r>
    <n v="202402"/>
    <x v="49"/>
    <n v="2024"/>
    <s v=" February "/>
    <x v="0"/>
    <x v="0"/>
    <s v="Luzon"/>
    <n v="204.36"/>
  </r>
  <r>
    <n v="202403"/>
    <x v="50"/>
    <n v="2024"/>
    <s v=" March "/>
    <x v="0"/>
    <x v="0"/>
    <s v="Luzon"/>
    <n v="270.76"/>
  </r>
  <r>
    <n v="202404"/>
    <x v="51"/>
    <n v="2024"/>
    <s v=" April "/>
    <x v="0"/>
    <x v="0"/>
    <s v="Luzon"/>
    <n v="763.01"/>
  </r>
  <r>
    <n v="202405"/>
    <x v="52"/>
    <n v="2024"/>
    <s v=" May "/>
    <x v="0"/>
    <x v="0"/>
    <s v="Luzon"/>
    <n v="310.47000000000003"/>
  </r>
  <r>
    <n v="202406"/>
    <x v="53"/>
    <n v="2024"/>
    <s v=" June "/>
    <x v="0"/>
    <x v="0"/>
    <s v="Luzon"/>
    <n v="268.61"/>
  </r>
  <r>
    <n v="202407"/>
    <x v="54"/>
    <n v="2024"/>
    <s v=" July "/>
    <x v="0"/>
    <x v="0"/>
    <s v="Luzon"/>
    <n v="591.62"/>
  </r>
  <r>
    <n v="202408"/>
    <x v="55"/>
    <n v="2024"/>
    <s v=" August "/>
    <x v="0"/>
    <x v="0"/>
    <s v="Luzon"/>
    <n v="388.72"/>
  </r>
  <r>
    <n v="202409"/>
    <x v="56"/>
    <n v="2024"/>
    <s v=" September "/>
    <x v="0"/>
    <x v="0"/>
    <s v="Luzon"/>
    <n v="288.37"/>
  </r>
  <r>
    <n v="202410"/>
    <x v="57"/>
    <n v="2024"/>
    <s v=" October "/>
    <x v="0"/>
    <x v="0"/>
    <s v="Luzon"/>
    <n v="607.91999999999996"/>
  </r>
  <r>
    <n v="202411"/>
    <x v="58"/>
    <n v="2024"/>
    <s v=" November "/>
    <x v="0"/>
    <x v="0"/>
    <s v="Luzon"/>
    <n v="337.41"/>
  </r>
  <r>
    <n v="202412"/>
    <x v="59"/>
    <n v="2024"/>
    <s v=" December "/>
    <x v="0"/>
    <x v="0"/>
    <s v="Luzon"/>
    <n v="275.07"/>
  </r>
  <r>
    <n v="202401"/>
    <x v="48"/>
    <n v="2024"/>
    <s v=" January "/>
    <x v="0"/>
    <x v="0"/>
    <s v="Luzon"/>
    <n v="5114.5"/>
  </r>
  <r>
    <n v="202402"/>
    <x v="49"/>
    <n v="2024"/>
    <s v=" February "/>
    <x v="0"/>
    <x v="0"/>
    <s v="Luzon"/>
    <n v="1456.73"/>
  </r>
  <r>
    <n v="202403"/>
    <x v="50"/>
    <n v="2024"/>
    <s v=" March "/>
    <x v="0"/>
    <x v="0"/>
    <s v="Luzon"/>
    <n v="1445.8"/>
  </r>
  <r>
    <n v="202404"/>
    <x v="51"/>
    <n v="2024"/>
    <s v=" April "/>
    <x v="0"/>
    <x v="0"/>
    <s v="Luzon"/>
    <n v="4596.9799999999996"/>
  </r>
  <r>
    <n v="202405"/>
    <x v="52"/>
    <n v="2024"/>
    <s v=" May "/>
    <x v="0"/>
    <x v="0"/>
    <s v="Luzon"/>
    <n v="2432.8000000000002"/>
  </r>
  <r>
    <n v="202406"/>
    <x v="53"/>
    <n v="2024"/>
    <s v=" June "/>
    <x v="0"/>
    <x v="0"/>
    <s v="Luzon"/>
    <n v="2135.92"/>
  </r>
  <r>
    <n v="202407"/>
    <x v="54"/>
    <n v="2024"/>
    <s v=" July "/>
    <x v="0"/>
    <x v="0"/>
    <s v="Luzon"/>
    <n v="3820.36"/>
  </r>
  <r>
    <n v="202408"/>
    <x v="55"/>
    <n v="2024"/>
    <s v=" August "/>
    <x v="0"/>
    <x v="0"/>
    <s v="Luzon"/>
    <n v="2449.09"/>
  </r>
  <r>
    <n v="202409"/>
    <x v="56"/>
    <n v="2024"/>
    <s v=" September "/>
    <x v="0"/>
    <x v="0"/>
    <s v="Luzon"/>
    <n v="1773.24"/>
  </r>
  <r>
    <n v="202410"/>
    <x v="57"/>
    <n v="2024"/>
    <s v=" October "/>
    <x v="0"/>
    <x v="0"/>
    <s v="Luzon"/>
    <n v="3970.64"/>
  </r>
  <r>
    <n v="202411"/>
    <x v="58"/>
    <n v="2024"/>
    <s v=" November "/>
    <x v="0"/>
    <x v="0"/>
    <s v="Luzon"/>
    <n v="2851.89"/>
  </r>
  <r>
    <n v="202412"/>
    <x v="59"/>
    <n v="2024"/>
    <s v=" December "/>
    <x v="0"/>
    <x v="0"/>
    <s v="Luzon"/>
    <n v="2057.38"/>
  </r>
  <r>
    <n v="202401"/>
    <x v="48"/>
    <n v="2024"/>
    <s v=" January "/>
    <x v="0"/>
    <x v="0"/>
    <s v="Luzon"/>
    <n v="6849.7"/>
  </r>
  <r>
    <n v="202402"/>
    <x v="49"/>
    <n v="2024"/>
    <s v=" February "/>
    <x v="0"/>
    <x v="0"/>
    <s v="Luzon"/>
    <n v="2802.99"/>
  </r>
  <r>
    <n v="202403"/>
    <x v="50"/>
    <n v="2024"/>
    <s v=" March "/>
    <x v="0"/>
    <x v="0"/>
    <s v="Luzon"/>
    <n v="3098.75"/>
  </r>
  <r>
    <n v="202404"/>
    <x v="51"/>
    <n v="2024"/>
    <s v=" April "/>
    <x v="0"/>
    <x v="0"/>
    <s v="Luzon"/>
    <n v="7096.66"/>
  </r>
  <r>
    <n v="202405"/>
    <x v="52"/>
    <n v="2024"/>
    <s v=" May "/>
    <x v="0"/>
    <x v="0"/>
    <s v="Luzon"/>
    <n v="4642.33"/>
  </r>
  <r>
    <n v="202406"/>
    <x v="53"/>
    <n v="2024"/>
    <s v=" June "/>
    <x v="0"/>
    <x v="0"/>
    <s v="Luzon"/>
    <n v="4145.5600000000004"/>
  </r>
  <r>
    <n v="202407"/>
    <x v="54"/>
    <n v="2024"/>
    <s v=" July "/>
    <x v="0"/>
    <x v="0"/>
    <s v="Luzon"/>
    <n v="6073.6"/>
  </r>
  <r>
    <n v="202408"/>
    <x v="55"/>
    <n v="2024"/>
    <s v=" August "/>
    <x v="0"/>
    <x v="0"/>
    <s v="Luzon"/>
    <n v="4435.28"/>
  </r>
  <r>
    <n v="202409"/>
    <x v="56"/>
    <n v="2024"/>
    <s v=" September "/>
    <x v="0"/>
    <x v="0"/>
    <s v="Luzon"/>
    <n v="3780.95"/>
  </r>
  <r>
    <n v="202410"/>
    <x v="57"/>
    <n v="2024"/>
    <s v=" October "/>
    <x v="0"/>
    <x v="0"/>
    <s v="Luzon"/>
    <n v="6997.37"/>
  </r>
  <r>
    <n v="202411"/>
    <x v="58"/>
    <n v="2024"/>
    <s v=" November "/>
    <x v="0"/>
    <x v="0"/>
    <s v="Luzon"/>
    <n v="5149.21"/>
  </r>
  <r>
    <n v="202412"/>
    <x v="59"/>
    <n v="2024"/>
    <s v=" December "/>
    <x v="0"/>
    <x v="0"/>
    <s v="Luzon"/>
    <n v="5319.05"/>
  </r>
  <r>
    <n v="202401"/>
    <x v="48"/>
    <n v="2024"/>
    <s v=" January "/>
    <x v="0"/>
    <x v="0"/>
    <s v="Luzon"/>
    <n v="1251.7"/>
  </r>
  <r>
    <n v="202402"/>
    <x v="49"/>
    <n v="2024"/>
    <s v=" February "/>
    <x v="0"/>
    <x v="0"/>
    <s v="Luzon"/>
    <n v="598.91"/>
  </r>
  <r>
    <n v="202403"/>
    <x v="50"/>
    <n v="2024"/>
    <s v=" March "/>
    <x v="0"/>
    <x v="0"/>
    <s v="Luzon"/>
    <n v="560.91"/>
  </r>
  <r>
    <n v="202404"/>
    <x v="51"/>
    <n v="2024"/>
    <s v=" April "/>
    <x v="0"/>
    <x v="0"/>
    <s v="Luzon"/>
    <n v="1991.47"/>
  </r>
  <r>
    <n v="202405"/>
    <x v="52"/>
    <n v="2024"/>
    <s v=" May "/>
    <x v="0"/>
    <x v="0"/>
    <s v="Luzon"/>
    <n v="754.01"/>
  </r>
  <r>
    <n v="202406"/>
    <x v="53"/>
    <n v="2024"/>
    <s v=" June "/>
    <x v="0"/>
    <x v="0"/>
    <s v="Luzon"/>
    <n v="610.07000000000005"/>
  </r>
  <r>
    <n v="202407"/>
    <x v="54"/>
    <n v="2024"/>
    <s v=" July "/>
    <x v="0"/>
    <x v="0"/>
    <s v="Luzon"/>
    <n v="1356.76"/>
  </r>
  <r>
    <n v="202408"/>
    <x v="55"/>
    <n v="2024"/>
    <s v=" August "/>
    <x v="0"/>
    <x v="0"/>
    <s v="Luzon"/>
    <n v="898.99"/>
  </r>
  <r>
    <n v="202409"/>
    <x v="56"/>
    <n v="2024"/>
    <s v=" September "/>
    <x v="0"/>
    <x v="0"/>
    <s v="Luzon"/>
    <n v="656.69"/>
  </r>
  <r>
    <n v="202410"/>
    <x v="57"/>
    <n v="2024"/>
    <s v=" October "/>
    <x v="0"/>
    <x v="0"/>
    <s v="Luzon"/>
    <n v="1381.63"/>
  </r>
  <r>
    <n v="202411"/>
    <x v="58"/>
    <n v="2024"/>
    <s v=" November "/>
    <x v="0"/>
    <x v="0"/>
    <s v="Luzon"/>
    <n v="981.46"/>
  </r>
  <r>
    <n v="202412"/>
    <x v="59"/>
    <n v="2024"/>
    <s v=" December "/>
    <x v="0"/>
    <x v="0"/>
    <s v="Luzon"/>
    <n v="645.03"/>
  </r>
  <r>
    <n v="202401"/>
    <x v="48"/>
    <n v="2024"/>
    <s v=" January "/>
    <x v="0"/>
    <x v="0"/>
    <s v="Luzon"/>
    <n v="1944.58"/>
  </r>
  <r>
    <n v="202402"/>
    <x v="49"/>
    <n v="2024"/>
    <s v=" February "/>
    <x v="0"/>
    <x v="0"/>
    <s v="Luzon"/>
    <n v="1003.05"/>
  </r>
  <r>
    <n v="202403"/>
    <x v="50"/>
    <n v="2024"/>
    <s v=" March "/>
    <x v="0"/>
    <x v="0"/>
    <s v="Luzon"/>
    <n v="957.79"/>
  </r>
  <r>
    <n v="202404"/>
    <x v="51"/>
    <n v="2024"/>
    <s v=" April "/>
    <x v="0"/>
    <x v="0"/>
    <s v="Luzon"/>
    <n v="2345.63"/>
  </r>
  <r>
    <n v="202405"/>
    <x v="52"/>
    <n v="2024"/>
    <s v=" May "/>
    <x v="0"/>
    <x v="0"/>
    <s v="Luzon"/>
    <n v="1294.07"/>
  </r>
  <r>
    <n v="202406"/>
    <x v="53"/>
    <n v="2024"/>
    <s v=" June "/>
    <x v="0"/>
    <x v="0"/>
    <s v="Luzon"/>
    <n v="971.53"/>
  </r>
  <r>
    <n v="202407"/>
    <x v="54"/>
    <n v="2024"/>
    <s v=" July "/>
    <x v="0"/>
    <x v="0"/>
    <s v="Luzon"/>
    <n v="1803.84"/>
  </r>
  <r>
    <n v="202408"/>
    <x v="55"/>
    <n v="2024"/>
    <s v=" August "/>
    <x v="0"/>
    <x v="0"/>
    <s v="Luzon"/>
    <n v="1215.51"/>
  </r>
  <r>
    <n v="202409"/>
    <x v="56"/>
    <n v="2024"/>
    <s v=" September "/>
    <x v="0"/>
    <x v="0"/>
    <s v="Luzon"/>
    <n v="900.12"/>
  </r>
  <r>
    <n v="202410"/>
    <x v="57"/>
    <n v="2024"/>
    <s v=" October "/>
    <x v="0"/>
    <x v="0"/>
    <s v="Luzon"/>
    <n v="1731.62"/>
  </r>
  <r>
    <n v="202411"/>
    <x v="58"/>
    <n v="2024"/>
    <s v=" November "/>
    <x v="0"/>
    <x v="0"/>
    <s v="Luzon"/>
    <n v="1388.28"/>
  </r>
  <r>
    <n v="202412"/>
    <x v="59"/>
    <n v="2024"/>
    <s v=" December "/>
    <x v="0"/>
    <x v="0"/>
    <s v="Luzon"/>
    <n v="1109.4100000000001"/>
  </r>
  <r>
    <n v="202401"/>
    <x v="48"/>
    <n v="2024"/>
    <s v=" January "/>
    <x v="0"/>
    <x v="0"/>
    <s v="Luzon"/>
    <n v="2191.33"/>
  </r>
  <r>
    <n v="202402"/>
    <x v="49"/>
    <n v="2024"/>
    <s v=" February "/>
    <x v="0"/>
    <x v="0"/>
    <s v="Luzon"/>
    <n v="943.57"/>
  </r>
  <r>
    <n v="202403"/>
    <x v="50"/>
    <n v="2024"/>
    <s v=" March "/>
    <x v="0"/>
    <x v="0"/>
    <s v="Luzon"/>
    <n v="1057.4100000000001"/>
  </r>
  <r>
    <n v="202404"/>
    <x v="51"/>
    <n v="2024"/>
    <s v=" April "/>
    <x v="0"/>
    <x v="0"/>
    <s v="Luzon"/>
    <n v="3463.36"/>
  </r>
  <r>
    <n v="202405"/>
    <x v="52"/>
    <n v="2024"/>
    <s v=" May "/>
    <x v="0"/>
    <x v="0"/>
    <s v="Luzon"/>
    <n v="1712.2"/>
  </r>
  <r>
    <n v="202406"/>
    <x v="53"/>
    <n v="2024"/>
    <s v=" June "/>
    <x v="0"/>
    <x v="0"/>
    <s v="Luzon"/>
    <n v="1247.28"/>
  </r>
  <r>
    <n v="202407"/>
    <x v="54"/>
    <n v="2024"/>
    <s v=" July "/>
    <x v="0"/>
    <x v="0"/>
    <s v="Luzon"/>
    <n v="2395.17"/>
  </r>
  <r>
    <n v="202408"/>
    <x v="55"/>
    <n v="2024"/>
    <s v=" August "/>
    <x v="0"/>
    <x v="0"/>
    <s v="Luzon"/>
    <n v="1778.77"/>
  </r>
  <r>
    <n v="202409"/>
    <x v="56"/>
    <n v="2024"/>
    <s v=" September "/>
    <x v="0"/>
    <x v="0"/>
    <s v="Luzon"/>
    <n v="1179.93"/>
  </r>
  <r>
    <n v="202410"/>
    <x v="57"/>
    <n v="2024"/>
    <s v=" October "/>
    <x v="0"/>
    <x v="0"/>
    <s v="Luzon"/>
    <n v="2413.4699999999998"/>
  </r>
  <r>
    <n v="202411"/>
    <x v="58"/>
    <n v="2024"/>
    <s v=" November "/>
    <x v="0"/>
    <x v="0"/>
    <s v="Luzon"/>
    <n v="1631.9"/>
  </r>
  <r>
    <n v="202412"/>
    <x v="59"/>
    <n v="2024"/>
    <s v=" December "/>
    <x v="0"/>
    <x v="0"/>
    <s v="Luzon"/>
    <n v="1096.1600000000001"/>
  </r>
  <r>
    <n v="202401"/>
    <x v="48"/>
    <n v="2024"/>
    <s v=" January "/>
    <x v="0"/>
    <x v="0"/>
    <s v="Luzon"/>
    <n v="3621.15"/>
  </r>
  <r>
    <n v="202402"/>
    <x v="49"/>
    <n v="2024"/>
    <s v=" February "/>
    <x v="0"/>
    <x v="0"/>
    <s v="Luzon"/>
    <n v="1129.8900000000001"/>
  </r>
  <r>
    <n v="202403"/>
    <x v="50"/>
    <n v="2024"/>
    <s v=" March "/>
    <x v="0"/>
    <x v="0"/>
    <s v="Luzon"/>
    <n v="1108.19"/>
  </r>
  <r>
    <n v="202404"/>
    <x v="51"/>
    <n v="2024"/>
    <s v=" April "/>
    <x v="0"/>
    <x v="0"/>
    <s v="Luzon"/>
    <n v="2814.32"/>
  </r>
  <r>
    <n v="202405"/>
    <x v="52"/>
    <n v="2024"/>
    <s v=" May "/>
    <x v="0"/>
    <x v="0"/>
    <s v="Luzon"/>
    <n v="1596.66"/>
  </r>
  <r>
    <n v="202406"/>
    <x v="53"/>
    <n v="2024"/>
    <s v=" June "/>
    <x v="0"/>
    <x v="0"/>
    <s v="Luzon"/>
    <n v="1780.86"/>
  </r>
  <r>
    <n v="202407"/>
    <x v="54"/>
    <n v="2024"/>
    <s v=" July "/>
    <x v="0"/>
    <x v="0"/>
    <s v="Luzon"/>
    <n v="3984.67"/>
  </r>
  <r>
    <n v="202408"/>
    <x v="55"/>
    <n v="2024"/>
    <s v=" August "/>
    <x v="0"/>
    <x v="0"/>
    <s v="Luzon"/>
    <n v="1849.34"/>
  </r>
  <r>
    <n v="202409"/>
    <x v="56"/>
    <n v="2024"/>
    <s v=" September "/>
    <x v="0"/>
    <x v="0"/>
    <s v="Luzon"/>
    <n v="1386.25"/>
  </r>
  <r>
    <n v="202410"/>
    <x v="57"/>
    <n v="2024"/>
    <s v=" October "/>
    <x v="0"/>
    <x v="0"/>
    <s v="Luzon"/>
    <n v="3305.33"/>
  </r>
  <r>
    <n v="202411"/>
    <x v="58"/>
    <n v="2024"/>
    <s v=" November "/>
    <x v="0"/>
    <x v="0"/>
    <s v="Luzon"/>
    <n v="2190.64"/>
  </r>
  <r>
    <n v="202412"/>
    <x v="59"/>
    <n v="2024"/>
    <s v=" December "/>
    <x v="0"/>
    <x v="0"/>
    <s v="Luzon"/>
    <n v="1661.74"/>
  </r>
  <r>
    <n v="202401"/>
    <x v="48"/>
    <n v="2024"/>
    <s v=" January "/>
    <x v="0"/>
    <x v="0"/>
    <s v="Luzon"/>
    <n v="7483.96"/>
  </r>
  <r>
    <n v="202402"/>
    <x v="49"/>
    <n v="2024"/>
    <s v=" February "/>
    <x v="0"/>
    <x v="0"/>
    <s v="Luzon"/>
    <n v="2630.31"/>
  </r>
  <r>
    <n v="202403"/>
    <x v="50"/>
    <n v="2024"/>
    <s v=" March "/>
    <x v="0"/>
    <x v="0"/>
    <s v="Luzon"/>
    <n v="2555.37"/>
  </r>
  <r>
    <n v="202404"/>
    <x v="51"/>
    <n v="2024"/>
    <s v=" April "/>
    <x v="0"/>
    <x v="0"/>
    <s v="Luzon"/>
    <n v="8376.07"/>
  </r>
  <r>
    <n v="202405"/>
    <x v="52"/>
    <n v="2024"/>
    <s v=" May "/>
    <x v="0"/>
    <x v="0"/>
    <s v="Luzon"/>
    <n v="4037.32"/>
  </r>
  <r>
    <n v="202406"/>
    <x v="53"/>
    <n v="2024"/>
    <s v=" June "/>
    <x v="0"/>
    <x v="0"/>
    <s v="Luzon"/>
    <n v="2738.91"/>
  </r>
  <r>
    <n v="202407"/>
    <x v="54"/>
    <n v="2024"/>
    <s v=" July "/>
    <x v="0"/>
    <x v="0"/>
    <s v="Luzon"/>
    <n v="7404.41"/>
  </r>
  <r>
    <n v="202408"/>
    <x v="55"/>
    <n v="2024"/>
    <s v=" August "/>
    <x v="0"/>
    <x v="0"/>
    <s v="Luzon"/>
    <n v="4141.8999999999996"/>
  </r>
  <r>
    <n v="202409"/>
    <x v="56"/>
    <n v="2024"/>
    <s v=" September "/>
    <x v="0"/>
    <x v="0"/>
    <s v="Luzon"/>
    <n v="2941.01"/>
  </r>
  <r>
    <n v="202410"/>
    <x v="57"/>
    <n v="2024"/>
    <s v=" October "/>
    <x v="0"/>
    <x v="0"/>
    <s v="Luzon"/>
    <n v="7614.3"/>
  </r>
  <r>
    <n v="202411"/>
    <x v="58"/>
    <n v="2024"/>
    <s v=" November "/>
    <x v="0"/>
    <x v="0"/>
    <s v="Luzon"/>
    <n v="4347.37"/>
  </r>
  <r>
    <n v="202412"/>
    <x v="59"/>
    <n v="2024"/>
    <s v=" December "/>
    <x v="0"/>
    <x v="0"/>
    <s v="Luzon"/>
    <n v="3270.92"/>
  </r>
  <r>
    <n v="202401"/>
    <x v="48"/>
    <n v="2024"/>
    <s v=" January "/>
    <x v="0"/>
    <x v="0"/>
    <s v="Luzon"/>
    <n v="12115.84"/>
  </r>
  <r>
    <n v="202402"/>
    <x v="49"/>
    <n v="2024"/>
    <s v=" February "/>
    <x v="0"/>
    <x v="0"/>
    <s v="Luzon"/>
    <n v="4924.53"/>
  </r>
  <r>
    <n v="202403"/>
    <x v="50"/>
    <n v="2024"/>
    <s v=" March "/>
    <x v="0"/>
    <x v="0"/>
    <s v="Luzon"/>
    <n v="5322.81"/>
  </r>
  <r>
    <n v="202404"/>
    <x v="51"/>
    <n v="2024"/>
    <s v=" April "/>
    <x v="0"/>
    <x v="0"/>
    <s v="Luzon"/>
    <n v="13638.1"/>
  </r>
  <r>
    <n v="202405"/>
    <x v="52"/>
    <n v="2024"/>
    <s v=" May "/>
    <x v="0"/>
    <x v="0"/>
    <s v="Luzon"/>
    <n v="7579.45"/>
  </r>
  <r>
    <n v="202406"/>
    <x v="53"/>
    <n v="2024"/>
    <s v=" June "/>
    <x v="0"/>
    <x v="0"/>
    <s v="Luzon"/>
    <n v="6379.26"/>
  </r>
  <r>
    <n v="202407"/>
    <x v="54"/>
    <n v="2024"/>
    <s v=" July "/>
    <x v="0"/>
    <x v="0"/>
    <s v="Luzon"/>
    <n v="11674.71"/>
  </r>
  <r>
    <n v="202408"/>
    <x v="55"/>
    <n v="2024"/>
    <s v=" August "/>
    <x v="0"/>
    <x v="0"/>
    <s v="Luzon"/>
    <n v="9244.93"/>
  </r>
  <r>
    <n v="202409"/>
    <x v="56"/>
    <n v="2024"/>
    <s v=" September "/>
    <x v="0"/>
    <x v="0"/>
    <s v="Luzon"/>
    <n v="6251.8"/>
  </r>
  <r>
    <n v="202410"/>
    <x v="57"/>
    <n v="2024"/>
    <s v=" October "/>
    <x v="0"/>
    <x v="0"/>
    <s v="Luzon"/>
    <n v="12930.01"/>
  </r>
  <r>
    <n v="202411"/>
    <x v="58"/>
    <n v="2024"/>
    <s v=" November "/>
    <x v="0"/>
    <x v="0"/>
    <s v="Luzon"/>
    <n v="8784.4599999999991"/>
  </r>
  <r>
    <n v="202412"/>
    <x v="59"/>
    <n v="2024"/>
    <s v=" December "/>
    <x v="0"/>
    <x v="0"/>
    <s v="Luzon"/>
    <n v="7518.43"/>
  </r>
  <r>
    <n v="202401"/>
    <x v="48"/>
    <n v="2024"/>
    <s v=" January "/>
    <x v="0"/>
    <x v="0"/>
    <s v="Luzon"/>
    <n v="1152.44"/>
  </r>
  <r>
    <n v="202402"/>
    <x v="49"/>
    <n v="2024"/>
    <s v=" February "/>
    <x v="0"/>
    <x v="0"/>
    <s v="Luzon"/>
    <n v="476.37"/>
  </r>
  <r>
    <n v="202403"/>
    <x v="50"/>
    <n v="2024"/>
    <s v=" March "/>
    <x v="0"/>
    <x v="0"/>
    <s v="Luzon"/>
    <n v="518.04999999999995"/>
  </r>
  <r>
    <n v="202404"/>
    <x v="51"/>
    <n v="2024"/>
    <s v=" April "/>
    <x v="0"/>
    <x v="0"/>
    <s v="Luzon"/>
    <n v="1360.63"/>
  </r>
  <r>
    <n v="202405"/>
    <x v="52"/>
    <n v="2024"/>
    <s v=" May "/>
    <x v="0"/>
    <x v="0"/>
    <s v="Luzon"/>
    <n v="589.42999999999995"/>
  </r>
  <r>
    <n v="202406"/>
    <x v="53"/>
    <n v="2024"/>
    <s v=" June "/>
    <x v="0"/>
    <x v="0"/>
    <s v="Luzon"/>
    <n v="493.07"/>
  </r>
  <r>
    <n v="202407"/>
    <x v="54"/>
    <n v="2024"/>
    <s v=" July "/>
    <x v="0"/>
    <x v="0"/>
    <s v="Luzon"/>
    <n v="1084.95"/>
  </r>
  <r>
    <n v="202408"/>
    <x v="55"/>
    <n v="2024"/>
    <s v=" August "/>
    <x v="0"/>
    <x v="0"/>
    <s v="Luzon"/>
    <n v="591.61"/>
  </r>
  <r>
    <n v="202409"/>
    <x v="56"/>
    <n v="2024"/>
    <s v=" September "/>
    <x v="0"/>
    <x v="0"/>
    <s v="Luzon"/>
    <n v="452.52"/>
  </r>
  <r>
    <n v="202410"/>
    <x v="57"/>
    <n v="2024"/>
    <s v=" October "/>
    <x v="0"/>
    <x v="0"/>
    <s v="Luzon"/>
    <n v="1118.5899999999999"/>
  </r>
  <r>
    <n v="202411"/>
    <x v="58"/>
    <n v="2024"/>
    <s v=" November "/>
    <x v="0"/>
    <x v="0"/>
    <s v="Luzon"/>
    <n v="699.7"/>
  </r>
  <r>
    <n v="202412"/>
    <x v="59"/>
    <n v="2024"/>
    <s v=" December "/>
    <x v="0"/>
    <x v="0"/>
    <s v="Luzon"/>
    <n v="560.16"/>
  </r>
  <r>
    <n v="202401"/>
    <x v="48"/>
    <n v="2024"/>
    <s v=" January "/>
    <x v="0"/>
    <x v="0"/>
    <s v="Luzon"/>
    <n v="9878.14"/>
  </r>
  <r>
    <n v="202402"/>
    <x v="49"/>
    <n v="2024"/>
    <s v=" February "/>
    <x v="0"/>
    <x v="0"/>
    <s v="Luzon"/>
    <n v="4368.8599999999997"/>
  </r>
  <r>
    <n v="202403"/>
    <x v="50"/>
    <n v="2024"/>
    <s v=" March "/>
    <x v="0"/>
    <x v="0"/>
    <s v="Luzon"/>
    <n v="4975.6099999999997"/>
  </r>
  <r>
    <n v="202404"/>
    <x v="51"/>
    <n v="2024"/>
    <s v=" April "/>
    <x v="0"/>
    <x v="0"/>
    <s v="Luzon"/>
    <n v="12474.62"/>
  </r>
  <r>
    <n v="202405"/>
    <x v="52"/>
    <n v="2024"/>
    <s v=" May "/>
    <x v="0"/>
    <x v="0"/>
    <s v="Luzon"/>
    <n v="6905.65"/>
  </r>
  <r>
    <n v="202406"/>
    <x v="53"/>
    <n v="2024"/>
    <s v=" June "/>
    <x v="0"/>
    <x v="0"/>
    <s v="Luzon"/>
    <n v="4906.67"/>
  </r>
  <r>
    <n v="202407"/>
    <x v="54"/>
    <n v="2024"/>
    <s v=" July "/>
    <x v="0"/>
    <x v="0"/>
    <s v="Luzon"/>
    <n v="11345.62"/>
  </r>
  <r>
    <n v="202408"/>
    <x v="55"/>
    <n v="2024"/>
    <s v=" August "/>
    <x v="0"/>
    <x v="0"/>
    <s v="Luzon"/>
    <n v="7840.76"/>
  </r>
  <r>
    <n v="202409"/>
    <x v="56"/>
    <n v="2024"/>
    <s v=" September "/>
    <x v="0"/>
    <x v="0"/>
    <s v="Luzon"/>
    <n v="5530.65"/>
  </r>
  <r>
    <n v="202410"/>
    <x v="57"/>
    <n v="2024"/>
    <s v=" October "/>
    <x v="0"/>
    <x v="0"/>
    <s v="Luzon"/>
    <n v="10859.2"/>
  </r>
  <r>
    <n v="202411"/>
    <x v="58"/>
    <n v="2024"/>
    <s v=" November "/>
    <x v="0"/>
    <x v="0"/>
    <s v="Luzon"/>
    <n v="8599.9"/>
  </r>
  <r>
    <n v="202412"/>
    <x v="59"/>
    <n v="2024"/>
    <s v=" December "/>
    <x v="0"/>
    <x v="0"/>
    <s v="Luzon"/>
    <n v="6437.37"/>
  </r>
  <r>
    <n v="202401"/>
    <x v="48"/>
    <n v="2024"/>
    <s v=" January "/>
    <x v="0"/>
    <x v="0"/>
    <s v="Luzon"/>
    <n v="945.4"/>
  </r>
  <r>
    <n v="202402"/>
    <x v="49"/>
    <n v="2024"/>
    <s v=" February "/>
    <x v="0"/>
    <x v="0"/>
    <s v="Luzon"/>
    <n v="311.39"/>
  </r>
  <r>
    <n v="202403"/>
    <x v="50"/>
    <n v="2024"/>
    <s v=" March "/>
    <x v="0"/>
    <x v="0"/>
    <s v="Luzon"/>
    <n v="350"/>
  </r>
  <r>
    <n v="202404"/>
    <x v="51"/>
    <n v="2024"/>
    <s v=" April "/>
    <x v="0"/>
    <x v="0"/>
    <s v="Luzon"/>
    <n v="1050.28"/>
  </r>
  <r>
    <n v="202405"/>
    <x v="52"/>
    <n v="2024"/>
    <s v=" May "/>
    <x v="0"/>
    <x v="0"/>
    <s v="Luzon"/>
    <n v="614.99"/>
  </r>
  <r>
    <n v="202406"/>
    <x v="53"/>
    <n v="2024"/>
    <s v=" June "/>
    <x v="0"/>
    <x v="0"/>
    <s v="Luzon"/>
    <n v="593.83000000000004"/>
  </r>
  <r>
    <n v="202407"/>
    <x v="54"/>
    <n v="2024"/>
    <s v=" July "/>
    <x v="0"/>
    <x v="0"/>
    <s v="Luzon"/>
    <n v="968.83"/>
  </r>
  <r>
    <n v="202408"/>
    <x v="55"/>
    <n v="2024"/>
    <s v=" August "/>
    <x v="0"/>
    <x v="0"/>
    <s v="Luzon"/>
    <n v="555.33000000000004"/>
  </r>
  <r>
    <n v="202409"/>
    <x v="56"/>
    <n v="2024"/>
    <s v=" September "/>
    <x v="0"/>
    <x v="0"/>
    <s v="Luzon"/>
    <n v="437.79"/>
  </r>
  <r>
    <n v="202410"/>
    <x v="57"/>
    <n v="2024"/>
    <s v=" October "/>
    <x v="0"/>
    <x v="0"/>
    <s v="Luzon"/>
    <n v="949.45"/>
  </r>
  <r>
    <n v="202411"/>
    <x v="58"/>
    <n v="2024"/>
    <s v=" November "/>
    <x v="0"/>
    <x v="0"/>
    <s v="Luzon"/>
    <n v="597.05999999999995"/>
  </r>
  <r>
    <n v="202412"/>
    <x v="59"/>
    <n v="2024"/>
    <s v=" December "/>
    <x v="0"/>
    <x v="0"/>
    <s v="Luzon"/>
    <n v="487.03"/>
  </r>
  <r>
    <n v="202401"/>
    <x v="48"/>
    <n v="2024"/>
    <s v=" January "/>
    <x v="0"/>
    <x v="0"/>
    <s v="Luzon"/>
    <n v="176820.88"/>
  </r>
  <r>
    <n v="202402"/>
    <x v="49"/>
    <n v="2024"/>
    <s v=" February "/>
    <x v="0"/>
    <x v="0"/>
    <s v="Luzon"/>
    <n v="78679.929999999993"/>
  </r>
  <r>
    <n v="202403"/>
    <x v="50"/>
    <n v="2024"/>
    <s v=" March "/>
    <x v="0"/>
    <x v="0"/>
    <s v="Luzon"/>
    <n v="77629.490000000005"/>
  </r>
  <r>
    <n v="202404"/>
    <x v="51"/>
    <n v="2024"/>
    <s v=" April "/>
    <x v="0"/>
    <x v="0"/>
    <s v="Luzon"/>
    <n v="220204.11"/>
  </r>
  <r>
    <n v="202405"/>
    <x v="52"/>
    <n v="2024"/>
    <s v=" May "/>
    <x v="0"/>
    <x v="0"/>
    <s v="Luzon"/>
    <n v="128868.01"/>
  </r>
  <r>
    <n v="202406"/>
    <x v="53"/>
    <n v="2024"/>
    <s v=" June "/>
    <x v="0"/>
    <x v="0"/>
    <s v="Luzon"/>
    <n v="96566.86"/>
  </r>
  <r>
    <n v="202407"/>
    <x v="54"/>
    <n v="2024"/>
    <s v=" July "/>
    <x v="0"/>
    <x v="0"/>
    <s v="Luzon"/>
    <n v="183673.2"/>
  </r>
  <r>
    <n v="202408"/>
    <x v="55"/>
    <n v="2024"/>
    <s v=" August "/>
    <x v="0"/>
    <x v="0"/>
    <s v="Luzon"/>
    <n v="138831.10999999999"/>
  </r>
  <r>
    <n v="202409"/>
    <x v="56"/>
    <n v="2024"/>
    <s v=" September "/>
    <x v="0"/>
    <x v="0"/>
    <s v="Luzon"/>
    <n v="94149.68"/>
  </r>
  <r>
    <n v="202410"/>
    <x v="57"/>
    <n v="2024"/>
    <s v=" October "/>
    <x v="0"/>
    <x v="0"/>
    <s v="Luzon"/>
    <n v="191803.09"/>
  </r>
  <r>
    <n v="202411"/>
    <x v="58"/>
    <n v="2024"/>
    <s v=" November "/>
    <x v="0"/>
    <x v="0"/>
    <s v="Luzon"/>
    <n v="142193.53"/>
  </r>
  <r>
    <n v="202412"/>
    <x v="59"/>
    <n v="2024"/>
    <s v=" December "/>
    <x v="0"/>
    <x v="0"/>
    <s v="Luzon"/>
    <n v="104352.83"/>
  </r>
  <r>
    <n v="202401"/>
    <x v="48"/>
    <n v="2024"/>
    <s v=" January "/>
    <x v="1"/>
    <x v="1"/>
    <s v="Luzon"/>
    <n v="127.14"/>
  </r>
  <r>
    <n v="202402"/>
    <x v="49"/>
    <n v="2024"/>
    <s v=" February "/>
    <x v="1"/>
    <x v="1"/>
    <s v="Luzon"/>
    <n v="79.92"/>
  </r>
  <r>
    <n v="202403"/>
    <x v="50"/>
    <n v="2024"/>
    <s v=" March "/>
    <x v="1"/>
    <x v="1"/>
    <s v="Luzon"/>
    <n v="101.85"/>
  </r>
  <r>
    <n v="202404"/>
    <x v="51"/>
    <n v="2024"/>
    <s v=" April "/>
    <x v="1"/>
    <x v="1"/>
    <s v="Luzon"/>
    <n v="98.09"/>
  </r>
  <r>
    <n v="202405"/>
    <x v="52"/>
    <n v="2024"/>
    <s v=" May "/>
    <x v="1"/>
    <x v="1"/>
    <s v="Luzon"/>
    <n v="114.63"/>
  </r>
  <r>
    <n v="202406"/>
    <x v="53"/>
    <n v="2024"/>
    <s v=" June "/>
    <x v="1"/>
    <x v="1"/>
    <s v="Luzon"/>
    <n v="108.08"/>
  </r>
  <r>
    <n v="202407"/>
    <x v="54"/>
    <n v="2024"/>
    <s v=" July "/>
    <x v="1"/>
    <x v="1"/>
    <s v="Luzon"/>
    <n v="92.14"/>
  </r>
  <r>
    <n v="202408"/>
    <x v="55"/>
    <n v="2024"/>
    <s v=" August "/>
    <x v="1"/>
    <x v="1"/>
    <s v="Luzon"/>
    <n v="216.42"/>
  </r>
  <r>
    <n v="202409"/>
    <x v="56"/>
    <n v="2024"/>
    <s v=" September "/>
    <x v="1"/>
    <x v="1"/>
    <s v="Luzon"/>
    <n v="105.92"/>
  </r>
  <r>
    <n v="202410"/>
    <x v="57"/>
    <n v="2024"/>
    <s v=" October "/>
    <x v="1"/>
    <x v="1"/>
    <s v="Luzon"/>
    <n v="169.52"/>
  </r>
  <r>
    <n v="202411"/>
    <x v="58"/>
    <n v="2024"/>
    <s v=" November "/>
    <x v="1"/>
    <x v="1"/>
    <s v="Luzon"/>
    <n v="187.8"/>
  </r>
  <r>
    <n v="202412"/>
    <x v="59"/>
    <n v="2024"/>
    <s v=" December "/>
    <x v="1"/>
    <x v="1"/>
    <s v="Luzon"/>
    <n v="83.33"/>
  </r>
  <r>
    <n v="202401"/>
    <x v="48"/>
    <n v="2024"/>
    <s v=" January "/>
    <x v="1"/>
    <x v="1"/>
    <s v="Luzon"/>
    <n v="147.05000000000001"/>
  </r>
  <r>
    <n v="202402"/>
    <x v="49"/>
    <n v="2024"/>
    <s v=" February "/>
    <x v="1"/>
    <x v="1"/>
    <s v="Luzon"/>
    <n v="60.52"/>
  </r>
  <r>
    <n v="202403"/>
    <x v="50"/>
    <n v="2024"/>
    <s v=" March "/>
    <x v="1"/>
    <x v="1"/>
    <s v="Luzon"/>
    <n v="80.790000000000006"/>
  </r>
  <r>
    <n v="202404"/>
    <x v="51"/>
    <n v="2024"/>
    <s v=" April "/>
    <x v="1"/>
    <x v="1"/>
    <s v="Luzon"/>
    <n v="134.59"/>
  </r>
  <r>
    <n v="202405"/>
    <x v="52"/>
    <n v="2024"/>
    <s v=" May "/>
    <x v="1"/>
    <x v="1"/>
    <s v="Luzon"/>
    <n v="104.06"/>
  </r>
  <r>
    <n v="202406"/>
    <x v="53"/>
    <n v="2024"/>
    <s v=" June "/>
    <x v="1"/>
    <x v="1"/>
    <s v="Luzon"/>
    <n v="112.4"/>
  </r>
  <r>
    <n v="202407"/>
    <x v="54"/>
    <n v="2024"/>
    <s v=" July "/>
    <x v="1"/>
    <x v="1"/>
    <s v="Luzon"/>
    <n v="121.66"/>
  </r>
  <r>
    <n v="202408"/>
    <x v="55"/>
    <n v="2024"/>
    <s v=" August "/>
    <x v="1"/>
    <x v="1"/>
    <s v="Luzon"/>
    <n v="130.41999999999999"/>
  </r>
  <r>
    <n v="202409"/>
    <x v="56"/>
    <n v="2024"/>
    <s v=" September "/>
    <x v="1"/>
    <x v="1"/>
    <s v="Luzon"/>
    <n v="172.25"/>
  </r>
  <r>
    <n v="202410"/>
    <x v="57"/>
    <n v="2024"/>
    <s v=" October "/>
    <x v="1"/>
    <x v="1"/>
    <s v="Luzon"/>
    <n v="152.38"/>
  </r>
  <r>
    <n v="202411"/>
    <x v="58"/>
    <n v="2024"/>
    <s v=" November "/>
    <x v="1"/>
    <x v="1"/>
    <s v="Luzon"/>
    <n v="104.83"/>
  </r>
  <r>
    <n v="202412"/>
    <x v="59"/>
    <n v="2024"/>
    <s v=" December "/>
    <x v="1"/>
    <x v="1"/>
    <s v="Luzon"/>
    <n v="179.26"/>
  </r>
  <r>
    <n v="202401"/>
    <x v="48"/>
    <n v="2024"/>
    <s v=" January "/>
    <x v="1"/>
    <x v="1"/>
    <s v="Luzon"/>
    <n v="192.12"/>
  </r>
  <r>
    <n v="202402"/>
    <x v="49"/>
    <n v="2024"/>
    <s v=" February "/>
    <x v="1"/>
    <x v="1"/>
    <s v="Luzon"/>
    <n v="80.64"/>
  </r>
  <r>
    <n v="202403"/>
    <x v="50"/>
    <n v="2024"/>
    <s v=" March "/>
    <x v="1"/>
    <x v="1"/>
    <s v="Luzon"/>
    <n v="89.3"/>
  </r>
  <r>
    <n v="202404"/>
    <x v="51"/>
    <n v="2024"/>
    <s v=" April "/>
    <x v="1"/>
    <x v="1"/>
    <s v="Luzon"/>
    <n v="179.59"/>
  </r>
  <r>
    <n v="202405"/>
    <x v="52"/>
    <n v="2024"/>
    <s v=" May "/>
    <x v="1"/>
    <x v="1"/>
    <s v="Luzon"/>
    <n v="119.89"/>
  </r>
  <r>
    <n v="202406"/>
    <x v="53"/>
    <n v="2024"/>
    <s v=" June "/>
    <x v="1"/>
    <x v="1"/>
    <s v="Luzon"/>
    <n v="116.63"/>
  </r>
  <r>
    <n v="202407"/>
    <x v="54"/>
    <n v="2024"/>
    <s v=" July "/>
    <x v="1"/>
    <x v="1"/>
    <s v="Luzon"/>
    <n v="199.39"/>
  </r>
  <r>
    <n v="202408"/>
    <x v="55"/>
    <n v="2024"/>
    <s v=" August "/>
    <x v="1"/>
    <x v="1"/>
    <s v="Luzon"/>
    <n v="197.44"/>
  </r>
  <r>
    <n v="202409"/>
    <x v="56"/>
    <n v="2024"/>
    <s v=" September "/>
    <x v="1"/>
    <x v="1"/>
    <s v="Luzon"/>
    <n v="165.58"/>
  </r>
  <r>
    <n v="202410"/>
    <x v="57"/>
    <n v="2024"/>
    <s v=" October "/>
    <x v="1"/>
    <x v="1"/>
    <s v="Luzon"/>
    <n v="207.36"/>
  </r>
  <r>
    <n v="202411"/>
    <x v="58"/>
    <n v="2024"/>
    <s v=" November "/>
    <x v="1"/>
    <x v="1"/>
    <s v="Luzon"/>
    <n v="147.72"/>
  </r>
  <r>
    <n v="202412"/>
    <x v="59"/>
    <n v="2024"/>
    <s v=" December "/>
    <x v="1"/>
    <x v="1"/>
    <s v="Luzon"/>
    <n v="179.82"/>
  </r>
  <r>
    <n v="202401"/>
    <x v="48"/>
    <n v="2024"/>
    <s v=" January "/>
    <x v="1"/>
    <x v="1"/>
    <s v="Luzon"/>
    <n v="43.17"/>
  </r>
  <r>
    <n v="202402"/>
    <x v="49"/>
    <n v="2024"/>
    <s v=" February "/>
    <x v="1"/>
    <x v="1"/>
    <s v="Luzon"/>
    <n v="27.56"/>
  </r>
  <r>
    <n v="202403"/>
    <x v="50"/>
    <n v="2024"/>
    <s v=" March "/>
    <x v="1"/>
    <x v="1"/>
    <s v="Luzon"/>
    <n v="34.72"/>
  </r>
  <r>
    <n v="202404"/>
    <x v="51"/>
    <n v="2024"/>
    <s v=" April "/>
    <x v="1"/>
    <x v="1"/>
    <s v="Luzon"/>
    <n v="48.04"/>
  </r>
  <r>
    <n v="202405"/>
    <x v="52"/>
    <n v="2024"/>
    <s v=" May "/>
    <x v="1"/>
    <x v="1"/>
    <s v="Luzon"/>
    <n v="42.12"/>
  </r>
  <r>
    <n v="202406"/>
    <x v="53"/>
    <n v="2024"/>
    <s v=" June "/>
    <x v="1"/>
    <x v="1"/>
    <s v="Luzon"/>
    <n v="46.92"/>
  </r>
  <r>
    <n v="202407"/>
    <x v="54"/>
    <n v="2024"/>
    <s v=" July "/>
    <x v="1"/>
    <x v="1"/>
    <s v="Luzon"/>
    <n v="61.95"/>
  </r>
  <r>
    <n v="202408"/>
    <x v="55"/>
    <n v="2024"/>
    <s v=" August "/>
    <x v="1"/>
    <x v="1"/>
    <s v="Luzon"/>
    <n v="33.14"/>
  </r>
  <r>
    <n v="202409"/>
    <x v="56"/>
    <n v="2024"/>
    <s v=" September "/>
    <x v="1"/>
    <x v="1"/>
    <s v="Luzon"/>
    <n v="55.26"/>
  </r>
  <r>
    <n v="202410"/>
    <x v="57"/>
    <n v="2024"/>
    <s v=" October "/>
    <x v="1"/>
    <x v="1"/>
    <s v="Luzon"/>
    <n v="46.62"/>
  </r>
  <r>
    <n v="202411"/>
    <x v="58"/>
    <n v="2024"/>
    <s v=" November "/>
    <x v="1"/>
    <x v="1"/>
    <s v="Luzon"/>
    <n v="51.32"/>
  </r>
  <r>
    <n v="202412"/>
    <x v="59"/>
    <n v="2024"/>
    <s v=" December "/>
    <x v="1"/>
    <x v="1"/>
    <s v="Luzon"/>
    <n v="48.89"/>
  </r>
  <r>
    <n v="202401"/>
    <x v="48"/>
    <n v="2024"/>
    <s v=" January "/>
    <x v="1"/>
    <x v="1"/>
    <s v="Luzon"/>
    <n v="61.42"/>
  </r>
  <r>
    <n v="202402"/>
    <x v="49"/>
    <n v="2024"/>
    <s v=" February "/>
    <x v="1"/>
    <x v="1"/>
    <s v="Luzon"/>
    <n v="39.28"/>
  </r>
  <r>
    <n v="202403"/>
    <x v="50"/>
    <n v="2024"/>
    <s v=" March "/>
    <x v="1"/>
    <x v="1"/>
    <s v="Luzon"/>
    <n v="27.74"/>
  </r>
  <r>
    <n v="202404"/>
    <x v="51"/>
    <n v="2024"/>
    <s v=" April "/>
    <x v="1"/>
    <x v="1"/>
    <s v="Luzon"/>
    <n v="44.06"/>
  </r>
  <r>
    <n v="202405"/>
    <x v="52"/>
    <n v="2024"/>
    <s v=" May "/>
    <x v="1"/>
    <x v="1"/>
    <s v="Luzon"/>
    <n v="52.99"/>
  </r>
  <r>
    <n v="202406"/>
    <x v="53"/>
    <n v="2024"/>
    <s v=" June "/>
    <x v="1"/>
    <x v="1"/>
    <s v="Luzon"/>
    <n v="51.59"/>
  </r>
  <r>
    <n v="202407"/>
    <x v="54"/>
    <n v="2024"/>
    <s v=" July "/>
    <x v="1"/>
    <x v="1"/>
    <s v="Luzon"/>
    <n v="58.72"/>
  </r>
  <r>
    <n v="202408"/>
    <x v="55"/>
    <n v="2024"/>
    <s v=" August "/>
    <x v="1"/>
    <x v="1"/>
    <s v="Luzon"/>
    <n v="39.56"/>
  </r>
  <r>
    <n v="202409"/>
    <x v="56"/>
    <n v="2024"/>
    <s v=" September "/>
    <x v="1"/>
    <x v="1"/>
    <s v="Luzon"/>
    <n v="54.76"/>
  </r>
  <r>
    <n v="202410"/>
    <x v="57"/>
    <n v="2024"/>
    <s v=" October "/>
    <x v="1"/>
    <x v="1"/>
    <s v="Luzon"/>
    <n v="76.31"/>
  </r>
  <r>
    <n v="202411"/>
    <x v="58"/>
    <n v="2024"/>
    <s v=" November "/>
    <x v="1"/>
    <x v="1"/>
    <s v="Luzon"/>
    <n v="42.89"/>
  </r>
  <r>
    <n v="202412"/>
    <x v="59"/>
    <n v="2024"/>
    <s v=" December "/>
    <x v="1"/>
    <x v="1"/>
    <s v="Luzon"/>
    <n v="96.65"/>
  </r>
  <r>
    <n v="202401"/>
    <x v="48"/>
    <n v="2024"/>
    <s v=" January "/>
    <x v="1"/>
    <x v="1"/>
    <s v="Luzon"/>
    <n v="506.02"/>
  </r>
  <r>
    <n v="202402"/>
    <x v="49"/>
    <n v="2024"/>
    <s v=" February "/>
    <x v="1"/>
    <x v="1"/>
    <s v="Luzon"/>
    <n v="247.19"/>
  </r>
  <r>
    <n v="202403"/>
    <x v="50"/>
    <n v="2024"/>
    <s v=" March "/>
    <x v="1"/>
    <x v="1"/>
    <s v="Luzon"/>
    <n v="265.66000000000003"/>
  </r>
  <r>
    <n v="202404"/>
    <x v="51"/>
    <n v="2024"/>
    <s v=" April "/>
    <x v="1"/>
    <x v="1"/>
    <s v="Luzon"/>
    <n v="574.69000000000005"/>
  </r>
  <r>
    <n v="202405"/>
    <x v="52"/>
    <n v="2024"/>
    <s v=" May "/>
    <x v="1"/>
    <x v="1"/>
    <s v="Luzon"/>
    <n v="375.31"/>
  </r>
  <r>
    <n v="202406"/>
    <x v="53"/>
    <n v="2024"/>
    <s v=" June "/>
    <x v="1"/>
    <x v="1"/>
    <s v="Luzon"/>
    <n v="281.91000000000003"/>
  </r>
  <r>
    <n v="202407"/>
    <x v="54"/>
    <n v="2024"/>
    <s v=" July "/>
    <x v="1"/>
    <x v="1"/>
    <s v="Luzon"/>
    <n v="532.70000000000005"/>
  </r>
  <r>
    <n v="202408"/>
    <x v="55"/>
    <n v="2024"/>
    <s v=" August "/>
    <x v="1"/>
    <x v="1"/>
    <s v="Luzon"/>
    <n v="410.63"/>
  </r>
  <r>
    <n v="202409"/>
    <x v="56"/>
    <n v="2024"/>
    <s v=" September "/>
    <x v="1"/>
    <x v="1"/>
    <s v="Luzon"/>
    <n v="349.51"/>
  </r>
  <r>
    <n v="202410"/>
    <x v="57"/>
    <n v="2024"/>
    <s v=" October "/>
    <x v="1"/>
    <x v="1"/>
    <s v="Luzon"/>
    <n v="510.7"/>
  </r>
  <r>
    <n v="202411"/>
    <x v="58"/>
    <n v="2024"/>
    <s v=" November "/>
    <x v="1"/>
    <x v="1"/>
    <s v="Luzon"/>
    <n v="353.51"/>
  </r>
  <r>
    <n v="202412"/>
    <x v="59"/>
    <n v="2024"/>
    <s v=" December "/>
    <x v="1"/>
    <x v="1"/>
    <s v="Luzon"/>
    <n v="345.41"/>
  </r>
  <r>
    <n v="202401"/>
    <x v="48"/>
    <n v="2024"/>
    <s v=" January "/>
    <x v="2"/>
    <x v="1"/>
    <s v="Luzon"/>
    <n v="362.07"/>
  </r>
  <r>
    <n v="202402"/>
    <x v="49"/>
    <n v="2024"/>
    <s v=" February "/>
    <x v="2"/>
    <x v="1"/>
    <s v="Luzon"/>
    <n v="174.91"/>
  </r>
  <r>
    <n v="202403"/>
    <x v="50"/>
    <n v="2024"/>
    <s v=" March "/>
    <x v="2"/>
    <x v="1"/>
    <s v="Luzon"/>
    <n v="237.35"/>
  </r>
  <r>
    <n v="202404"/>
    <x v="51"/>
    <n v="2024"/>
    <s v=" April "/>
    <x v="2"/>
    <x v="1"/>
    <s v="Luzon"/>
    <n v="442.85"/>
  </r>
  <r>
    <n v="202405"/>
    <x v="52"/>
    <n v="2024"/>
    <s v=" May "/>
    <x v="2"/>
    <x v="1"/>
    <s v="Luzon"/>
    <n v="345.28"/>
  </r>
  <r>
    <n v="202406"/>
    <x v="53"/>
    <n v="2024"/>
    <s v=" June "/>
    <x v="2"/>
    <x v="1"/>
    <s v="Luzon"/>
    <n v="303.77"/>
  </r>
  <r>
    <n v="202407"/>
    <x v="54"/>
    <n v="2024"/>
    <s v=" July "/>
    <x v="2"/>
    <x v="1"/>
    <s v="Luzon"/>
    <n v="334.48"/>
  </r>
  <r>
    <n v="202408"/>
    <x v="55"/>
    <n v="2024"/>
    <s v=" August "/>
    <x v="2"/>
    <x v="1"/>
    <s v="Luzon"/>
    <n v="320.73"/>
  </r>
  <r>
    <n v="202409"/>
    <x v="56"/>
    <n v="2024"/>
    <s v=" September "/>
    <x v="2"/>
    <x v="1"/>
    <s v="Luzon"/>
    <n v="226.2"/>
  </r>
  <r>
    <n v="202410"/>
    <x v="57"/>
    <n v="2024"/>
    <s v=" October "/>
    <x v="2"/>
    <x v="1"/>
    <s v="Luzon"/>
    <n v="321.77999999999997"/>
  </r>
  <r>
    <n v="202411"/>
    <x v="58"/>
    <n v="2024"/>
    <s v=" November "/>
    <x v="2"/>
    <x v="1"/>
    <s v="Luzon"/>
    <n v="263.19"/>
  </r>
  <r>
    <n v="202412"/>
    <x v="59"/>
    <n v="2024"/>
    <s v=" December "/>
    <x v="2"/>
    <x v="1"/>
    <s v="Luzon"/>
    <n v="236.44"/>
  </r>
  <r>
    <n v="202401"/>
    <x v="48"/>
    <n v="2024"/>
    <s v=" January "/>
    <x v="2"/>
    <x v="1"/>
    <s v="Luzon"/>
    <n v="535.08000000000004"/>
  </r>
  <r>
    <n v="202402"/>
    <x v="49"/>
    <n v="2024"/>
    <s v=" February "/>
    <x v="2"/>
    <x v="1"/>
    <s v="Luzon"/>
    <n v="130.9"/>
  </r>
  <r>
    <n v="202403"/>
    <x v="50"/>
    <n v="2024"/>
    <s v=" March "/>
    <x v="2"/>
    <x v="1"/>
    <s v="Luzon"/>
    <n v="175.42"/>
  </r>
  <r>
    <n v="202404"/>
    <x v="51"/>
    <n v="2024"/>
    <s v=" April "/>
    <x v="2"/>
    <x v="1"/>
    <s v="Luzon"/>
    <n v="386.92"/>
  </r>
  <r>
    <n v="202405"/>
    <x v="52"/>
    <n v="2024"/>
    <s v=" May "/>
    <x v="2"/>
    <x v="1"/>
    <s v="Luzon"/>
    <n v="241.03"/>
  </r>
  <r>
    <n v="202406"/>
    <x v="53"/>
    <n v="2024"/>
    <s v=" June "/>
    <x v="2"/>
    <x v="1"/>
    <s v="Luzon"/>
    <n v="245.72"/>
  </r>
  <r>
    <n v="202407"/>
    <x v="54"/>
    <n v="2024"/>
    <s v=" July "/>
    <x v="2"/>
    <x v="1"/>
    <s v="Luzon"/>
    <n v="303.29000000000002"/>
  </r>
  <r>
    <n v="202408"/>
    <x v="55"/>
    <n v="2024"/>
    <s v=" August "/>
    <x v="2"/>
    <x v="1"/>
    <s v="Luzon"/>
    <n v="278.43"/>
  </r>
  <r>
    <n v="202409"/>
    <x v="56"/>
    <n v="2024"/>
    <s v=" September "/>
    <x v="2"/>
    <x v="1"/>
    <s v="Luzon"/>
    <n v="232.05"/>
  </r>
  <r>
    <n v="202410"/>
    <x v="57"/>
    <n v="2024"/>
    <s v=" October "/>
    <x v="2"/>
    <x v="1"/>
    <s v="Luzon"/>
    <n v="348.54"/>
  </r>
  <r>
    <n v="202411"/>
    <x v="58"/>
    <n v="2024"/>
    <s v=" November "/>
    <x v="2"/>
    <x v="1"/>
    <s v="Luzon"/>
    <n v="249.64"/>
  </r>
  <r>
    <n v="202412"/>
    <x v="59"/>
    <n v="2024"/>
    <s v=" December "/>
    <x v="2"/>
    <x v="1"/>
    <s v="Luzon"/>
    <n v="257.39"/>
  </r>
  <r>
    <n v="202401"/>
    <x v="48"/>
    <n v="2024"/>
    <s v=" January "/>
    <x v="2"/>
    <x v="1"/>
    <s v="Luzon"/>
    <n v="619.53"/>
  </r>
  <r>
    <n v="202402"/>
    <x v="49"/>
    <n v="2024"/>
    <s v=" February "/>
    <x v="2"/>
    <x v="1"/>
    <s v="Luzon"/>
    <n v="232.92"/>
  </r>
  <r>
    <n v="202403"/>
    <x v="50"/>
    <n v="2024"/>
    <s v=" March "/>
    <x v="2"/>
    <x v="1"/>
    <s v="Luzon"/>
    <n v="295.7"/>
  </r>
  <r>
    <n v="202404"/>
    <x v="51"/>
    <n v="2024"/>
    <s v=" April "/>
    <x v="2"/>
    <x v="1"/>
    <s v="Luzon"/>
    <n v="684.07"/>
  </r>
  <r>
    <n v="202405"/>
    <x v="52"/>
    <n v="2024"/>
    <s v=" May "/>
    <x v="2"/>
    <x v="1"/>
    <s v="Luzon"/>
    <n v="478.33"/>
  </r>
  <r>
    <n v="202406"/>
    <x v="53"/>
    <n v="2024"/>
    <s v=" June "/>
    <x v="2"/>
    <x v="1"/>
    <s v="Luzon"/>
    <n v="443.17"/>
  </r>
  <r>
    <n v="202407"/>
    <x v="54"/>
    <n v="2024"/>
    <s v=" July "/>
    <x v="2"/>
    <x v="1"/>
    <s v="Luzon"/>
    <n v="555.28"/>
  </r>
  <r>
    <n v="202408"/>
    <x v="55"/>
    <n v="2024"/>
    <s v=" August "/>
    <x v="2"/>
    <x v="1"/>
    <s v="Luzon"/>
    <n v="511.16"/>
  </r>
  <r>
    <n v="202409"/>
    <x v="56"/>
    <n v="2024"/>
    <s v=" September "/>
    <x v="2"/>
    <x v="1"/>
    <s v="Luzon"/>
    <n v="420.58"/>
  </r>
  <r>
    <n v="202410"/>
    <x v="57"/>
    <n v="2024"/>
    <s v=" October "/>
    <x v="2"/>
    <x v="1"/>
    <s v="Luzon"/>
    <n v="661.41"/>
  </r>
  <r>
    <n v="202411"/>
    <x v="58"/>
    <n v="2024"/>
    <s v=" November "/>
    <x v="2"/>
    <x v="1"/>
    <s v="Luzon"/>
    <n v="537.39"/>
  </r>
  <r>
    <n v="202412"/>
    <x v="59"/>
    <n v="2024"/>
    <s v=" December "/>
    <x v="2"/>
    <x v="1"/>
    <s v="Luzon"/>
    <n v="306.22000000000003"/>
  </r>
  <r>
    <n v="202401"/>
    <x v="48"/>
    <n v="2024"/>
    <s v=" January "/>
    <x v="2"/>
    <x v="1"/>
    <s v="Luzon"/>
    <n v="1061.1199999999999"/>
  </r>
  <r>
    <n v="202402"/>
    <x v="49"/>
    <n v="2024"/>
    <s v=" February "/>
    <x v="2"/>
    <x v="1"/>
    <s v="Luzon"/>
    <n v="614.91999999999996"/>
  </r>
  <r>
    <n v="202403"/>
    <x v="50"/>
    <n v="2024"/>
    <s v=" March "/>
    <x v="2"/>
    <x v="1"/>
    <s v="Luzon"/>
    <n v="565.27"/>
  </r>
  <r>
    <n v="202404"/>
    <x v="51"/>
    <n v="2024"/>
    <s v=" April "/>
    <x v="2"/>
    <x v="1"/>
    <s v="Luzon"/>
    <n v="1268.69"/>
  </r>
  <r>
    <n v="202405"/>
    <x v="52"/>
    <n v="2024"/>
    <s v=" May "/>
    <x v="2"/>
    <x v="1"/>
    <s v="Luzon"/>
    <n v="794.18"/>
  </r>
  <r>
    <n v="202406"/>
    <x v="53"/>
    <n v="2024"/>
    <s v=" June "/>
    <x v="2"/>
    <x v="1"/>
    <s v="Luzon"/>
    <n v="748.28"/>
  </r>
  <r>
    <n v="202407"/>
    <x v="54"/>
    <n v="2024"/>
    <s v=" July "/>
    <x v="2"/>
    <x v="1"/>
    <s v="Luzon"/>
    <n v="1013.92"/>
  </r>
  <r>
    <n v="202408"/>
    <x v="55"/>
    <n v="2024"/>
    <s v=" August "/>
    <x v="2"/>
    <x v="1"/>
    <s v="Luzon"/>
    <n v="1089.03"/>
  </r>
  <r>
    <n v="202409"/>
    <x v="56"/>
    <n v="2024"/>
    <s v=" September "/>
    <x v="2"/>
    <x v="1"/>
    <s v="Luzon"/>
    <n v="791.23"/>
  </r>
  <r>
    <n v="202410"/>
    <x v="57"/>
    <n v="2024"/>
    <s v=" October "/>
    <x v="2"/>
    <x v="1"/>
    <s v="Luzon"/>
    <n v="1030.25"/>
  </r>
  <r>
    <n v="202411"/>
    <x v="58"/>
    <n v="2024"/>
    <s v=" November "/>
    <x v="2"/>
    <x v="1"/>
    <s v="Luzon"/>
    <n v="1247.3"/>
  </r>
  <r>
    <n v="202412"/>
    <x v="59"/>
    <n v="2024"/>
    <s v=" December "/>
    <x v="2"/>
    <x v="1"/>
    <s v="Luzon"/>
    <n v="728.14"/>
  </r>
  <r>
    <n v="202401"/>
    <x v="48"/>
    <n v="2024"/>
    <s v=" January "/>
    <x v="3"/>
    <x v="1"/>
    <s v="Luzon"/>
    <n v="482.21"/>
  </r>
  <r>
    <n v="202402"/>
    <x v="49"/>
    <n v="2024"/>
    <s v=" February "/>
    <x v="3"/>
    <x v="1"/>
    <s v="Luzon"/>
    <n v="250.06"/>
  </r>
  <r>
    <n v="202403"/>
    <x v="50"/>
    <n v="2024"/>
    <s v=" March "/>
    <x v="3"/>
    <x v="1"/>
    <s v="Luzon"/>
    <n v="336.68"/>
  </r>
  <r>
    <n v="202404"/>
    <x v="51"/>
    <n v="2024"/>
    <s v=" April "/>
    <x v="3"/>
    <x v="1"/>
    <s v="Luzon"/>
    <n v="565.1"/>
  </r>
  <r>
    <n v="202405"/>
    <x v="52"/>
    <n v="2024"/>
    <s v=" May "/>
    <x v="3"/>
    <x v="1"/>
    <s v="Luzon"/>
    <n v="404.21"/>
  </r>
  <r>
    <n v="202406"/>
    <x v="53"/>
    <n v="2024"/>
    <s v=" June "/>
    <x v="3"/>
    <x v="1"/>
    <s v="Luzon"/>
    <n v="451.88"/>
  </r>
  <r>
    <n v="202407"/>
    <x v="54"/>
    <n v="2024"/>
    <s v=" July "/>
    <x v="3"/>
    <x v="1"/>
    <s v="Luzon"/>
    <n v="479.5"/>
  </r>
  <r>
    <n v="202408"/>
    <x v="55"/>
    <n v="2024"/>
    <s v=" August "/>
    <x v="3"/>
    <x v="1"/>
    <s v="Luzon"/>
    <n v="476.44"/>
  </r>
  <r>
    <n v="202409"/>
    <x v="56"/>
    <n v="2024"/>
    <s v=" September "/>
    <x v="3"/>
    <x v="1"/>
    <s v="Luzon"/>
    <n v="384.76"/>
  </r>
  <r>
    <n v="202410"/>
    <x v="57"/>
    <n v="2024"/>
    <s v=" October "/>
    <x v="3"/>
    <x v="1"/>
    <s v="Luzon"/>
    <n v="578.20000000000005"/>
  </r>
  <r>
    <n v="202411"/>
    <x v="58"/>
    <n v="2024"/>
    <s v=" November "/>
    <x v="3"/>
    <x v="1"/>
    <s v="Luzon"/>
    <n v="523.54"/>
  </r>
  <r>
    <n v="202412"/>
    <x v="59"/>
    <n v="2024"/>
    <s v=" December "/>
    <x v="3"/>
    <x v="1"/>
    <s v="Luzon"/>
    <n v="512.25"/>
  </r>
  <r>
    <n v="202401"/>
    <x v="48"/>
    <n v="2024"/>
    <s v=" January "/>
    <x v="3"/>
    <x v="1"/>
    <s v="Luzon"/>
    <n v="696.44"/>
  </r>
  <r>
    <n v="202402"/>
    <x v="49"/>
    <n v="2024"/>
    <s v=" February "/>
    <x v="3"/>
    <x v="1"/>
    <s v="Luzon"/>
    <n v="303.61"/>
  </r>
  <r>
    <n v="202403"/>
    <x v="50"/>
    <n v="2024"/>
    <s v=" March "/>
    <x v="3"/>
    <x v="1"/>
    <s v="Luzon"/>
    <n v="369.8"/>
  </r>
  <r>
    <n v="202404"/>
    <x v="51"/>
    <n v="2024"/>
    <s v=" April "/>
    <x v="3"/>
    <x v="1"/>
    <s v="Luzon"/>
    <n v="693.85"/>
  </r>
  <r>
    <n v="202405"/>
    <x v="52"/>
    <n v="2024"/>
    <s v=" May "/>
    <x v="3"/>
    <x v="1"/>
    <s v="Luzon"/>
    <n v="444.68"/>
  </r>
  <r>
    <n v="202406"/>
    <x v="53"/>
    <n v="2024"/>
    <s v=" June "/>
    <x v="3"/>
    <x v="1"/>
    <s v="Luzon"/>
    <n v="513.14"/>
  </r>
  <r>
    <n v="202407"/>
    <x v="54"/>
    <n v="2024"/>
    <s v=" July "/>
    <x v="3"/>
    <x v="1"/>
    <s v="Luzon"/>
    <n v="677.56"/>
  </r>
  <r>
    <n v="202408"/>
    <x v="55"/>
    <n v="2024"/>
    <s v=" August "/>
    <x v="3"/>
    <x v="1"/>
    <s v="Luzon"/>
    <n v="651.55999999999995"/>
  </r>
  <r>
    <n v="202409"/>
    <x v="56"/>
    <n v="2024"/>
    <s v=" September "/>
    <x v="3"/>
    <x v="1"/>
    <s v="Luzon"/>
    <n v="510.88"/>
  </r>
  <r>
    <n v="202410"/>
    <x v="57"/>
    <n v="2024"/>
    <s v=" October "/>
    <x v="3"/>
    <x v="1"/>
    <s v="Luzon"/>
    <n v="772.1"/>
  </r>
  <r>
    <n v="202411"/>
    <x v="58"/>
    <n v="2024"/>
    <s v=" November "/>
    <x v="3"/>
    <x v="1"/>
    <s v="Luzon"/>
    <n v="656.95"/>
  </r>
  <r>
    <n v="202412"/>
    <x v="59"/>
    <n v="2024"/>
    <s v=" December "/>
    <x v="3"/>
    <x v="1"/>
    <s v="Luzon"/>
    <n v="547.77"/>
  </r>
  <r>
    <n v="202401"/>
    <x v="48"/>
    <n v="2024"/>
    <s v=" January "/>
    <x v="3"/>
    <x v="1"/>
    <s v="Luzon"/>
    <n v="155.97999999999999"/>
  </r>
  <r>
    <n v="202402"/>
    <x v="49"/>
    <n v="2024"/>
    <s v=" February "/>
    <x v="3"/>
    <x v="1"/>
    <s v="Luzon"/>
    <n v="117.87"/>
  </r>
  <r>
    <n v="202403"/>
    <x v="50"/>
    <n v="2024"/>
    <s v=" March "/>
    <x v="3"/>
    <x v="1"/>
    <s v="Luzon"/>
    <n v="124.76"/>
  </r>
  <r>
    <n v="202404"/>
    <x v="51"/>
    <n v="2024"/>
    <s v=" April "/>
    <x v="3"/>
    <x v="1"/>
    <s v="Luzon"/>
    <n v="242.08"/>
  </r>
  <r>
    <n v="202405"/>
    <x v="52"/>
    <n v="2024"/>
    <s v=" May "/>
    <x v="3"/>
    <x v="1"/>
    <s v="Luzon"/>
    <n v="180.52"/>
  </r>
  <r>
    <n v="202406"/>
    <x v="53"/>
    <n v="2024"/>
    <s v=" June "/>
    <x v="3"/>
    <x v="1"/>
    <s v="Luzon"/>
    <n v="177.42"/>
  </r>
  <r>
    <n v="202407"/>
    <x v="54"/>
    <n v="2024"/>
    <s v=" July "/>
    <x v="3"/>
    <x v="1"/>
    <s v="Luzon"/>
    <n v="146.41"/>
  </r>
  <r>
    <n v="202408"/>
    <x v="55"/>
    <n v="2024"/>
    <s v=" August "/>
    <x v="3"/>
    <x v="1"/>
    <s v="Luzon"/>
    <n v="142.76"/>
  </r>
  <r>
    <n v="202409"/>
    <x v="56"/>
    <n v="2024"/>
    <s v=" September "/>
    <x v="3"/>
    <x v="1"/>
    <s v="Luzon"/>
    <n v="156.53"/>
  </r>
  <r>
    <n v="202410"/>
    <x v="57"/>
    <n v="2024"/>
    <s v=" October "/>
    <x v="3"/>
    <x v="1"/>
    <s v="Luzon"/>
    <n v="177.75"/>
  </r>
  <r>
    <n v="202411"/>
    <x v="58"/>
    <n v="2024"/>
    <s v=" November "/>
    <x v="3"/>
    <x v="1"/>
    <s v="Luzon"/>
    <n v="172.1"/>
  </r>
  <r>
    <n v="202412"/>
    <x v="59"/>
    <n v="2024"/>
    <s v=" December "/>
    <x v="3"/>
    <x v="1"/>
    <s v="Luzon"/>
    <n v="158.61000000000001"/>
  </r>
  <r>
    <n v="202401"/>
    <x v="48"/>
    <n v="2024"/>
    <s v=" January "/>
    <x v="3"/>
    <x v="1"/>
    <s v="Luzon"/>
    <n v="80.790000000000006"/>
  </r>
  <r>
    <n v="202402"/>
    <x v="49"/>
    <n v="2024"/>
    <s v=" February "/>
    <x v="3"/>
    <x v="1"/>
    <s v="Luzon"/>
    <n v="33.76"/>
  </r>
  <r>
    <n v="202403"/>
    <x v="50"/>
    <n v="2024"/>
    <s v=" March "/>
    <x v="3"/>
    <x v="1"/>
    <s v="Luzon"/>
    <n v="31.98"/>
  </r>
  <r>
    <n v="202404"/>
    <x v="51"/>
    <n v="2024"/>
    <s v=" April "/>
    <x v="3"/>
    <x v="1"/>
    <s v="Luzon"/>
    <n v="60.3"/>
  </r>
  <r>
    <n v="202405"/>
    <x v="52"/>
    <n v="2024"/>
    <s v=" May "/>
    <x v="3"/>
    <x v="1"/>
    <s v="Luzon"/>
    <n v="45.55"/>
  </r>
  <r>
    <n v="202406"/>
    <x v="53"/>
    <n v="2024"/>
    <s v=" June "/>
    <x v="3"/>
    <x v="1"/>
    <s v="Luzon"/>
    <n v="44.9"/>
  </r>
  <r>
    <n v="202407"/>
    <x v="54"/>
    <n v="2024"/>
    <s v=" July "/>
    <x v="3"/>
    <x v="1"/>
    <s v="Luzon"/>
    <n v="57.9"/>
  </r>
  <r>
    <n v="202408"/>
    <x v="55"/>
    <n v="2024"/>
    <s v=" August "/>
    <x v="3"/>
    <x v="1"/>
    <s v="Luzon"/>
    <n v="57.84"/>
  </r>
  <r>
    <n v="202409"/>
    <x v="56"/>
    <n v="2024"/>
    <s v=" September "/>
    <x v="3"/>
    <x v="1"/>
    <s v="Luzon"/>
    <n v="36.43"/>
  </r>
  <r>
    <n v="202410"/>
    <x v="57"/>
    <n v="2024"/>
    <s v=" October "/>
    <x v="3"/>
    <x v="1"/>
    <s v="Luzon"/>
    <n v="85.69"/>
  </r>
  <r>
    <n v="202411"/>
    <x v="58"/>
    <n v="2024"/>
    <s v=" November "/>
    <x v="3"/>
    <x v="1"/>
    <s v="Luzon"/>
    <n v="51.19"/>
  </r>
  <r>
    <n v="202412"/>
    <x v="59"/>
    <n v="2024"/>
    <s v=" December "/>
    <x v="3"/>
    <x v="1"/>
    <s v="Luzon"/>
    <n v="55.45"/>
  </r>
  <r>
    <n v="202401"/>
    <x v="48"/>
    <n v="2024"/>
    <s v=" January "/>
    <x v="4"/>
    <x v="1"/>
    <s v="Luzon"/>
    <n v="70.13"/>
  </r>
  <r>
    <n v="202402"/>
    <x v="49"/>
    <n v="2024"/>
    <s v=" February "/>
    <x v="4"/>
    <x v="1"/>
    <s v="Luzon"/>
    <n v="35.22"/>
  </r>
  <r>
    <n v="202403"/>
    <x v="50"/>
    <n v="2024"/>
    <s v=" March "/>
    <x v="4"/>
    <x v="1"/>
    <s v="Luzon"/>
    <n v="49.46"/>
  </r>
  <r>
    <n v="202404"/>
    <x v="51"/>
    <n v="2024"/>
    <s v=" April "/>
    <x v="4"/>
    <x v="1"/>
    <s v="Luzon"/>
    <n v="75.23"/>
  </r>
  <r>
    <n v="202405"/>
    <x v="52"/>
    <n v="2024"/>
    <s v=" May "/>
    <x v="4"/>
    <x v="1"/>
    <s v="Luzon"/>
    <n v="50.33"/>
  </r>
  <r>
    <n v="202406"/>
    <x v="53"/>
    <n v="2024"/>
    <s v=" June "/>
    <x v="4"/>
    <x v="1"/>
    <s v="Luzon"/>
    <n v="64.12"/>
  </r>
  <r>
    <n v="202407"/>
    <x v="54"/>
    <n v="2024"/>
    <s v=" July "/>
    <x v="4"/>
    <x v="1"/>
    <s v="Luzon"/>
    <n v="104.26"/>
  </r>
  <r>
    <n v="202408"/>
    <x v="55"/>
    <n v="2024"/>
    <s v=" August "/>
    <x v="4"/>
    <x v="1"/>
    <s v="Luzon"/>
    <n v="65.260000000000005"/>
  </r>
  <r>
    <n v="202409"/>
    <x v="56"/>
    <n v="2024"/>
    <s v=" September "/>
    <x v="4"/>
    <x v="1"/>
    <s v="Luzon"/>
    <n v="78.7"/>
  </r>
  <r>
    <n v="202410"/>
    <x v="57"/>
    <n v="2024"/>
    <s v=" October "/>
    <x v="4"/>
    <x v="1"/>
    <s v="Luzon"/>
    <n v="97.39"/>
  </r>
  <r>
    <n v="202411"/>
    <x v="58"/>
    <n v="2024"/>
    <s v=" November "/>
    <x v="4"/>
    <x v="1"/>
    <s v="Luzon"/>
    <n v="68.56"/>
  </r>
  <r>
    <n v="202412"/>
    <x v="59"/>
    <n v="2024"/>
    <s v=" December "/>
    <x v="4"/>
    <x v="1"/>
    <s v="Luzon"/>
    <n v="70.09"/>
  </r>
  <r>
    <n v="202401"/>
    <x v="48"/>
    <n v="2024"/>
    <s v=" January "/>
    <x v="4"/>
    <x v="1"/>
    <s v="Luzon"/>
    <n v="746.33"/>
  </r>
  <r>
    <n v="202402"/>
    <x v="49"/>
    <n v="2024"/>
    <s v=" February "/>
    <x v="4"/>
    <x v="1"/>
    <s v="Luzon"/>
    <n v="282.04000000000002"/>
  </r>
  <r>
    <n v="202403"/>
    <x v="50"/>
    <n v="2024"/>
    <s v=" March "/>
    <x v="4"/>
    <x v="1"/>
    <s v="Luzon"/>
    <n v="393.25"/>
  </r>
  <r>
    <n v="202404"/>
    <x v="51"/>
    <n v="2024"/>
    <s v=" April "/>
    <x v="4"/>
    <x v="1"/>
    <s v="Luzon"/>
    <n v="603.80999999999995"/>
  </r>
  <r>
    <n v="202405"/>
    <x v="52"/>
    <n v="2024"/>
    <s v=" May "/>
    <x v="4"/>
    <x v="1"/>
    <s v="Luzon"/>
    <n v="397.23"/>
  </r>
  <r>
    <n v="202406"/>
    <x v="53"/>
    <n v="2024"/>
    <s v=" June "/>
    <x v="4"/>
    <x v="1"/>
    <s v="Luzon"/>
    <n v="414.05"/>
  </r>
  <r>
    <n v="202407"/>
    <x v="54"/>
    <n v="2024"/>
    <s v=" July "/>
    <x v="4"/>
    <x v="1"/>
    <s v="Luzon"/>
    <n v="615.65"/>
  </r>
  <r>
    <n v="202408"/>
    <x v="55"/>
    <n v="2024"/>
    <s v=" August "/>
    <x v="4"/>
    <x v="1"/>
    <s v="Luzon"/>
    <n v="441.31"/>
  </r>
  <r>
    <n v="202409"/>
    <x v="56"/>
    <n v="2024"/>
    <s v=" September "/>
    <x v="4"/>
    <x v="1"/>
    <s v="Luzon"/>
    <n v="336.22"/>
  </r>
  <r>
    <n v="202410"/>
    <x v="57"/>
    <n v="2024"/>
    <s v=" October "/>
    <x v="4"/>
    <x v="1"/>
    <s v="Luzon"/>
    <n v="526.99"/>
  </r>
  <r>
    <n v="202411"/>
    <x v="58"/>
    <n v="2024"/>
    <s v=" November "/>
    <x v="4"/>
    <x v="1"/>
    <s v="Luzon"/>
    <n v="446.29"/>
  </r>
  <r>
    <n v="202412"/>
    <x v="59"/>
    <n v="2024"/>
    <s v=" December "/>
    <x v="4"/>
    <x v="1"/>
    <s v="Luzon"/>
    <n v="542.37"/>
  </r>
  <r>
    <n v="202401"/>
    <x v="48"/>
    <n v="2024"/>
    <s v=" January "/>
    <x v="4"/>
    <x v="1"/>
    <s v="Luzon"/>
    <n v="2018.88"/>
  </r>
  <r>
    <n v="202402"/>
    <x v="49"/>
    <n v="2024"/>
    <s v=" February "/>
    <x v="4"/>
    <x v="1"/>
    <s v="Luzon"/>
    <n v="1010.89"/>
  </r>
  <r>
    <n v="202403"/>
    <x v="50"/>
    <n v="2024"/>
    <s v=" March "/>
    <x v="4"/>
    <x v="1"/>
    <s v="Luzon"/>
    <n v="1203.1500000000001"/>
  </r>
  <r>
    <n v="202404"/>
    <x v="51"/>
    <n v="2024"/>
    <s v=" April "/>
    <x v="4"/>
    <x v="1"/>
    <s v="Luzon"/>
    <n v="2878.77"/>
  </r>
  <r>
    <n v="202405"/>
    <x v="52"/>
    <n v="2024"/>
    <s v=" May "/>
    <x v="4"/>
    <x v="1"/>
    <s v="Luzon"/>
    <n v="1505.29"/>
  </r>
  <r>
    <n v="202406"/>
    <x v="53"/>
    <n v="2024"/>
    <s v=" June "/>
    <x v="4"/>
    <x v="1"/>
    <s v="Luzon"/>
    <n v="1284.6300000000001"/>
  </r>
  <r>
    <n v="202407"/>
    <x v="54"/>
    <n v="2024"/>
    <s v=" July "/>
    <x v="4"/>
    <x v="1"/>
    <s v="Luzon"/>
    <n v="2235.0500000000002"/>
  </r>
  <r>
    <n v="202408"/>
    <x v="55"/>
    <n v="2024"/>
    <s v=" August "/>
    <x v="4"/>
    <x v="1"/>
    <s v="Luzon"/>
    <n v="1446.77"/>
  </r>
  <r>
    <n v="202409"/>
    <x v="56"/>
    <n v="2024"/>
    <s v=" September "/>
    <x v="4"/>
    <x v="1"/>
    <s v="Luzon"/>
    <n v="1385.46"/>
  </r>
  <r>
    <n v="202410"/>
    <x v="57"/>
    <n v="2024"/>
    <s v=" October "/>
    <x v="4"/>
    <x v="1"/>
    <s v="Luzon"/>
    <n v="2360.4299999999998"/>
  </r>
  <r>
    <n v="202411"/>
    <x v="58"/>
    <n v="2024"/>
    <s v=" November "/>
    <x v="4"/>
    <x v="1"/>
    <s v="Luzon"/>
    <n v="1671.3"/>
  </r>
  <r>
    <n v="202412"/>
    <x v="59"/>
    <n v="2024"/>
    <s v=" December "/>
    <x v="4"/>
    <x v="1"/>
    <s v="Luzon"/>
    <n v="1500.43"/>
  </r>
  <r>
    <n v="202401"/>
    <x v="48"/>
    <n v="2024"/>
    <s v=" January "/>
    <x v="4"/>
    <x v="1"/>
    <s v="Luzon"/>
    <n v="800.98"/>
  </r>
  <r>
    <n v="202402"/>
    <x v="49"/>
    <n v="2024"/>
    <s v=" February "/>
    <x v="4"/>
    <x v="1"/>
    <s v="Luzon"/>
    <n v="861.76"/>
  </r>
  <r>
    <n v="202403"/>
    <x v="50"/>
    <n v="2024"/>
    <s v=" March "/>
    <x v="4"/>
    <x v="1"/>
    <s v="Luzon"/>
    <n v="527.41"/>
  </r>
  <r>
    <n v="202404"/>
    <x v="51"/>
    <n v="2024"/>
    <s v=" April "/>
    <x v="4"/>
    <x v="1"/>
    <s v="Luzon"/>
    <n v="1036.46"/>
  </r>
  <r>
    <n v="202405"/>
    <x v="52"/>
    <n v="2024"/>
    <s v=" May "/>
    <x v="4"/>
    <x v="1"/>
    <s v="Luzon"/>
    <n v="643.13"/>
  </r>
  <r>
    <n v="202406"/>
    <x v="53"/>
    <n v="2024"/>
    <s v=" June "/>
    <x v="4"/>
    <x v="1"/>
    <s v="Luzon"/>
    <n v="573.11"/>
  </r>
  <r>
    <n v="202407"/>
    <x v="54"/>
    <n v="2024"/>
    <s v=" July "/>
    <x v="4"/>
    <x v="1"/>
    <s v="Luzon"/>
    <n v="854.99"/>
  </r>
  <r>
    <n v="202408"/>
    <x v="55"/>
    <n v="2024"/>
    <s v=" August "/>
    <x v="4"/>
    <x v="1"/>
    <s v="Luzon"/>
    <n v="651.54"/>
  </r>
  <r>
    <n v="202409"/>
    <x v="56"/>
    <n v="2024"/>
    <s v=" September "/>
    <x v="4"/>
    <x v="1"/>
    <s v="Luzon"/>
    <n v="653.25"/>
  </r>
  <r>
    <n v="202410"/>
    <x v="57"/>
    <n v="2024"/>
    <s v=" October "/>
    <x v="4"/>
    <x v="1"/>
    <s v="Luzon"/>
    <n v="848.99"/>
  </r>
  <r>
    <n v="202411"/>
    <x v="58"/>
    <n v="2024"/>
    <s v=" November "/>
    <x v="4"/>
    <x v="1"/>
    <s v="Luzon"/>
    <n v="667.23"/>
  </r>
  <r>
    <n v="202412"/>
    <x v="59"/>
    <n v="2024"/>
    <s v=" December "/>
    <x v="4"/>
    <x v="1"/>
    <s v="Luzon"/>
    <n v="618.88"/>
  </r>
  <r>
    <n v="202401"/>
    <x v="48"/>
    <n v="2024"/>
    <s v=" January "/>
    <x v="4"/>
    <x v="1"/>
    <s v="Luzon"/>
    <n v="2033.31"/>
  </r>
  <r>
    <n v="202402"/>
    <x v="49"/>
    <n v="2024"/>
    <s v=" February "/>
    <x v="4"/>
    <x v="1"/>
    <s v="Luzon"/>
    <n v="860.93"/>
  </r>
  <r>
    <n v="202403"/>
    <x v="50"/>
    <n v="2024"/>
    <s v=" March "/>
    <x v="4"/>
    <x v="1"/>
    <s v="Luzon"/>
    <n v="971.83"/>
  </r>
  <r>
    <n v="202404"/>
    <x v="51"/>
    <n v="2024"/>
    <s v=" April "/>
    <x v="4"/>
    <x v="1"/>
    <s v="Luzon"/>
    <n v="2391.27"/>
  </r>
  <r>
    <n v="202405"/>
    <x v="52"/>
    <n v="2024"/>
    <s v=" May "/>
    <x v="4"/>
    <x v="1"/>
    <s v="Luzon"/>
    <n v="1292.17"/>
  </r>
  <r>
    <n v="202406"/>
    <x v="53"/>
    <n v="2024"/>
    <s v=" June "/>
    <x v="4"/>
    <x v="1"/>
    <s v="Luzon"/>
    <n v="1140.82"/>
  </r>
  <r>
    <n v="202407"/>
    <x v="54"/>
    <n v="2024"/>
    <s v=" July "/>
    <x v="4"/>
    <x v="1"/>
    <s v="Luzon"/>
    <n v="2247.12"/>
  </r>
  <r>
    <n v="202408"/>
    <x v="55"/>
    <n v="2024"/>
    <s v=" August "/>
    <x v="4"/>
    <x v="1"/>
    <s v="Luzon"/>
    <n v="1529.66"/>
  </r>
  <r>
    <n v="202409"/>
    <x v="56"/>
    <n v="2024"/>
    <s v=" September "/>
    <x v="4"/>
    <x v="1"/>
    <s v="Luzon"/>
    <n v="1276.31"/>
  </r>
  <r>
    <n v="202410"/>
    <x v="57"/>
    <n v="2024"/>
    <s v=" October "/>
    <x v="4"/>
    <x v="1"/>
    <s v="Luzon"/>
    <n v="2551.5300000000002"/>
  </r>
  <r>
    <n v="202411"/>
    <x v="58"/>
    <n v="2024"/>
    <s v=" November "/>
    <x v="4"/>
    <x v="1"/>
    <s v="Luzon"/>
    <n v="1515.93"/>
  </r>
  <r>
    <n v="202412"/>
    <x v="59"/>
    <n v="2024"/>
    <s v=" December "/>
    <x v="4"/>
    <x v="1"/>
    <s v="Luzon"/>
    <n v="1281.76"/>
  </r>
  <r>
    <n v="202401"/>
    <x v="48"/>
    <n v="2024"/>
    <s v=" January "/>
    <x v="4"/>
    <x v="1"/>
    <s v="Luzon"/>
    <n v="1043.58"/>
  </r>
  <r>
    <n v="202402"/>
    <x v="49"/>
    <n v="2024"/>
    <s v=" February "/>
    <x v="4"/>
    <x v="1"/>
    <s v="Luzon"/>
    <n v="401.39"/>
  </r>
  <r>
    <n v="202403"/>
    <x v="50"/>
    <n v="2024"/>
    <s v=" March "/>
    <x v="4"/>
    <x v="1"/>
    <s v="Luzon"/>
    <n v="441.41"/>
  </r>
  <r>
    <n v="202404"/>
    <x v="51"/>
    <n v="2024"/>
    <s v=" April "/>
    <x v="4"/>
    <x v="1"/>
    <s v="Luzon"/>
    <n v="796.44"/>
  </r>
  <r>
    <n v="202405"/>
    <x v="52"/>
    <n v="2024"/>
    <s v=" May "/>
    <x v="4"/>
    <x v="1"/>
    <s v="Luzon"/>
    <n v="559.41999999999996"/>
  </r>
  <r>
    <n v="202406"/>
    <x v="53"/>
    <n v="2024"/>
    <s v=" June "/>
    <x v="4"/>
    <x v="1"/>
    <s v="Luzon"/>
    <n v="568.67999999999995"/>
  </r>
  <r>
    <n v="202407"/>
    <x v="54"/>
    <n v="2024"/>
    <s v=" July "/>
    <x v="4"/>
    <x v="1"/>
    <s v="Luzon"/>
    <n v="671.72"/>
  </r>
  <r>
    <n v="202408"/>
    <x v="55"/>
    <n v="2024"/>
    <s v=" August "/>
    <x v="4"/>
    <x v="1"/>
    <s v="Luzon"/>
    <n v="553.77"/>
  </r>
  <r>
    <n v="202409"/>
    <x v="56"/>
    <n v="2024"/>
    <s v=" September "/>
    <x v="4"/>
    <x v="1"/>
    <s v="Luzon"/>
    <n v="530.61"/>
  </r>
  <r>
    <n v="202410"/>
    <x v="57"/>
    <n v="2024"/>
    <s v=" October "/>
    <x v="4"/>
    <x v="1"/>
    <s v="Luzon"/>
    <n v="761.47"/>
  </r>
  <r>
    <n v="202411"/>
    <x v="58"/>
    <n v="2024"/>
    <s v=" November "/>
    <x v="4"/>
    <x v="1"/>
    <s v="Luzon"/>
    <n v="456.91"/>
  </r>
  <r>
    <n v="202412"/>
    <x v="59"/>
    <n v="2024"/>
    <s v=" December "/>
    <x v="4"/>
    <x v="1"/>
    <s v="Luzon"/>
    <n v="446.69"/>
  </r>
  <r>
    <n v="202401"/>
    <x v="48"/>
    <n v="2024"/>
    <s v=" January "/>
    <x v="4"/>
    <x v="1"/>
    <s v="Luzon"/>
    <n v="263.61"/>
  </r>
  <r>
    <n v="202402"/>
    <x v="49"/>
    <n v="2024"/>
    <s v=" February "/>
    <x v="4"/>
    <x v="1"/>
    <s v="Luzon"/>
    <n v="97.92"/>
  </r>
  <r>
    <n v="202403"/>
    <x v="50"/>
    <n v="2024"/>
    <s v=" March "/>
    <x v="4"/>
    <x v="1"/>
    <s v="Luzon"/>
    <n v="114.81"/>
  </r>
  <r>
    <n v="202404"/>
    <x v="51"/>
    <n v="2024"/>
    <s v=" April "/>
    <x v="4"/>
    <x v="1"/>
    <s v="Luzon"/>
    <n v="385.4"/>
  </r>
  <r>
    <n v="202405"/>
    <x v="52"/>
    <n v="2024"/>
    <s v=" May "/>
    <x v="4"/>
    <x v="1"/>
    <s v="Luzon"/>
    <n v="237.84"/>
  </r>
  <r>
    <n v="202406"/>
    <x v="53"/>
    <n v="2024"/>
    <s v=" June "/>
    <x v="4"/>
    <x v="1"/>
    <s v="Luzon"/>
    <n v="104.57"/>
  </r>
  <r>
    <n v="202407"/>
    <x v="54"/>
    <n v="2024"/>
    <s v=" July "/>
    <x v="4"/>
    <x v="1"/>
    <s v="Luzon"/>
    <n v="179.03"/>
  </r>
  <r>
    <n v="202408"/>
    <x v="55"/>
    <n v="2024"/>
    <s v=" August "/>
    <x v="4"/>
    <x v="1"/>
    <s v="Luzon"/>
    <n v="227.61"/>
  </r>
  <r>
    <n v="202409"/>
    <x v="56"/>
    <n v="2024"/>
    <s v=" September "/>
    <x v="4"/>
    <x v="1"/>
    <s v="Luzon"/>
    <n v="131.68"/>
  </r>
  <r>
    <n v="202410"/>
    <x v="57"/>
    <n v="2024"/>
    <s v=" October "/>
    <x v="4"/>
    <x v="1"/>
    <s v="Luzon"/>
    <n v="195.07"/>
  </r>
  <r>
    <n v="202411"/>
    <x v="58"/>
    <n v="2024"/>
    <s v=" November "/>
    <x v="4"/>
    <x v="1"/>
    <s v="Luzon"/>
    <n v="235.91"/>
  </r>
  <r>
    <n v="202412"/>
    <x v="59"/>
    <n v="2024"/>
    <s v=" December "/>
    <x v="4"/>
    <x v="1"/>
    <s v="Luzon"/>
    <n v="251.01"/>
  </r>
  <r>
    <n v="202401"/>
    <x v="48"/>
    <n v="2024"/>
    <s v=" January "/>
    <x v="4"/>
    <x v="1"/>
    <s v="Luzon"/>
    <n v="1300.6600000000001"/>
  </r>
  <r>
    <n v="202402"/>
    <x v="49"/>
    <n v="2024"/>
    <s v=" February "/>
    <x v="4"/>
    <x v="1"/>
    <s v="Luzon"/>
    <n v="842.75"/>
  </r>
  <r>
    <n v="202403"/>
    <x v="50"/>
    <n v="2024"/>
    <s v=" March "/>
    <x v="4"/>
    <x v="1"/>
    <s v="Luzon"/>
    <n v="764.19"/>
  </r>
  <r>
    <n v="202404"/>
    <x v="51"/>
    <n v="2024"/>
    <s v=" April "/>
    <x v="4"/>
    <x v="1"/>
    <s v="Luzon"/>
    <n v="1630.49"/>
  </r>
  <r>
    <n v="202405"/>
    <x v="52"/>
    <n v="2024"/>
    <s v=" May "/>
    <x v="4"/>
    <x v="1"/>
    <s v="Luzon"/>
    <n v="1757.82"/>
  </r>
  <r>
    <n v="202406"/>
    <x v="53"/>
    <n v="2024"/>
    <s v=" June "/>
    <x v="4"/>
    <x v="1"/>
    <s v="Luzon"/>
    <n v="1079.1099999999999"/>
  </r>
  <r>
    <n v="202407"/>
    <x v="54"/>
    <n v="2024"/>
    <s v=" July "/>
    <x v="4"/>
    <x v="1"/>
    <s v="Luzon"/>
    <n v="1516.25"/>
  </r>
  <r>
    <n v="202408"/>
    <x v="55"/>
    <n v="2024"/>
    <s v=" August "/>
    <x v="4"/>
    <x v="1"/>
    <s v="Luzon"/>
    <n v="1602.93"/>
  </r>
  <r>
    <n v="202409"/>
    <x v="56"/>
    <n v="2024"/>
    <s v=" September "/>
    <x v="4"/>
    <x v="1"/>
    <s v="Luzon"/>
    <n v="865.85"/>
  </r>
  <r>
    <n v="202410"/>
    <x v="57"/>
    <n v="2024"/>
    <s v=" October "/>
    <x v="4"/>
    <x v="1"/>
    <s v="Luzon"/>
    <n v="1541.34"/>
  </r>
  <r>
    <n v="202411"/>
    <x v="58"/>
    <n v="2024"/>
    <s v=" November "/>
    <x v="4"/>
    <x v="1"/>
    <s v="Luzon"/>
    <n v="1525.91"/>
  </r>
  <r>
    <n v="202412"/>
    <x v="59"/>
    <n v="2024"/>
    <s v=" December "/>
    <x v="4"/>
    <x v="1"/>
    <s v="Luzon"/>
    <n v="641.95000000000005"/>
  </r>
  <r>
    <n v="202401"/>
    <x v="48"/>
    <n v="2024"/>
    <s v=" January "/>
    <x v="4"/>
    <x v="1"/>
    <s v="Luzon"/>
    <n v="290.44"/>
  </r>
  <r>
    <n v="202402"/>
    <x v="49"/>
    <n v="2024"/>
    <s v=" February "/>
    <x v="4"/>
    <x v="1"/>
    <s v="Luzon"/>
    <n v="192.54"/>
  </r>
  <r>
    <n v="202403"/>
    <x v="50"/>
    <n v="2024"/>
    <s v=" March "/>
    <x v="4"/>
    <x v="1"/>
    <s v="Luzon"/>
    <n v="177.79"/>
  </r>
  <r>
    <n v="202404"/>
    <x v="51"/>
    <n v="2024"/>
    <s v=" April "/>
    <x v="4"/>
    <x v="1"/>
    <s v="Luzon"/>
    <n v="436.08"/>
  </r>
  <r>
    <n v="202405"/>
    <x v="52"/>
    <n v="2024"/>
    <s v=" May "/>
    <x v="4"/>
    <x v="1"/>
    <s v="Luzon"/>
    <n v="261.49"/>
  </r>
  <r>
    <n v="202406"/>
    <x v="53"/>
    <n v="2024"/>
    <s v=" June "/>
    <x v="4"/>
    <x v="1"/>
    <s v="Luzon"/>
    <n v="300.08999999999997"/>
  </r>
  <r>
    <n v="202407"/>
    <x v="54"/>
    <n v="2024"/>
    <s v=" July "/>
    <x v="4"/>
    <x v="1"/>
    <s v="Luzon"/>
    <n v="374.55"/>
  </r>
  <r>
    <n v="202408"/>
    <x v="55"/>
    <n v="2024"/>
    <s v=" August "/>
    <x v="4"/>
    <x v="1"/>
    <s v="Luzon"/>
    <n v="286.2"/>
  </r>
  <r>
    <n v="202409"/>
    <x v="56"/>
    <n v="2024"/>
    <s v=" September "/>
    <x v="4"/>
    <x v="1"/>
    <s v="Luzon"/>
    <n v="212.6"/>
  </r>
  <r>
    <n v="202410"/>
    <x v="57"/>
    <n v="2024"/>
    <s v=" October "/>
    <x v="4"/>
    <x v="1"/>
    <s v="Luzon"/>
    <n v="383.18"/>
  </r>
  <r>
    <n v="202411"/>
    <x v="58"/>
    <n v="2024"/>
    <s v=" November "/>
    <x v="4"/>
    <x v="1"/>
    <s v="Luzon"/>
    <n v="330.96"/>
  </r>
  <r>
    <n v="202412"/>
    <x v="59"/>
    <n v="2024"/>
    <s v=" December "/>
    <x v="4"/>
    <x v="1"/>
    <s v="Luzon"/>
    <n v="339.12"/>
  </r>
  <r>
    <n v="202401"/>
    <x v="48"/>
    <n v="2024"/>
    <s v=" January "/>
    <x v="5"/>
    <x v="1"/>
    <s v="Luzon"/>
    <n v="2437.12"/>
  </r>
  <r>
    <n v="202402"/>
    <x v="49"/>
    <n v="2024"/>
    <s v=" February "/>
    <x v="5"/>
    <x v="1"/>
    <s v="Luzon"/>
    <n v="1238.5999999999999"/>
  </r>
  <r>
    <n v="202403"/>
    <x v="50"/>
    <n v="2024"/>
    <s v=" March "/>
    <x v="5"/>
    <x v="1"/>
    <s v="Luzon"/>
    <n v="1448.15"/>
  </r>
  <r>
    <n v="202404"/>
    <x v="51"/>
    <n v="2024"/>
    <s v=" April "/>
    <x v="5"/>
    <x v="1"/>
    <s v="Luzon"/>
    <n v="3009.22"/>
  </r>
  <r>
    <n v="202405"/>
    <x v="52"/>
    <n v="2024"/>
    <s v=" May "/>
    <x v="5"/>
    <x v="1"/>
    <s v="Luzon"/>
    <n v="1855.64"/>
  </r>
  <r>
    <n v="202406"/>
    <x v="53"/>
    <n v="2024"/>
    <s v=" June "/>
    <x v="5"/>
    <x v="1"/>
    <s v="Luzon"/>
    <n v="1572.23"/>
  </r>
  <r>
    <n v="202407"/>
    <x v="54"/>
    <n v="2024"/>
    <s v=" July "/>
    <x v="5"/>
    <x v="1"/>
    <s v="Luzon"/>
    <n v="2365.38"/>
  </r>
  <r>
    <n v="202408"/>
    <x v="55"/>
    <n v="2024"/>
    <s v=" August "/>
    <x v="5"/>
    <x v="1"/>
    <s v="Luzon"/>
    <n v="2140.02"/>
  </r>
  <r>
    <n v="202409"/>
    <x v="56"/>
    <n v="2024"/>
    <s v=" September "/>
    <x v="5"/>
    <x v="1"/>
    <s v="Luzon"/>
    <n v="1620.53"/>
  </r>
  <r>
    <n v="202410"/>
    <x v="57"/>
    <n v="2024"/>
    <s v=" October "/>
    <x v="5"/>
    <x v="1"/>
    <s v="Luzon"/>
    <n v="2743.37"/>
  </r>
  <r>
    <n v="202411"/>
    <x v="58"/>
    <n v="2024"/>
    <s v=" November "/>
    <x v="5"/>
    <x v="1"/>
    <s v="Luzon"/>
    <n v="1938.78"/>
  </r>
  <r>
    <n v="202412"/>
    <x v="59"/>
    <n v="2024"/>
    <s v=" December "/>
    <x v="5"/>
    <x v="1"/>
    <s v="Luzon"/>
    <n v="1464.26"/>
  </r>
  <r>
    <n v="202401"/>
    <x v="48"/>
    <n v="2024"/>
    <s v=" January "/>
    <x v="5"/>
    <x v="1"/>
    <s v="Luzon"/>
    <n v="3794.09"/>
  </r>
  <r>
    <n v="202402"/>
    <x v="49"/>
    <n v="2024"/>
    <s v=" February "/>
    <x v="5"/>
    <x v="1"/>
    <s v="Luzon"/>
    <n v="1599.35"/>
  </r>
  <r>
    <n v="202403"/>
    <x v="50"/>
    <n v="2024"/>
    <s v=" March "/>
    <x v="5"/>
    <x v="1"/>
    <s v="Luzon"/>
    <n v="1636.54"/>
  </r>
  <r>
    <n v="202404"/>
    <x v="51"/>
    <n v="2024"/>
    <s v=" April "/>
    <x v="5"/>
    <x v="1"/>
    <s v="Luzon"/>
    <n v="3911.03"/>
  </r>
  <r>
    <n v="202405"/>
    <x v="52"/>
    <n v="2024"/>
    <s v=" May "/>
    <x v="5"/>
    <x v="1"/>
    <s v="Luzon"/>
    <n v="2308.79"/>
  </r>
  <r>
    <n v="202406"/>
    <x v="53"/>
    <n v="2024"/>
    <s v=" June "/>
    <x v="5"/>
    <x v="1"/>
    <s v="Luzon"/>
    <n v="1838.04"/>
  </r>
  <r>
    <n v="202407"/>
    <x v="54"/>
    <n v="2024"/>
    <s v=" July "/>
    <x v="5"/>
    <x v="1"/>
    <s v="Luzon"/>
    <n v="3211.31"/>
  </r>
  <r>
    <n v="202408"/>
    <x v="55"/>
    <n v="2024"/>
    <s v=" August "/>
    <x v="5"/>
    <x v="1"/>
    <s v="Luzon"/>
    <n v="2466.12"/>
  </r>
  <r>
    <n v="202409"/>
    <x v="56"/>
    <n v="2024"/>
    <s v=" September "/>
    <x v="5"/>
    <x v="1"/>
    <s v="Luzon"/>
    <n v="2072.69"/>
  </r>
  <r>
    <n v="202410"/>
    <x v="57"/>
    <n v="2024"/>
    <s v=" October "/>
    <x v="5"/>
    <x v="1"/>
    <s v="Luzon"/>
    <n v="3567.56"/>
  </r>
  <r>
    <n v="202411"/>
    <x v="58"/>
    <n v="2024"/>
    <s v=" November "/>
    <x v="5"/>
    <x v="1"/>
    <s v="Luzon"/>
    <n v="2479.7600000000002"/>
  </r>
  <r>
    <n v="202412"/>
    <x v="59"/>
    <n v="2024"/>
    <s v=" December "/>
    <x v="5"/>
    <x v="1"/>
    <s v="Luzon"/>
    <n v="2041.31"/>
  </r>
  <r>
    <n v="202401"/>
    <x v="48"/>
    <n v="2024"/>
    <s v=" January "/>
    <x v="5"/>
    <x v="1"/>
    <s v="Luzon"/>
    <n v="3550.24"/>
  </r>
  <r>
    <n v="202402"/>
    <x v="49"/>
    <n v="2024"/>
    <s v=" February "/>
    <x v="5"/>
    <x v="1"/>
    <s v="Luzon"/>
    <n v="2036.05"/>
  </r>
  <r>
    <n v="202403"/>
    <x v="50"/>
    <n v="2024"/>
    <s v=" March "/>
    <x v="5"/>
    <x v="1"/>
    <s v="Luzon"/>
    <n v="2013.78"/>
  </r>
  <r>
    <n v="202404"/>
    <x v="51"/>
    <n v="2024"/>
    <s v=" April "/>
    <x v="5"/>
    <x v="1"/>
    <s v="Luzon"/>
    <n v="4916.0600000000004"/>
  </r>
  <r>
    <n v="202405"/>
    <x v="52"/>
    <n v="2024"/>
    <s v=" May "/>
    <x v="5"/>
    <x v="1"/>
    <s v="Luzon"/>
    <n v="2834.61"/>
  </r>
  <r>
    <n v="202406"/>
    <x v="53"/>
    <n v="2024"/>
    <s v=" June "/>
    <x v="5"/>
    <x v="1"/>
    <s v="Luzon"/>
    <n v="1906.19"/>
  </r>
  <r>
    <n v="202407"/>
    <x v="54"/>
    <n v="2024"/>
    <s v=" July "/>
    <x v="5"/>
    <x v="1"/>
    <s v="Luzon"/>
    <n v="3956.64"/>
  </r>
  <r>
    <n v="202408"/>
    <x v="55"/>
    <n v="2024"/>
    <s v=" August "/>
    <x v="5"/>
    <x v="1"/>
    <s v="Luzon"/>
    <n v="3076.87"/>
  </r>
  <r>
    <n v="202409"/>
    <x v="56"/>
    <n v="2024"/>
    <s v=" September "/>
    <x v="5"/>
    <x v="1"/>
    <s v="Luzon"/>
    <n v="2328.34"/>
  </r>
  <r>
    <n v="202410"/>
    <x v="57"/>
    <n v="2024"/>
    <s v=" October "/>
    <x v="5"/>
    <x v="1"/>
    <s v="Luzon"/>
    <n v="4176.9399999999996"/>
  </r>
  <r>
    <n v="202411"/>
    <x v="58"/>
    <n v="2024"/>
    <s v=" November "/>
    <x v="5"/>
    <x v="1"/>
    <s v="Luzon"/>
    <n v="3197.95"/>
  </r>
  <r>
    <n v="202412"/>
    <x v="59"/>
    <n v="2024"/>
    <s v=" December "/>
    <x v="5"/>
    <x v="1"/>
    <s v="Luzon"/>
    <n v="2370.7199999999998"/>
  </r>
  <r>
    <n v="202401"/>
    <x v="48"/>
    <n v="2024"/>
    <s v=" January "/>
    <x v="5"/>
    <x v="1"/>
    <s v="Luzon"/>
    <n v="111.01"/>
  </r>
  <r>
    <n v="202402"/>
    <x v="49"/>
    <n v="2024"/>
    <s v=" February "/>
    <x v="5"/>
    <x v="1"/>
    <s v="Luzon"/>
    <n v="66.209999999999994"/>
  </r>
  <r>
    <n v="202403"/>
    <x v="50"/>
    <n v="2024"/>
    <s v=" March "/>
    <x v="5"/>
    <x v="1"/>
    <s v="Luzon"/>
    <n v="65.61"/>
  </r>
  <r>
    <n v="202404"/>
    <x v="51"/>
    <n v="2024"/>
    <s v=" April "/>
    <x v="5"/>
    <x v="1"/>
    <s v="Luzon"/>
    <n v="123.13"/>
  </r>
  <r>
    <n v="202405"/>
    <x v="52"/>
    <n v="2024"/>
    <s v=" May "/>
    <x v="5"/>
    <x v="1"/>
    <s v="Luzon"/>
    <n v="94.65"/>
  </r>
  <r>
    <n v="202406"/>
    <x v="53"/>
    <n v="2024"/>
    <s v=" June "/>
    <x v="5"/>
    <x v="1"/>
    <s v="Luzon"/>
    <n v="92.84"/>
  </r>
  <r>
    <n v="202407"/>
    <x v="54"/>
    <n v="2024"/>
    <s v=" July "/>
    <x v="5"/>
    <x v="1"/>
    <s v="Luzon"/>
    <n v="160.53"/>
  </r>
  <r>
    <n v="202408"/>
    <x v="55"/>
    <n v="2024"/>
    <s v=" August "/>
    <x v="5"/>
    <x v="1"/>
    <s v="Luzon"/>
    <n v="125.78"/>
  </r>
  <r>
    <n v="202409"/>
    <x v="56"/>
    <n v="2024"/>
    <s v=" September "/>
    <x v="5"/>
    <x v="1"/>
    <s v="Luzon"/>
    <n v="107.17"/>
  </r>
  <r>
    <n v="202410"/>
    <x v="57"/>
    <n v="2024"/>
    <s v=" October "/>
    <x v="5"/>
    <x v="1"/>
    <s v="Luzon"/>
    <n v="123.37"/>
  </r>
  <r>
    <n v="202411"/>
    <x v="58"/>
    <n v="2024"/>
    <s v=" November "/>
    <x v="5"/>
    <x v="1"/>
    <s v="Luzon"/>
    <n v="92.33"/>
  </r>
  <r>
    <n v="202412"/>
    <x v="59"/>
    <n v="2024"/>
    <s v=" December "/>
    <x v="5"/>
    <x v="1"/>
    <s v="Luzon"/>
    <n v="107.74"/>
  </r>
  <r>
    <n v="202401"/>
    <x v="48"/>
    <n v="2024"/>
    <s v=" January "/>
    <x v="5"/>
    <x v="1"/>
    <s v="Luzon"/>
    <n v="985.24"/>
  </r>
  <r>
    <n v="202402"/>
    <x v="49"/>
    <n v="2024"/>
    <s v=" February "/>
    <x v="5"/>
    <x v="1"/>
    <s v="Luzon"/>
    <n v="423.52"/>
  </r>
  <r>
    <n v="202403"/>
    <x v="50"/>
    <n v="2024"/>
    <s v=" March "/>
    <x v="5"/>
    <x v="1"/>
    <s v="Luzon"/>
    <n v="460.44"/>
  </r>
  <r>
    <n v="202404"/>
    <x v="51"/>
    <n v="2024"/>
    <s v=" April "/>
    <x v="5"/>
    <x v="1"/>
    <s v="Luzon"/>
    <n v="1189.78"/>
  </r>
  <r>
    <n v="202405"/>
    <x v="52"/>
    <n v="2024"/>
    <s v=" May "/>
    <x v="5"/>
    <x v="1"/>
    <s v="Luzon"/>
    <n v="600.11"/>
  </r>
  <r>
    <n v="202406"/>
    <x v="53"/>
    <n v="2024"/>
    <s v=" June "/>
    <x v="5"/>
    <x v="1"/>
    <s v="Luzon"/>
    <n v="460.18"/>
  </r>
  <r>
    <n v="202407"/>
    <x v="54"/>
    <n v="2024"/>
    <s v=" July "/>
    <x v="5"/>
    <x v="1"/>
    <s v="Luzon"/>
    <n v="999.28"/>
  </r>
  <r>
    <n v="202408"/>
    <x v="55"/>
    <n v="2024"/>
    <s v=" August "/>
    <x v="5"/>
    <x v="1"/>
    <s v="Luzon"/>
    <n v="672.89"/>
  </r>
  <r>
    <n v="202409"/>
    <x v="56"/>
    <n v="2024"/>
    <s v=" September "/>
    <x v="5"/>
    <x v="1"/>
    <s v="Luzon"/>
    <n v="518.12"/>
  </r>
  <r>
    <n v="202410"/>
    <x v="57"/>
    <n v="2024"/>
    <s v=" October "/>
    <x v="5"/>
    <x v="1"/>
    <s v="Luzon"/>
    <n v="1097.26"/>
  </r>
  <r>
    <n v="202411"/>
    <x v="58"/>
    <n v="2024"/>
    <s v=" November "/>
    <x v="5"/>
    <x v="1"/>
    <s v="Luzon"/>
    <n v="644.74"/>
  </r>
  <r>
    <n v="202412"/>
    <x v="59"/>
    <n v="2024"/>
    <s v=" December "/>
    <x v="5"/>
    <x v="1"/>
    <s v="Luzon"/>
    <n v="641.82000000000005"/>
  </r>
  <r>
    <n v="202401"/>
    <x v="48"/>
    <n v="2024"/>
    <s v=" January "/>
    <x v="5"/>
    <x v="1"/>
    <s v="Luzon"/>
    <n v="710.19"/>
  </r>
  <r>
    <n v="202402"/>
    <x v="49"/>
    <n v="2024"/>
    <s v=" February "/>
    <x v="5"/>
    <x v="1"/>
    <s v="Luzon"/>
    <n v="375.93"/>
  </r>
  <r>
    <n v="202403"/>
    <x v="50"/>
    <n v="2024"/>
    <s v=" March "/>
    <x v="5"/>
    <x v="1"/>
    <s v="Luzon"/>
    <n v="379.35"/>
  </r>
  <r>
    <n v="202404"/>
    <x v="51"/>
    <n v="2024"/>
    <s v=" April "/>
    <x v="5"/>
    <x v="1"/>
    <s v="Luzon"/>
    <n v="700.31"/>
  </r>
  <r>
    <n v="202405"/>
    <x v="52"/>
    <n v="2024"/>
    <s v=" May "/>
    <x v="5"/>
    <x v="1"/>
    <s v="Luzon"/>
    <n v="410.75"/>
  </r>
  <r>
    <n v="202406"/>
    <x v="53"/>
    <n v="2024"/>
    <s v=" June "/>
    <x v="5"/>
    <x v="1"/>
    <s v="Luzon"/>
    <n v="493.25"/>
  </r>
  <r>
    <n v="202407"/>
    <x v="54"/>
    <n v="2024"/>
    <s v=" July "/>
    <x v="5"/>
    <x v="1"/>
    <s v="Luzon"/>
    <n v="686.48"/>
  </r>
  <r>
    <n v="202408"/>
    <x v="55"/>
    <n v="2024"/>
    <s v=" August "/>
    <x v="5"/>
    <x v="1"/>
    <s v="Luzon"/>
    <n v="562.80999999999995"/>
  </r>
  <r>
    <n v="202409"/>
    <x v="56"/>
    <n v="2024"/>
    <s v=" September "/>
    <x v="5"/>
    <x v="1"/>
    <s v="Luzon"/>
    <n v="466.37"/>
  </r>
  <r>
    <n v="202410"/>
    <x v="57"/>
    <n v="2024"/>
    <s v=" October "/>
    <x v="5"/>
    <x v="1"/>
    <s v="Luzon"/>
    <n v="706.66"/>
  </r>
  <r>
    <n v="202411"/>
    <x v="58"/>
    <n v="2024"/>
    <s v=" November "/>
    <x v="5"/>
    <x v="1"/>
    <s v="Luzon"/>
    <n v="574.26"/>
  </r>
  <r>
    <n v="202412"/>
    <x v="59"/>
    <n v="2024"/>
    <s v=" December "/>
    <x v="5"/>
    <x v="1"/>
    <s v="Luzon"/>
    <n v="561.20000000000005"/>
  </r>
  <r>
    <n v="202401"/>
    <x v="48"/>
    <n v="2024"/>
    <s v=" January "/>
    <x v="6"/>
    <x v="1"/>
    <s v="Luzon"/>
    <n v="75.84"/>
  </r>
  <r>
    <n v="202402"/>
    <x v="49"/>
    <n v="2024"/>
    <s v=" February "/>
    <x v="6"/>
    <x v="1"/>
    <s v="Luzon"/>
    <n v="23.57"/>
  </r>
  <r>
    <n v="202403"/>
    <x v="50"/>
    <n v="2024"/>
    <s v=" March "/>
    <x v="6"/>
    <x v="1"/>
    <s v="Luzon"/>
    <n v="30.54"/>
  </r>
  <r>
    <n v="202404"/>
    <x v="51"/>
    <n v="2024"/>
    <s v=" April "/>
    <x v="6"/>
    <x v="1"/>
    <s v="Luzon"/>
    <n v="65.739999999999995"/>
  </r>
  <r>
    <n v="202405"/>
    <x v="52"/>
    <n v="2024"/>
    <s v=" May "/>
    <x v="6"/>
    <x v="1"/>
    <s v="Luzon"/>
    <n v="60.69"/>
  </r>
  <r>
    <n v="202406"/>
    <x v="53"/>
    <n v="2024"/>
    <s v=" June "/>
    <x v="6"/>
    <x v="1"/>
    <s v="Luzon"/>
    <n v="50.31"/>
  </r>
  <r>
    <n v="202407"/>
    <x v="54"/>
    <n v="2024"/>
    <s v=" July "/>
    <x v="6"/>
    <x v="1"/>
    <s v="Luzon"/>
    <n v="54.34"/>
  </r>
  <r>
    <n v="202408"/>
    <x v="55"/>
    <n v="2024"/>
    <s v=" August "/>
    <x v="6"/>
    <x v="1"/>
    <s v="Luzon"/>
    <n v="42.55"/>
  </r>
  <r>
    <n v="202409"/>
    <x v="56"/>
    <n v="2024"/>
    <s v=" September "/>
    <x v="6"/>
    <x v="1"/>
    <s v="Luzon"/>
    <n v="38.380000000000003"/>
  </r>
  <r>
    <n v="202410"/>
    <x v="57"/>
    <n v="2024"/>
    <s v=" October "/>
    <x v="6"/>
    <x v="1"/>
    <s v="Luzon"/>
    <n v="55"/>
  </r>
  <r>
    <n v="202411"/>
    <x v="58"/>
    <n v="2024"/>
    <s v=" November "/>
    <x v="6"/>
    <x v="1"/>
    <s v="Luzon"/>
    <n v="48.82"/>
  </r>
  <r>
    <n v="202412"/>
    <x v="59"/>
    <n v="2024"/>
    <s v=" December "/>
    <x v="6"/>
    <x v="1"/>
    <s v="Luzon"/>
    <n v="82.66"/>
  </r>
  <r>
    <n v="202401"/>
    <x v="48"/>
    <n v="2024"/>
    <s v=" January "/>
    <x v="6"/>
    <x v="1"/>
    <s v="Luzon"/>
    <n v="124.34"/>
  </r>
  <r>
    <n v="202402"/>
    <x v="49"/>
    <n v="2024"/>
    <s v=" February "/>
    <x v="6"/>
    <x v="1"/>
    <s v="Luzon"/>
    <n v="56.16"/>
  </r>
  <r>
    <n v="202403"/>
    <x v="50"/>
    <n v="2024"/>
    <s v=" March "/>
    <x v="6"/>
    <x v="1"/>
    <s v="Luzon"/>
    <n v="60.01"/>
  </r>
  <r>
    <n v="202404"/>
    <x v="51"/>
    <n v="2024"/>
    <s v=" April "/>
    <x v="6"/>
    <x v="1"/>
    <s v="Luzon"/>
    <n v="139.36000000000001"/>
  </r>
  <r>
    <n v="202405"/>
    <x v="52"/>
    <n v="2024"/>
    <s v=" May "/>
    <x v="6"/>
    <x v="1"/>
    <s v="Luzon"/>
    <n v="101.5"/>
  </r>
  <r>
    <n v="202406"/>
    <x v="53"/>
    <n v="2024"/>
    <s v=" June "/>
    <x v="6"/>
    <x v="1"/>
    <s v="Luzon"/>
    <n v="77.239999999999995"/>
  </r>
  <r>
    <n v="202407"/>
    <x v="54"/>
    <n v="2024"/>
    <s v=" July "/>
    <x v="6"/>
    <x v="1"/>
    <s v="Luzon"/>
    <n v="127.86"/>
  </r>
  <r>
    <n v="202408"/>
    <x v="55"/>
    <n v="2024"/>
    <s v=" August "/>
    <x v="6"/>
    <x v="1"/>
    <s v="Luzon"/>
    <n v="91.29"/>
  </r>
  <r>
    <n v="202409"/>
    <x v="56"/>
    <n v="2024"/>
    <s v=" September "/>
    <x v="6"/>
    <x v="1"/>
    <s v="Luzon"/>
    <n v="71.59"/>
  </r>
  <r>
    <n v="202410"/>
    <x v="57"/>
    <n v="2024"/>
    <s v=" October "/>
    <x v="6"/>
    <x v="1"/>
    <s v="Luzon"/>
    <n v="119.03"/>
  </r>
  <r>
    <n v="202411"/>
    <x v="58"/>
    <n v="2024"/>
    <s v=" November "/>
    <x v="6"/>
    <x v="1"/>
    <s v="Luzon"/>
    <n v="75.66"/>
  </r>
  <r>
    <n v="202412"/>
    <x v="59"/>
    <n v="2024"/>
    <s v=" December "/>
    <x v="6"/>
    <x v="1"/>
    <s v="Luzon"/>
    <n v="83.84"/>
  </r>
  <r>
    <n v="202401"/>
    <x v="48"/>
    <n v="2024"/>
    <s v=" January "/>
    <x v="6"/>
    <x v="1"/>
    <s v="Luzon"/>
    <n v="295.60000000000002"/>
  </r>
  <r>
    <n v="202402"/>
    <x v="49"/>
    <n v="2024"/>
    <s v=" February "/>
    <x v="6"/>
    <x v="1"/>
    <s v="Luzon"/>
    <n v="128.88"/>
  </r>
  <r>
    <n v="202403"/>
    <x v="50"/>
    <n v="2024"/>
    <s v=" March "/>
    <x v="6"/>
    <x v="1"/>
    <s v="Luzon"/>
    <n v="147.66999999999999"/>
  </r>
  <r>
    <n v="202404"/>
    <x v="51"/>
    <n v="2024"/>
    <s v=" April "/>
    <x v="6"/>
    <x v="1"/>
    <s v="Luzon"/>
    <n v="373.36"/>
  </r>
  <r>
    <n v="202405"/>
    <x v="52"/>
    <n v="2024"/>
    <s v=" May "/>
    <x v="6"/>
    <x v="1"/>
    <s v="Luzon"/>
    <n v="266.74"/>
  </r>
  <r>
    <n v="202406"/>
    <x v="53"/>
    <n v="2024"/>
    <s v=" June "/>
    <x v="6"/>
    <x v="1"/>
    <s v="Luzon"/>
    <n v="199.88"/>
  </r>
  <r>
    <n v="202407"/>
    <x v="54"/>
    <n v="2024"/>
    <s v=" July "/>
    <x v="6"/>
    <x v="1"/>
    <s v="Luzon"/>
    <n v="314.11"/>
  </r>
  <r>
    <n v="202408"/>
    <x v="55"/>
    <n v="2024"/>
    <s v=" August "/>
    <x v="6"/>
    <x v="1"/>
    <s v="Luzon"/>
    <n v="199.82"/>
  </r>
  <r>
    <n v="202409"/>
    <x v="56"/>
    <n v="2024"/>
    <s v=" September "/>
    <x v="6"/>
    <x v="1"/>
    <s v="Luzon"/>
    <n v="167.03"/>
  </r>
  <r>
    <n v="202410"/>
    <x v="57"/>
    <n v="2024"/>
    <s v=" October "/>
    <x v="6"/>
    <x v="1"/>
    <s v="Luzon"/>
    <n v="292.24"/>
  </r>
  <r>
    <n v="202411"/>
    <x v="58"/>
    <n v="2024"/>
    <s v=" November "/>
    <x v="6"/>
    <x v="1"/>
    <s v="Luzon"/>
    <n v="208.84"/>
  </r>
  <r>
    <n v="202412"/>
    <x v="59"/>
    <n v="2024"/>
    <s v=" December "/>
    <x v="6"/>
    <x v="1"/>
    <s v="Luzon"/>
    <n v="171.36"/>
  </r>
  <r>
    <n v="202401"/>
    <x v="48"/>
    <n v="2024"/>
    <s v=" January "/>
    <x v="6"/>
    <x v="1"/>
    <s v="Luzon"/>
    <n v="485.02"/>
  </r>
  <r>
    <n v="202402"/>
    <x v="49"/>
    <n v="2024"/>
    <s v=" February "/>
    <x v="6"/>
    <x v="1"/>
    <s v="Luzon"/>
    <n v="315.49"/>
  </r>
  <r>
    <n v="202403"/>
    <x v="50"/>
    <n v="2024"/>
    <s v=" March "/>
    <x v="6"/>
    <x v="1"/>
    <s v="Luzon"/>
    <n v="273.7"/>
  </r>
  <r>
    <n v="202404"/>
    <x v="51"/>
    <n v="2024"/>
    <s v=" April "/>
    <x v="6"/>
    <x v="1"/>
    <s v="Luzon"/>
    <n v="626.14"/>
  </r>
  <r>
    <n v="202405"/>
    <x v="52"/>
    <n v="2024"/>
    <s v=" May "/>
    <x v="6"/>
    <x v="1"/>
    <s v="Luzon"/>
    <n v="374.94"/>
  </r>
  <r>
    <n v="202406"/>
    <x v="53"/>
    <n v="2024"/>
    <s v=" June "/>
    <x v="6"/>
    <x v="1"/>
    <s v="Luzon"/>
    <n v="311.25"/>
  </r>
  <r>
    <n v="202407"/>
    <x v="54"/>
    <n v="2024"/>
    <s v=" July "/>
    <x v="6"/>
    <x v="1"/>
    <s v="Luzon"/>
    <n v="530.32000000000005"/>
  </r>
  <r>
    <n v="202408"/>
    <x v="55"/>
    <n v="2024"/>
    <s v=" August "/>
    <x v="6"/>
    <x v="1"/>
    <s v="Luzon"/>
    <n v="333.96"/>
  </r>
  <r>
    <n v="202409"/>
    <x v="56"/>
    <n v="2024"/>
    <s v=" September "/>
    <x v="6"/>
    <x v="1"/>
    <s v="Luzon"/>
    <n v="294.62"/>
  </r>
  <r>
    <n v="202410"/>
    <x v="57"/>
    <n v="2024"/>
    <s v=" October "/>
    <x v="6"/>
    <x v="1"/>
    <s v="Luzon"/>
    <n v="471.4"/>
  </r>
  <r>
    <n v="202411"/>
    <x v="58"/>
    <n v="2024"/>
    <s v=" November "/>
    <x v="6"/>
    <x v="1"/>
    <s v="Luzon"/>
    <n v="343.94"/>
  </r>
  <r>
    <n v="202412"/>
    <x v="59"/>
    <n v="2024"/>
    <s v=" December "/>
    <x v="6"/>
    <x v="1"/>
    <s v="Luzon"/>
    <n v="301.74"/>
  </r>
  <r>
    <n v="202401"/>
    <x v="48"/>
    <n v="2024"/>
    <s v=" January "/>
    <x v="6"/>
    <x v="1"/>
    <s v="Luzon"/>
    <n v="160.79"/>
  </r>
  <r>
    <n v="202402"/>
    <x v="49"/>
    <n v="2024"/>
    <s v=" February "/>
    <x v="6"/>
    <x v="1"/>
    <s v="Luzon"/>
    <n v="32.86"/>
  </r>
  <r>
    <n v="202403"/>
    <x v="50"/>
    <n v="2024"/>
    <s v=" March "/>
    <x v="6"/>
    <x v="1"/>
    <s v="Luzon"/>
    <n v="39.71"/>
  </r>
  <r>
    <n v="202404"/>
    <x v="51"/>
    <n v="2024"/>
    <s v=" April "/>
    <x v="6"/>
    <x v="1"/>
    <s v="Luzon"/>
    <n v="116.82"/>
  </r>
  <r>
    <n v="202405"/>
    <x v="52"/>
    <n v="2024"/>
    <s v=" May "/>
    <x v="6"/>
    <x v="1"/>
    <s v="Luzon"/>
    <n v="45.54"/>
  </r>
  <r>
    <n v="202406"/>
    <x v="53"/>
    <n v="2024"/>
    <s v=" June "/>
    <x v="6"/>
    <x v="1"/>
    <s v="Luzon"/>
    <n v="140.57"/>
  </r>
  <r>
    <n v="202407"/>
    <x v="54"/>
    <n v="2024"/>
    <s v=" July "/>
    <x v="6"/>
    <x v="1"/>
    <s v="Luzon"/>
    <n v="130.52000000000001"/>
  </r>
  <r>
    <n v="202408"/>
    <x v="55"/>
    <n v="2024"/>
    <s v=" August "/>
    <x v="6"/>
    <x v="1"/>
    <s v="Luzon"/>
    <n v="95.46"/>
  </r>
  <r>
    <n v="202409"/>
    <x v="56"/>
    <n v="2024"/>
    <s v=" September "/>
    <x v="6"/>
    <x v="1"/>
    <s v="Luzon"/>
    <n v="94.74"/>
  </r>
  <r>
    <n v="202410"/>
    <x v="57"/>
    <n v="2024"/>
    <s v=" October "/>
    <x v="6"/>
    <x v="1"/>
    <s v="Luzon"/>
    <n v="169.51"/>
  </r>
  <r>
    <n v="202411"/>
    <x v="58"/>
    <n v="2024"/>
    <s v=" November "/>
    <x v="6"/>
    <x v="1"/>
    <s v="Luzon"/>
    <n v="43.02"/>
  </r>
  <r>
    <n v="202412"/>
    <x v="59"/>
    <n v="2024"/>
    <s v=" December "/>
    <x v="6"/>
    <x v="1"/>
    <s v="Luzon"/>
    <n v="66.290000000000006"/>
  </r>
  <r>
    <n v="202401"/>
    <x v="48"/>
    <n v="2024"/>
    <s v=" January "/>
    <x v="7"/>
    <x v="1"/>
    <s v="Luzon"/>
    <n v="657.59"/>
  </r>
  <r>
    <n v="202402"/>
    <x v="49"/>
    <n v="2024"/>
    <s v=" February "/>
    <x v="7"/>
    <x v="1"/>
    <s v="Luzon"/>
    <n v="321.38"/>
  </r>
  <r>
    <n v="202403"/>
    <x v="50"/>
    <n v="2024"/>
    <s v=" March "/>
    <x v="7"/>
    <x v="1"/>
    <s v="Luzon"/>
    <n v="313.35000000000002"/>
  </r>
  <r>
    <n v="202404"/>
    <x v="51"/>
    <n v="2024"/>
    <s v=" April "/>
    <x v="7"/>
    <x v="1"/>
    <s v="Luzon"/>
    <n v="708.54"/>
  </r>
  <r>
    <n v="202405"/>
    <x v="52"/>
    <n v="2024"/>
    <s v=" May "/>
    <x v="7"/>
    <x v="1"/>
    <s v="Luzon"/>
    <n v="468.78"/>
  </r>
  <r>
    <n v="202406"/>
    <x v="53"/>
    <n v="2024"/>
    <s v=" June "/>
    <x v="7"/>
    <x v="1"/>
    <s v="Luzon"/>
    <n v="477.65"/>
  </r>
  <r>
    <n v="202407"/>
    <x v="54"/>
    <n v="2024"/>
    <s v=" July "/>
    <x v="7"/>
    <x v="1"/>
    <s v="Luzon"/>
    <n v="723.41"/>
  </r>
  <r>
    <n v="202408"/>
    <x v="55"/>
    <n v="2024"/>
    <s v=" August "/>
    <x v="7"/>
    <x v="1"/>
    <s v="Luzon"/>
    <n v="717.83"/>
  </r>
  <r>
    <n v="202409"/>
    <x v="56"/>
    <n v="2024"/>
    <s v=" September "/>
    <x v="7"/>
    <x v="1"/>
    <s v="Luzon"/>
    <n v="499.95"/>
  </r>
  <r>
    <n v="202410"/>
    <x v="57"/>
    <n v="2024"/>
    <s v=" October "/>
    <x v="7"/>
    <x v="1"/>
    <s v="Luzon"/>
    <n v="901.93"/>
  </r>
  <r>
    <n v="202411"/>
    <x v="58"/>
    <n v="2024"/>
    <s v=" November "/>
    <x v="7"/>
    <x v="1"/>
    <s v="Luzon"/>
    <n v="618.87"/>
  </r>
  <r>
    <n v="202412"/>
    <x v="59"/>
    <n v="2024"/>
    <s v=" December "/>
    <x v="7"/>
    <x v="1"/>
    <s v="Luzon"/>
    <n v="1071.28"/>
  </r>
  <r>
    <n v="202401"/>
    <x v="48"/>
    <n v="2024"/>
    <s v=" January "/>
    <x v="7"/>
    <x v="1"/>
    <s v="Luzon"/>
    <n v="159.63999999999999"/>
  </r>
  <r>
    <n v="202402"/>
    <x v="49"/>
    <n v="2024"/>
    <s v=" February "/>
    <x v="7"/>
    <x v="1"/>
    <s v="Luzon"/>
    <n v="80.41"/>
  </r>
  <r>
    <n v="202403"/>
    <x v="50"/>
    <n v="2024"/>
    <s v=" March "/>
    <x v="7"/>
    <x v="1"/>
    <s v="Luzon"/>
    <n v="76.13"/>
  </r>
  <r>
    <n v="202404"/>
    <x v="51"/>
    <n v="2024"/>
    <s v=" April "/>
    <x v="7"/>
    <x v="1"/>
    <s v="Luzon"/>
    <n v="156.4"/>
  </r>
  <r>
    <n v="202405"/>
    <x v="52"/>
    <n v="2024"/>
    <s v=" May "/>
    <x v="7"/>
    <x v="1"/>
    <s v="Luzon"/>
    <n v="119.47"/>
  </r>
  <r>
    <n v="202406"/>
    <x v="53"/>
    <n v="2024"/>
    <s v=" June "/>
    <x v="7"/>
    <x v="1"/>
    <s v="Luzon"/>
    <n v="85.9"/>
  </r>
  <r>
    <n v="202407"/>
    <x v="54"/>
    <n v="2024"/>
    <s v=" July "/>
    <x v="7"/>
    <x v="1"/>
    <s v="Luzon"/>
    <n v="154.62"/>
  </r>
  <r>
    <n v="202408"/>
    <x v="55"/>
    <n v="2024"/>
    <s v=" August "/>
    <x v="7"/>
    <x v="1"/>
    <s v="Luzon"/>
    <n v="107.03"/>
  </r>
  <r>
    <n v="202409"/>
    <x v="56"/>
    <n v="2024"/>
    <s v=" September "/>
    <x v="7"/>
    <x v="1"/>
    <s v="Luzon"/>
    <n v="130.4"/>
  </r>
  <r>
    <n v="202410"/>
    <x v="57"/>
    <n v="2024"/>
    <s v=" October "/>
    <x v="7"/>
    <x v="1"/>
    <s v="Luzon"/>
    <n v="146.12"/>
  </r>
  <r>
    <n v="202411"/>
    <x v="58"/>
    <n v="2024"/>
    <s v=" November "/>
    <x v="7"/>
    <x v="1"/>
    <s v="Luzon"/>
    <n v="136.18"/>
  </r>
  <r>
    <n v="202412"/>
    <x v="59"/>
    <n v="2024"/>
    <s v=" December "/>
    <x v="7"/>
    <x v="1"/>
    <s v="Luzon"/>
    <n v="148.59"/>
  </r>
  <r>
    <n v="202401"/>
    <x v="48"/>
    <n v="2024"/>
    <s v=" January "/>
    <x v="7"/>
    <x v="1"/>
    <s v="Luzon"/>
    <n v="828.17"/>
  </r>
  <r>
    <n v="202402"/>
    <x v="49"/>
    <n v="2024"/>
    <s v=" February "/>
    <x v="7"/>
    <x v="1"/>
    <s v="Luzon"/>
    <n v="270.83999999999997"/>
  </r>
  <r>
    <n v="202403"/>
    <x v="50"/>
    <n v="2024"/>
    <s v=" March "/>
    <x v="7"/>
    <x v="1"/>
    <s v="Luzon"/>
    <n v="408.54"/>
  </r>
  <r>
    <n v="202404"/>
    <x v="51"/>
    <n v="2024"/>
    <s v=" April "/>
    <x v="7"/>
    <x v="1"/>
    <s v="Luzon"/>
    <n v="826.22"/>
  </r>
  <r>
    <n v="202405"/>
    <x v="52"/>
    <n v="2024"/>
    <s v=" May "/>
    <x v="7"/>
    <x v="1"/>
    <s v="Luzon"/>
    <n v="437.27"/>
  </r>
  <r>
    <n v="202406"/>
    <x v="53"/>
    <n v="2024"/>
    <s v=" June "/>
    <x v="7"/>
    <x v="1"/>
    <s v="Luzon"/>
    <n v="478.52"/>
  </r>
  <r>
    <n v="202407"/>
    <x v="54"/>
    <n v="2024"/>
    <s v=" July "/>
    <x v="7"/>
    <x v="1"/>
    <s v="Luzon"/>
    <n v="660.62"/>
  </r>
  <r>
    <n v="202408"/>
    <x v="55"/>
    <n v="2024"/>
    <s v=" August "/>
    <x v="7"/>
    <x v="1"/>
    <s v="Luzon"/>
    <n v="516.83000000000004"/>
  </r>
  <r>
    <n v="202409"/>
    <x v="56"/>
    <n v="2024"/>
    <s v=" September "/>
    <x v="7"/>
    <x v="1"/>
    <s v="Luzon"/>
    <n v="514.58000000000004"/>
  </r>
  <r>
    <n v="202410"/>
    <x v="57"/>
    <n v="2024"/>
    <s v=" October "/>
    <x v="7"/>
    <x v="1"/>
    <s v="Luzon"/>
    <n v="649.79"/>
  </r>
  <r>
    <n v="202411"/>
    <x v="58"/>
    <n v="2024"/>
    <s v=" November "/>
    <x v="7"/>
    <x v="1"/>
    <s v="Luzon"/>
    <n v="498.78"/>
  </r>
  <r>
    <n v="202412"/>
    <x v="59"/>
    <n v="2024"/>
    <s v=" December "/>
    <x v="7"/>
    <x v="1"/>
    <s v="Luzon"/>
    <n v="439.28"/>
  </r>
  <r>
    <n v="202401"/>
    <x v="48"/>
    <n v="2024"/>
    <s v=" January "/>
    <x v="7"/>
    <x v="1"/>
    <s v="Luzon"/>
    <n v="113.21"/>
  </r>
  <r>
    <n v="202402"/>
    <x v="49"/>
    <n v="2024"/>
    <s v=" February "/>
    <x v="7"/>
    <x v="1"/>
    <s v="Luzon"/>
    <n v="40.130000000000003"/>
  </r>
  <r>
    <n v="202403"/>
    <x v="50"/>
    <n v="2024"/>
    <s v=" March "/>
    <x v="7"/>
    <x v="1"/>
    <s v="Luzon"/>
    <n v="67.58"/>
  </r>
  <r>
    <n v="202404"/>
    <x v="51"/>
    <n v="2024"/>
    <s v=" April "/>
    <x v="7"/>
    <x v="1"/>
    <s v="Luzon"/>
    <n v="114.96"/>
  </r>
  <r>
    <n v="202405"/>
    <x v="52"/>
    <n v="2024"/>
    <s v=" May "/>
    <x v="7"/>
    <x v="1"/>
    <s v="Luzon"/>
    <n v="73.53"/>
  </r>
  <r>
    <n v="202406"/>
    <x v="53"/>
    <n v="2024"/>
    <s v=" June "/>
    <x v="7"/>
    <x v="1"/>
    <s v="Luzon"/>
    <n v="58.75"/>
  </r>
  <r>
    <n v="202407"/>
    <x v="54"/>
    <n v="2024"/>
    <s v=" July "/>
    <x v="7"/>
    <x v="1"/>
    <s v="Luzon"/>
    <n v="114.87"/>
  </r>
  <r>
    <n v="202408"/>
    <x v="55"/>
    <n v="2024"/>
    <s v=" August "/>
    <x v="7"/>
    <x v="1"/>
    <s v="Luzon"/>
    <n v="80.849999999999994"/>
  </r>
  <r>
    <n v="202409"/>
    <x v="56"/>
    <n v="2024"/>
    <s v=" September "/>
    <x v="7"/>
    <x v="1"/>
    <s v="Luzon"/>
    <n v="74"/>
  </r>
  <r>
    <n v="202410"/>
    <x v="57"/>
    <n v="2024"/>
    <s v=" October "/>
    <x v="7"/>
    <x v="1"/>
    <s v="Luzon"/>
    <n v="109.61"/>
  </r>
  <r>
    <n v="202411"/>
    <x v="58"/>
    <n v="2024"/>
    <s v=" November "/>
    <x v="7"/>
    <x v="1"/>
    <s v="Luzon"/>
    <n v="73.87"/>
  </r>
  <r>
    <n v="202412"/>
    <x v="59"/>
    <n v="2024"/>
    <s v=" December "/>
    <x v="7"/>
    <x v="1"/>
    <s v="Luzon"/>
    <n v="80.290000000000006"/>
  </r>
  <r>
    <n v="202401"/>
    <x v="48"/>
    <n v="2024"/>
    <s v=" January "/>
    <x v="7"/>
    <x v="1"/>
    <s v="Luzon"/>
    <n v="247.21"/>
  </r>
  <r>
    <n v="202402"/>
    <x v="49"/>
    <n v="2024"/>
    <s v=" February "/>
    <x v="7"/>
    <x v="1"/>
    <s v="Luzon"/>
    <n v="70.52"/>
  </r>
  <r>
    <n v="202403"/>
    <x v="50"/>
    <n v="2024"/>
    <s v=" March "/>
    <x v="7"/>
    <x v="1"/>
    <s v="Luzon"/>
    <n v="97.55"/>
  </r>
  <r>
    <n v="202404"/>
    <x v="51"/>
    <n v="2024"/>
    <s v=" April "/>
    <x v="7"/>
    <x v="1"/>
    <s v="Luzon"/>
    <n v="144.96"/>
  </r>
  <r>
    <n v="202405"/>
    <x v="52"/>
    <n v="2024"/>
    <s v=" May "/>
    <x v="7"/>
    <x v="1"/>
    <s v="Luzon"/>
    <n v="85.38"/>
  </r>
  <r>
    <n v="202406"/>
    <x v="53"/>
    <n v="2024"/>
    <s v=" June "/>
    <x v="7"/>
    <x v="1"/>
    <s v="Luzon"/>
    <n v="105.3"/>
  </r>
  <r>
    <n v="202407"/>
    <x v="54"/>
    <n v="2024"/>
    <s v=" July "/>
    <x v="7"/>
    <x v="1"/>
    <s v="Luzon"/>
    <n v="168.4"/>
  </r>
  <r>
    <n v="202408"/>
    <x v="55"/>
    <n v="2024"/>
    <s v=" August "/>
    <x v="7"/>
    <x v="1"/>
    <s v="Luzon"/>
    <n v="89.26"/>
  </r>
  <r>
    <n v="202409"/>
    <x v="56"/>
    <n v="2024"/>
    <s v=" September "/>
    <x v="7"/>
    <x v="1"/>
    <s v="Luzon"/>
    <n v="93.2"/>
  </r>
  <r>
    <n v="202410"/>
    <x v="57"/>
    <n v="2024"/>
    <s v=" October "/>
    <x v="7"/>
    <x v="1"/>
    <s v="Luzon"/>
    <n v="146.27000000000001"/>
  </r>
  <r>
    <n v="202411"/>
    <x v="58"/>
    <n v="2024"/>
    <s v=" November "/>
    <x v="7"/>
    <x v="1"/>
    <s v="Luzon"/>
    <n v="109.84"/>
  </r>
  <r>
    <n v="202412"/>
    <x v="59"/>
    <n v="2024"/>
    <s v=" December "/>
    <x v="7"/>
    <x v="1"/>
    <s v="Luzon"/>
    <n v="146.6"/>
  </r>
  <r>
    <n v="202401"/>
    <x v="48"/>
    <n v="2024"/>
    <s v=" January "/>
    <x v="7"/>
    <x v="1"/>
    <s v="Luzon"/>
    <n v="187.12"/>
  </r>
  <r>
    <n v="202402"/>
    <x v="49"/>
    <n v="2024"/>
    <s v=" February "/>
    <x v="7"/>
    <x v="1"/>
    <s v="Luzon"/>
    <n v="86.23"/>
  </r>
  <r>
    <n v="202403"/>
    <x v="50"/>
    <n v="2024"/>
    <s v=" March "/>
    <x v="7"/>
    <x v="1"/>
    <s v="Luzon"/>
    <n v="116.97"/>
  </r>
  <r>
    <n v="202404"/>
    <x v="51"/>
    <n v="2024"/>
    <s v=" April "/>
    <x v="7"/>
    <x v="1"/>
    <s v="Luzon"/>
    <n v="208.24"/>
  </r>
  <r>
    <n v="202405"/>
    <x v="52"/>
    <n v="2024"/>
    <s v=" May "/>
    <x v="7"/>
    <x v="1"/>
    <s v="Luzon"/>
    <n v="175.22"/>
  </r>
  <r>
    <n v="202406"/>
    <x v="53"/>
    <n v="2024"/>
    <s v=" June "/>
    <x v="7"/>
    <x v="1"/>
    <s v="Luzon"/>
    <n v="153.35"/>
  </r>
  <r>
    <n v="202407"/>
    <x v="54"/>
    <n v="2024"/>
    <s v=" July "/>
    <x v="7"/>
    <x v="1"/>
    <s v="Luzon"/>
    <n v="222.24"/>
  </r>
  <r>
    <n v="202408"/>
    <x v="55"/>
    <n v="2024"/>
    <s v=" August "/>
    <x v="7"/>
    <x v="1"/>
    <s v="Luzon"/>
    <n v="156.52000000000001"/>
  </r>
  <r>
    <n v="202409"/>
    <x v="56"/>
    <n v="2024"/>
    <s v=" September "/>
    <x v="7"/>
    <x v="1"/>
    <s v="Luzon"/>
    <n v="193.06"/>
  </r>
  <r>
    <n v="202410"/>
    <x v="57"/>
    <n v="2024"/>
    <s v=" October "/>
    <x v="7"/>
    <x v="1"/>
    <s v="Luzon"/>
    <n v="271.06"/>
  </r>
  <r>
    <n v="202411"/>
    <x v="58"/>
    <n v="2024"/>
    <s v=" November "/>
    <x v="7"/>
    <x v="1"/>
    <s v="Luzon"/>
    <n v="159.47999999999999"/>
  </r>
  <r>
    <n v="202412"/>
    <x v="59"/>
    <n v="2024"/>
    <s v=" December "/>
    <x v="7"/>
    <x v="1"/>
    <s v="Luzon"/>
    <n v="306.47000000000003"/>
  </r>
  <r>
    <n v="202401"/>
    <x v="48"/>
    <n v="2024"/>
    <s v=" January "/>
    <x v="8"/>
    <x v="1"/>
    <s v="Visayas"/>
    <n v="295.08"/>
  </r>
  <r>
    <n v="202402"/>
    <x v="49"/>
    <n v="2024"/>
    <s v=" February "/>
    <x v="8"/>
    <x v="1"/>
    <s v="Visayas"/>
    <n v="114.22"/>
  </r>
  <r>
    <n v="202403"/>
    <x v="50"/>
    <n v="2024"/>
    <s v=" March "/>
    <x v="8"/>
    <x v="1"/>
    <s v="Visayas"/>
    <n v="120.18"/>
  </r>
  <r>
    <n v="202404"/>
    <x v="51"/>
    <n v="2024"/>
    <s v=" April "/>
    <x v="8"/>
    <x v="1"/>
    <s v="Visayas"/>
    <n v="308.02999999999997"/>
  </r>
  <r>
    <n v="202405"/>
    <x v="52"/>
    <n v="2024"/>
    <s v=" May "/>
    <x v="8"/>
    <x v="1"/>
    <s v="Visayas"/>
    <n v="205.18"/>
  </r>
  <r>
    <n v="202406"/>
    <x v="53"/>
    <n v="2024"/>
    <s v=" June "/>
    <x v="8"/>
    <x v="1"/>
    <s v="Visayas"/>
    <n v="184.23"/>
  </r>
  <r>
    <n v="202407"/>
    <x v="54"/>
    <n v="2024"/>
    <s v=" July "/>
    <x v="8"/>
    <x v="1"/>
    <s v="Visayas"/>
    <n v="295.27999999999997"/>
  </r>
  <r>
    <n v="202408"/>
    <x v="55"/>
    <n v="2024"/>
    <s v=" August "/>
    <x v="8"/>
    <x v="1"/>
    <s v="Visayas"/>
    <n v="214.55"/>
  </r>
  <r>
    <n v="202409"/>
    <x v="56"/>
    <n v="2024"/>
    <s v=" September "/>
    <x v="8"/>
    <x v="1"/>
    <s v="Visayas"/>
    <n v="209.5"/>
  </r>
  <r>
    <n v="202410"/>
    <x v="57"/>
    <n v="2024"/>
    <s v=" October "/>
    <x v="8"/>
    <x v="1"/>
    <s v="Visayas"/>
    <n v="301.06"/>
  </r>
  <r>
    <n v="202411"/>
    <x v="58"/>
    <n v="2024"/>
    <s v=" November "/>
    <x v="8"/>
    <x v="1"/>
    <s v="Visayas"/>
    <n v="189.13"/>
  </r>
  <r>
    <n v="202412"/>
    <x v="59"/>
    <n v="2024"/>
    <s v=" December "/>
    <x v="8"/>
    <x v="1"/>
    <s v="Visayas"/>
    <n v="231.8"/>
  </r>
  <r>
    <n v="202401"/>
    <x v="48"/>
    <n v="2024"/>
    <s v=" January "/>
    <x v="8"/>
    <x v="1"/>
    <s v="Visayas"/>
    <n v="112.11"/>
  </r>
  <r>
    <n v="202402"/>
    <x v="49"/>
    <n v="2024"/>
    <s v=" February "/>
    <x v="8"/>
    <x v="1"/>
    <s v="Visayas"/>
    <n v="58.56"/>
  </r>
  <r>
    <n v="202403"/>
    <x v="50"/>
    <n v="2024"/>
    <s v=" March "/>
    <x v="8"/>
    <x v="1"/>
    <s v="Visayas"/>
    <n v="88.09"/>
  </r>
  <r>
    <n v="202404"/>
    <x v="51"/>
    <n v="2024"/>
    <s v=" April "/>
    <x v="8"/>
    <x v="1"/>
    <s v="Visayas"/>
    <n v="136.54"/>
  </r>
  <r>
    <n v="202405"/>
    <x v="52"/>
    <n v="2024"/>
    <s v=" May "/>
    <x v="8"/>
    <x v="1"/>
    <s v="Visayas"/>
    <n v="81.91"/>
  </r>
  <r>
    <n v="202406"/>
    <x v="53"/>
    <n v="2024"/>
    <s v=" June "/>
    <x v="8"/>
    <x v="1"/>
    <s v="Visayas"/>
    <n v="105.18"/>
  </r>
  <r>
    <n v="202407"/>
    <x v="54"/>
    <n v="2024"/>
    <s v=" July "/>
    <x v="8"/>
    <x v="1"/>
    <s v="Visayas"/>
    <n v="114.23"/>
  </r>
  <r>
    <n v="202408"/>
    <x v="55"/>
    <n v="2024"/>
    <s v=" August "/>
    <x v="8"/>
    <x v="1"/>
    <s v="Visayas"/>
    <n v="89.24"/>
  </r>
  <r>
    <n v="202409"/>
    <x v="56"/>
    <n v="2024"/>
    <s v=" September "/>
    <x v="8"/>
    <x v="1"/>
    <s v="Visayas"/>
    <n v="109.18"/>
  </r>
  <r>
    <n v="202410"/>
    <x v="57"/>
    <n v="2024"/>
    <s v=" October "/>
    <x v="8"/>
    <x v="1"/>
    <s v="Visayas"/>
    <n v="138.58000000000001"/>
  </r>
  <r>
    <n v="202411"/>
    <x v="58"/>
    <n v="2024"/>
    <s v=" November "/>
    <x v="8"/>
    <x v="1"/>
    <s v="Visayas"/>
    <n v="126.03"/>
  </r>
  <r>
    <n v="202412"/>
    <x v="59"/>
    <n v="2024"/>
    <s v=" December "/>
    <x v="8"/>
    <x v="1"/>
    <s v="Visayas"/>
    <n v="100.36"/>
  </r>
  <r>
    <n v="202401"/>
    <x v="48"/>
    <n v="2024"/>
    <s v=" January "/>
    <x v="8"/>
    <x v="1"/>
    <s v="Visayas"/>
    <n v="218.08"/>
  </r>
  <r>
    <n v="202402"/>
    <x v="49"/>
    <n v="2024"/>
    <s v=" February "/>
    <x v="8"/>
    <x v="1"/>
    <s v="Visayas"/>
    <n v="93.67"/>
  </r>
  <r>
    <n v="202403"/>
    <x v="50"/>
    <n v="2024"/>
    <s v=" March "/>
    <x v="8"/>
    <x v="1"/>
    <s v="Visayas"/>
    <n v="112.03"/>
  </r>
  <r>
    <n v="202404"/>
    <x v="51"/>
    <n v="2024"/>
    <s v=" April "/>
    <x v="8"/>
    <x v="1"/>
    <s v="Visayas"/>
    <n v="227.72"/>
  </r>
  <r>
    <n v="202405"/>
    <x v="52"/>
    <n v="2024"/>
    <s v=" May "/>
    <x v="8"/>
    <x v="1"/>
    <s v="Visayas"/>
    <n v="142.72"/>
  </r>
  <r>
    <n v="202406"/>
    <x v="53"/>
    <n v="2024"/>
    <s v=" June "/>
    <x v="8"/>
    <x v="1"/>
    <s v="Visayas"/>
    <n v="143.88999999999999"/>
  </r>
  <r>
    <n v="202407"/>
    <x v="54"/>
    <n v="2024"/>
    <s v=" July "/>
    <x v="8"/>
    <x v="1"/>
    <s v="Visayas"/>
    <n v="203.82"/>
  </r>
  <r>
    <n v="202408"/>
    <x v="55"/>
    <n v="2024"/>
    <s v=" August "/>
    <x v="8"/>
    <x v="1"/>
    <s v="Visayas"/>
    <n v="124.28"/>
  </r>
  <r>
    <n v="202409"/>
    <x v="56"/>
    <n v="2024"/>
    <s v=" September "/>
    <x v="8"/>
    <x v="1"/>
    <s v="Visayas"/>
    <n v="169.9"/>
  </r>
  <r>
    <n v="202410"/>
    <x v="57"/>
    <n v="2024"/>
    <s v=" October "/>
    <x v="8"/>
    <x v="1"/>
    <s v="Visayas"/>
    <n v="183.23"/>
  </r>
  <r>
    <n v="202411"/>
    <x v="58"/>
    <n v="2024"/>
    <s v=" November "/>
    <x v="8"/>
    <x v="1"/>
    <s v="Visayas"/>
    <n v="138.08000000000001"/>
  </r>
  <r>
    <n v="202412"/>
    <x v="59"/>
    <n v="2024"/>
    <s v=" December "/>
    <x v="8"/>
    <x v="1"/>
    <s v="Visayas"/>
    <n v="167.29"/>
  </r>
  <r>
    <n v="202401"/>
    <x v="48"/>
    <n v="2024"/>
    <s v=" January "/>
    <x v="8"/>
    <x v="1"/>
    <s v="Visayas"/>
    <n v="193.8"/>
  </r>
  <r>
    <n v="202402"/>
    <x v="49"/>
    <n v="2024"/>
    <s v=" February "/>
    <x v="8"/>
    <x v="1"/>
    <s v="Visayas"/>
    <n v="103.32"/>
  </r>
  <r>
    <n v="202403"/>
    <x v="50"/>
    <n v="2024"/>
    <s v=" March "/>
    <x v="8"/>
    <x v="1"/>
    <s v="Visayas"/>
    <n v="126.62"/>
  </r>
  <r>
    <n v="202404"/>
    <x v="51"/>
    <n v="2024"/>
    <s v=" April "/>
    <x v="8"/>
    <x v="1"/>
    <s v="Visayas"/>
    <n v="242.66"/>
  </r>
  <r>
    <n v="202405"/>
    <x v="52"/>
    <n v="2024"/>
    <s v=" May "/>
    <x v="8"/>
    <x v="1"/>
    <s v="Visayas"/>
    <n v="141.9"/>
  </r>
  <r>
    <n v="202406"/>
    <x v="53"/>
    <n v="2024"/>
    <s v=" June "/>
    <x v="8"/>
    <x v="1"/>
    <s v="Visayas"/>
    <n v="200.59"/>
  </r>
  <r>
    <n v="202407"/>
    <x v="54"/>
    <n v="2024"/>
    <s v=" July "/>
    <x v="8"/>
    <x v="1"/>
    <s v="Visayas"/>
    <n v="227.3"/>
  </r>
  <r>
    <n v="202408"/>
    <x v="55"/>
    <n v="2024"/>
    <s v=" August "/>
    <x v="8"/>
    <x v="1"/>
    <s v="Visayas"/>
    <n v="160.93"/>
  </r>
  <r>
    <n v="202409"/>
    <x v="56"/>
    <n v="2024"/>
    <s v=" September "/>
    <x v="8"/>
    <x v="1"/>
    <s v="Visayas"/>
    <n v="144.16999999999999"/>
  </r>
  <r>
    <n v="202410"/>
    <x v="57"/>
    <n v="2024"/>
    <s v=" October "/>
    <x v="8"/>
    <x v="1"/>
    <s v="Visayas"/>
    <n v="208.48"/>
  </r>
  <r>
    <n v="202411"/>
    <x v="58"/>
    <n v="2024"/>
    <s v=" November "/>
    <x v="8"/>
    <x v="1"/>
    <s v="Visayas"/>
    <n v="127.33"/>
  </r>
  <r>
    <n v="202412"/>
    <x v="59"/>
    <n v="2024"/>
    <s v=" December "/>
    <x v="8"/>
    <x v="1"/>
    <s v="Visayas"/>
    <n v="187.94"/>
  </r>
  <r>
    <n v="202401"/>
    <x v="48"/>
    <n v="2024"/>
    <s v=" January "/>
    <x v="8"/>
    <x v="1"/>
    <s v="Visayas"/>
    <n v="981.39"/>
  </r>
  <r>
    <n v="202402"/>
    <x v="49"/>
    <n v="2024"/>
    <s v=" February "/>
    <x v="8"/>
    <x v="1"/>
    <s v="Visayas"/>
    <n v="475.95"/>
  </r>
  <r>
    <n v="202403"/>
    <x v="50"/>
    <n v="2024"/>
    <s v=" March "/>
    <x v="8"/>
    <x v="1"/>
    <s v="Visayas"/>
    <n v="596.62"/>
  </r>
  <r>
    <n v="202404"/>
    <x v="51"/>
    <n v="2024"/>
    <s v=" April "/>
    <x v="8"/>
    <x v="1"/>
    <s v="Visayas"/>
    <n v="1229.23"/>
  </r>
  <r>
    <n v="202405"/>
    <x v="52"/>
    <n v="2024"/>
    <s v=" May "/>
    <x v="8"/>
    <x v="1"/>
    <s v="Visayas"/>
    <n v="825.58"/>
  </r>
  <r>
    <n v="202406"/>
    <x v="53"/>
    <n v="2024"/>
    <s v=" June "/>
    <x v="8"/>
    <x v="1"/>
    <s v="Visayas"/>
    <n v="724.21"/>
  </r>
  <r>
    <n v="202407"/>
    <x v="54"/>
    <n v="2024"/>
    <s v=" July "/>
    <x v="8"/>
    <x v="1"/>
    <s v="Visayas"/>
    <n v="1163.94"/>
  </r>
  <r>
    <n v="202408"/>
    <x v="55"/>
    <n v="2024"/>
    <s v=" August "/>
    <x v="8"/>
    <x v="1"/>
    <s v="Visayas"/>
    <n v="814.78"/>
  </r>
  <r>
    <n v="202409"/>
    <x v="56"/>
    <n v="2024"/>
    <s v=" September "/>
    <x v="8"/>
    <x v="1"/>
    <s v="Visayas"/>
    <n v="709.73"/>
  </r>
  <r>
    <n v="202410"/>
    <x v="57"/>
    <n v="2024"/>
    <s v=" October "/>
    <x v="8"/>
    <x v="1"/>
    <s v="Visayas"/>
    <n v="1200.6500000000001"/>
  </r>
  <r>
    <n v="202411"/>
    <x v="58"/>
    <n v="2024"/>
    <s v=" November "/>
    <x v="8"/>
    <x v="1"/>
    <s v="Visayas"/>
    <n v="804.12"/>
  </r>
  <r>
    <n v="202412"/>
    <x v="59"/>
    <n v="2024"/>
    <s v=" December "/>
    <x v="8"/>
    <x v="1"/>
    <s v="Visayas"/>
    <n v="872.93"/>
  </r>
  <r>
    <n v="202401"/>
    <x v="48"/>
    <n v="2024"/>
    <s v=" January "/>
    <x v="9"/>
    <x v="1"/>
    <s v="Visayas"/>
    <n v="1213.06"/>
  </r>
  <r>
    <n v="202402"/>
    <x v="49"/>
    <n v="2024"/>
    <s v=" February "/>
    <x v="9"/>
    <x v="1"/>
    <s v="Visayas"/>
    <n v="557.91999999999996"/>
  </r>
  <r>
    <n v="202403"/>
    <x v="50"/>
    <n v="2024"/>
    <s v=" March "/>
    <x v="9"/>
    <x v="1"/>
    <s v="Visayas"/>
    <n v="649.07000000000005"/>
  </r>
  <r>
    <n v="202404"/>
    <x v="51"/>
    <n v="2024"/>
    <s v=" April "/>
    <x v="9"/>
    <x v="1"/>
    <s v="Visayas"/>
    <n v="1452.44"/>
  </r>
  <r>
    <n v="202405"/>
    <x v="52"/>
    <n v="2024"/>
    <s v=" May "/>
    <x v="9"/>
    <x v="1"/>
    <s v="Visayas"/>
    <n v="882.78"/>
  </r>
  <r>
    <n v="202406"/>
    <x v="53"/>
    <n v="2024"/>
    <s v=" June "/>
    <x v="9"/>
    <x v="1"/>
    <s v="Visayas"/>
    <n v="748.95"/>
  </r>
  <r>
    <n v="202407"/>
    <x v="54"/>
    <n v="2024"/>
    <s v=" July "/>
    <x v="9"/>
    <x v="1"/>
    <s v="Visayas"/>
    <n v="1205.02"/>
  </r>
  <r>
    <n v="202408"/>
    <x v="55"/>
    <n v="2024"/>
    <s v=" August "/>
    <x v="9"/>
    <x v="1"/>
    <s v="Visayas"/>
    <n v="845.31"/>
  </r>
  <r>
    <n v="202409"/>
    <x v="56"/>
    <n v="2024"/>
    <s v=" September "/>
    <x v="9"/>
    <x v="1"/>
    <s v="Visayas"/>
    <n v="1091.0899999999999"/>
  </r>
  <r>
    <n v="202410"/>
    <x v="57"/>
    <n v="2024"/>
    <s v=" October "/>
    <x v="9"/>
    <x v="1"/>
    <s v="Visayas"/>
    <n v="1600.55"/>
  </r>
  <r>
    <n v="202411"/>
    <x v="58"/>
    <n v="2024"/>
    <s v=" November "/>
    <x v="9"/>
    <x v="1"/>
    <s v="Visayas"/>
    <n v="869.8"/>
  </r>
  <r>
    <n v="202412"/>
    <x v="59"/>
    <n v="2024"/>
    <s v=" December "/>
    <x v="9"/>
    <x v="1"/>
    <s v="Visayas"/>
    <n v="677.38"/>
  </r>
  <r>
    <n v="202401"/>
    <x v="48"/>
    <n v="2024"/>
    <s v=" January "/>
    <x v="9"/>
    <x v="1"/>
    <s v="Visayas"/>
    <n v="459.76"/>
  </r>
  <r>
    <n v="202402"/>
    <x v="49"/>
    <n v="2024"/>
    <s v=" February "/>
    <x v="9"/>
    <x v="1"/>
    <s v="Visayas"/>
    <n v="247.18"/>
  </r>
  <r>
    <n v="202403"/>
    <x v="50"/>
    <n v="2024"/>
    <s v=" March "/>
    <x v="9"/>
    <x v="1"/>
    <s v="Visayas"/>
    <n v="286.20999999999998"/>
  </r>
  <r>
    <n v="202404"/>
    <x v="51"/>
    <n v="2024"/>
    <s v=" April "/>
    <x v="9"/>
    <x v="1"/>
    <s v="Visayas"/>
    <n v="550.22"/>
  </r>
  <r>
    <n v="202405"/>
    <x v="52"/>
    <n v="2024"/>
    <s v=" May "/>
    <x v="9"/>
    <x v="1"/>
    <s v="Visayas"/>
    <n v="338.36"/>
  </r>
  <r>
    <n v="202406"/>
    <x v="53"/>
    <n v="2024"/>
    <s v=" June "/>
    <x v="9"/>
    <x v="1"/>
    <s v="Visayas"/>
    <n v="375"/>
  </r>
  <r>
    <n v="202407"/>
    <x v="54"/>
    <n v="2024"/>
    <s v=" July "/>
    <x v="9"/>
    <x v="1"/>
    <s v="Visayas"/>
    <n v="427.95"/>
  </r>
  <r>
    <n v="202408"/>
    <x v="55"/>
    <n v="2024"/>
    <s v=" August "/>
    <x v="9"/>
    <x v="1"/>
    <s v="Visayas"/>
    <n v="360.81"/>
  </r>
  <r>
    <n v="202409"/>
    <x v="56"/>
    <n v="2024"/>
    <s v=" September "/>
    <x v="9"/>
    <x v="1"/>
    <s v="Visayas"/>
    <n v="270.31"/>
  </r>
  <r>
    <n v="202410"/>
    <x v="57"/>
    <n v="2024"/>
    <s v=" October "/>
    <x v="9"/>
    <x v="1"/>
    <s v="Visayas"/>
    <n v="523.67999999999995"/>
  </r>
  <r>
    <n v="202411"/>
    <x v="58"/>
    <n v="2024"/>
    <s v=" November "/>
    <x v="9"/>
    <x v="1"/>
    <s v="Visayas"/>
    <n v="308.24"/>
  </r>
  <r>
    <n v="202412"/>
    <x v="59"/>
    <n v="2024"/>
    <s v=" December "/>
    <x v="9"/>
    <x v="1"/>
    <s v="Visayas"/>
    <n v="366.46"/>
  </r>
  <r>
    <n v="202401"/>
    <x v="48"/>
    <n v="2024"/>
    <s v=" January "/>
    <x v="10"/>
    <x v="1"/>
    <s v="Visayas"/>
    <n v="367.38"/>
  </r>
  <r>
    <n v="202402"/>
    <x v="49"/>
    <n v="2024"/>
    <s v=" February "/>
    <x v="10"/>
    <x v="1"/>
    <s v="Visayas"/>
    <n v="219.01"/>
  </r>
  <r>
    <n v="202403"/>
    <x v="50"/>
    <n v="2024"/>
    <s v=" March "/>
    <x v="10"/>
    <x v="1"/>
    <s v="Visayas"/>
    <n v="209.25"/>
  </r>
  <r>
    <n v="202404"/>
    <x v="51"/>
    <n v="2024"/>
    <s v=" April "/>
    <x v="10"/>
    <x v="1"/>
    <s v="Visayas"/>
    <n v="419.98"/>
  </r>
  <r>
    <n v="202405"/>
    <x v="52"/>
    <n v="2024"/>
    <s v=" May "/>
    <x v="10"/>
    <x v="1"/>
    <s v="Visayas"/>
    <n v="347.03"/>
  </r>
  <r>
    <n v="202406"/>
    <x v="53"/>
    <n v="2024"/>
    <s v=" June "/>
    <x v="10"/>
    <x v="1"/>
    <s v="Visayas"/>
    <n v="318.17"/>
  </r>
  <r>
    <n v="202407"/>
    <x v="54"/>
    <n v="2024"/>
    <s v=" July "/>
    <x v="10"/>
    <x v="1"/>
    <s v="Visayas"/>
    <n v="506.12"/>
  </r>
  <r>
    <n v="202408"/>
    <x v="55"/>
    <n v="2024"/>
    <s v=" August "/>
    <x v="10"/>
    <x v="1"/>
    <s v="Visayas"/>
    <n v="360.08"/>
  </r>
  <r>
    <n v="202409"/>
    <x v="56"/>
    <n v="2024"/>
    <s v=" September "/>
    <x v="10"/>
    <x v="1"/>
    <s v="Visayas"/>
    <n v="360.51"/>
  </r>
  <r>
    <n v="202410"/>
    <x v="57"/>
    <n v="2024"/>
    <s v=" October "/>
    <x v="10"/>
    <x v="1"/>
    <s v="Visayas"/>
    <n v="563.92999999999995"/>
  </r>
  <r>
    <n v="202411"/>
    <x v="58"/>
    <n v="2024"/>
    <s v=" November "/>
    <x v="10"/>
    <x v="1"/>
    <s v="Visayas"/>
    <n v="419.92"/>
  </r>
  <r>
    <n v="202412"/>
    <x v="59"/>
    <n v="2024"/>
    <s v=" December "/>
    <x v="10"/>
    <x v="1"/>
    <s v="Visayas"/>
    <n v="359.73"/>
  </r>
  <r>
    <n v="202401"/>
    <x v="48"/>
    <n v="2024"/>
    <s v=" January "/>
    <x v="10"/>
    <x v="1"/>
    <s v="Visayas"/>
    <n v="2339.46"/>
  </r>
  <r>
    <n v="202402"/>
    <x v="49"/>
    <n v="2024"/>
    <s v=" February "/>
    <x v="10"/>
    <x v="1"/>
    <s v="Visayas"/>
    <n v="1164.8499999999999"/>
  </r>
  <r>
    <n v="202403"/>
    <x v="50"/>
    <n v="2024"/>
    <s v=" March "/>
    <x v="10"/>
    <x v="1"/>
    <s v="Visayas"/>
    <n v="1202.19"/>
  </r>
  <r>
    <n v="202404"/>
    <x v="51"/>
    <n v="2024"/>
    <s v=" April "/>
    <x v="10"/>
    <x v="1"/>
    <s v="Visayas"/>
    <n v="2737.63"/>
  </r>
  <r>
    <n v="202405"/>
    <x v="52"/>
    <n v="2024"/>
    <s v=" May "/>
    <x v="10"/>
    <x v="1"/>
    <s v="Visayas"/>
    <n v="1686.63"/>
  </r>
  <r>
    <n v="202406"/>
    <x v="53"/>
    <n v="2024"/>
    <s v=" June "/>
    <x v="10"/>
    <x v="1"/>
    <s v="Visayas"/>
    <n v="1442.53"/>
  </r>
  <r>
    <n v="202407"/>
    <x v="54"/>
    <n v="2024"/>
    <s v=" July "/>
    <x v="10"/>
    <x v="1"/>
    <s v="Visayas"/>
    <n v="2357.52"/>
  </r>
  <r>
    <n v="202408"/>
    <x v="55"/>
    <n v="2024"/>
    <s v=" August "/>
    <x v="10"/>
    <x v="1"/>
    <s v="Visayas"/>
    <n v="1728.53"/>
  </r>
  <r>
    <n v="202409"/>
    <x v="56"/>
    <n v="2024"/>
    <s v=" September "/>
    <x v="10"/>
    <x v="1"/>
    <s v="Visayas"/>
    <n v="1402.85"/>
  </r>
  <r>
    <n v="202410"/>
    <x v="57"/>
    <n v="2024"/>
    <s v=" October "/>
    <x v="10"/>
    <x v="1"/>
    <s v="Visayas"/>
    <n v="2389.88"/>
  </r>
  <r>
    <n v="202411"/>
    <x v="58"/>
    <n v="2024"/>
    <s v=" November "/>
    <x v="10"/>
    <x v="1"/>
    <s v="Visayas"/>
    <n v="2000.96"/>
  </r>
  <r>
    <n v="202412"/>
    <x v="59"/>
    <n v="2024"/>
    <s v=" December "/>
    <x v="10"/>
    <x v="1"/>
    <s v="Visayas"/>
    <n v="1467.71"/>
  </r>
  <r>
    <n v="202401"/>
    <x v="48"/>
    <n v="2024"/>
    <s v=" January "/>
    <x v="10"/>
    <x v="1"/>
    <s v="Visayas"/>
    <n v="2585.56"/>
  </r>
  <r>
    <n v="202402"/>
    <x v="49"/>
    <n v="2024"/>
    <s v=" February "/>
    <x v="10"/>
    <x v="1"/>
    <s v="Visayas"/>
    <n v="1024.1500000000001"/>
  </r>
  <r>
    <n v="202403"/>
    <x v="50"/>
    <n v="2024"/>
    <s v=" March "/>
    <x v="10"/>
    <x v="1"/>
    <s v="Visayas"/>
    <n v="1272.52"/>
  </r>
  <r>
    <n v="202404"/>
    <x v="51"/>
    <n v="2024"/>
    <s v=" April "/>
    <x v="10"/>
    <x v="1"/>
    <s v="Visayas"/>
    <n v="3068.16"/>
  </r>
  <r>
    <n v="202405"/>
    <x v="52"/>
    <n v="2024"/>
    <s v=" May "/>
    <x v="10"/>
    <x v="1"/>
    <s v="Visayas"/>
    <n v="1980.9"/>
  </r>
  <r>
    <n v="202406"/>
    <x v="53"/>
    <n v="2024"/>
    <s v=" June "/>
    <x v="10"/>
    <x v="1"/>
    <s v="Visayas"/>
    <n v="1470.81"/>
  </r>
  <r>
    <n v="202407"/>
    <x v="54"/>
    <n v="2024"/>
    <s v=" July "/>
    <x v="10"/>
    <x v="1"/>
    <s v="Visayas"/>
    <n v="2369.5700000000002"/>
  </r>
  <r>
    <n v="202408"/>
    <x v="55"/>
    <n v="2024"/>
    <s v=" August "/>
    <x v="10"/>
    <x v="1"/>
    <s v="Visayas"/>
    <n v="1906.65"/>
  </r>
  <r>
    <n v="202409"/>
    <x v="56"/>
    <n v="2024"/>
    <s v=" September "/>
    <x v="10"/>
    <x v="1"/>
    <s v="Visayas"/>
    <n v="1421.5"/>
  </r>
  <r>
    <n v="202410"/>
    <x v="57"/>
    <n v="2024"/>
    <s v=" October "/>
    <x v="10"/>
    <x v="1"/>
    <s v="Visayas"/>
    <n v="2355.7399999999998"/>
  </r>
  <r>
    <n v="202411"/>
    <x v="58"/>
    <n v="2024"/>
    <s v=" November "/>
    <x v="10"/>
    <x v="1"/>
    <s v="Visayas"/>
    <n v="1896.55"/>
  </r>
  <r>
    <n v="202412"/>
    <x v="59"/>
    <n v="2024"/>
    <s v=" December "/>
    <x v="10"/>
    <x v="1"/>
    <s v="Visayas"/>
    <n v="1457.45"/>
  </r>
  <r>
    <n v="202401"/>
    <x v="48"/>
    <n v="2024"/>
    <s v=" January "/>
    <x v="10"/>
    <x v="1"/>
    <s v="Visayas"/>
    <n v="3725.76"/>
  </r>
  <r>
    <n v="202402"/>
    <x v="49"/>
    <n v="2024"/>
    <s v=" February "/>
    <x v="10"/>
    <x v="1"/>
    <s v="Visayas"/>
    <n v="2020.65"/>
  </r>
  <r>
    <n v="202403"/>
    <x v="50"/>
    <n v="2024"/>
    <s v=" March "/>
    <x v="10"/>
    <x v="1"/>
    <s v="Visayas"/>
    <n v="2128.19"/>
  </r>
  <r>
    <n v="202404"/>
    <x v="51"/>
    <n v="2024"/>
    <s v=" April "/>
    <x v="10"/>
    <x v="1"/>
    <s v="Visayas"/>
    <n v="5736.6"/>
  </r>
  <r>
    <n v="202405"/>
    <x v="52"/>
    <n v="2024"/>
    <s v=" May "/>
    <x v="10"/>
    <x v="1"/>
    <s v="Visayas"/>
    <n v="3709.82"/>
  </r>
  <r>
    <n v="202406"/>
    <x v="53"/>
    <n v="2024"/>
    <s v=" June "/>
    <x v="10"/>
    <x v="1"/>
    <s v="Visayas"/>
    <n v="2687.54"/>
  </r>
  <r>
    <n v="202407"/>
    <x v="54"/>
    <n v="2024"/>
    <s v=" July "/>
    <x v="10"/>
    <x v="1"/>
    <s v="Visayas"/>
    <n v="4366.42"/>
  </r>
  <r>
    <n v="202408"/>
    <x v="55"/>
    <n v="2024"/>
    <s v=" August "/>
    <x v="10"/>
    <x v="1"/>
    <s v="Visayas"/>
    <n v="4763.1400000000003"/>
  </r>
  <r>
    <n v="202409"/>
    <x v="56"/>
    <n v="2024"/>
    <s v=" September "/>
    <x v="10"/>
    <x v="1"/>
    <s v="Visayas"/>
    <n v="2555.06"/>
  </r>
  <r>
    <n v="202410"/>
    <x v="57"/>
    <n v="2024"/>
    <s v=" October "/>
    <x v="10"/>
    <x v="1"/>
    <s v="Visayas"/>
    <n v="3972.49"/>
  </r>
  <r>
    <n v="202411"/>
    <x v="58"/>
    <n v="2024"/>
    <s v=" November "/>
    <x v="10"/>
    <x v="1"/>
    <s v="Visayas"/>
    <n v="4202"/>
  </r>
  <r>
    <n v="202412"/>
    <x v="59"/>
    <n v="2024"/>
    <s v=" December "/>
    <x v="10"/>
    <x v="1"/>
    <s v="Visayas"/>
    <n v="2828.81"/>
  </r>
  <r>
    <n v="202401"/>
    <x v="48"/>
    <n v="2024"/>
    <s v=" January "/>
    <x v="11"/>
    <x v="1"/>
    <s v="Visayas"/>
    <n v="89.22"/>
  </r>
  <r>
    <n v="202402"/>
    <x v="49"/>
    <n v="2024"/>
    <s v=" February "/>
    <x v="11"/>
    <x v="1"/>
    <s v="Visayas"/>
    <n v="71.150000000000006"/>
  </r>
  <r>
    <n v="202403"/>
    <x v="50"/>
    <n v="2024"/>
    <s v=" March "/>
    <x v="11"/>
    <x v="1"/>
    <s v="Visayas"/>
    <n v="82.12"/>
  </r>
  <r>
    <n v="202404"/>
    <x v="51"/>
    <n v="2024"/>
    <s v=" April "/>
    <x v="11"/>
    <x v="1"/>
    <s v="Visayas"/>
    <n v="134.22"/>
  </r>
  <r>
    <n v="202405"/>
    <x v="52"/>
    <n v="2024"/>
    <s v=" May "/>
    <x v="11"/>
    <x v="1"/>
    <s v="Visayas"/>
    <n v="100.71"/>
  </r>
  <r>
    <n v="202406"/>
    <x v="53"/>
    <n v="2024"/>
    <s v=" June "/>
    <x v="11"/>
    <x v="1"/>
    <s v="Visayas"/>
    <n v="102.34"/>
  </r>
  <r>
    <n v="202407"/>
    <x v="54"/>
    <n v="2024"/>
    <s v=" July "/>
    <x v="11"/>
    <x v="1"/>
    <s v="Visayas"/>
    <n v="132.19"/>
  </r>
  <r>
    <n v="202408"/>
    <x v="55"/>
    <n v="2024"/>
    <s v=" August "/>
    <x v="11"/>
    <x v="1"/>
    <s v="Visayas"/>
    <n v="110.43"/>
  </r>
  <r>
    <n v="202409"/>
    <x v="56"/>
    <n v="2024"/>
    <s v=" September "/>
    <x v="11"/>
    <x v="1"/>
    <s v="Visayas"/>
    <n v="79.989999999999995"/>
  </r>
  <r>
    <n v="202410"/>
    <x v="57"/>
    <n v="2024"/>
    <s v=" October "/>
    <x v="11"/>
    <x v="1"/>
    <s v="Visayas"/>
    <n v="124.86"/>
  </r>
  <r>
    <n v="202411"/>
    <x v="58"/>
    <n v="2024"/>
    <s v=" November "/>
    <x v="11"/>
    <x v="1"/>
    <s v="Visayas"/>
    <n v="85.75"/>
  </r>
  <r>
    <n v="202412"/>
    <x v="59"/>
    <n v="2024"/>
    <s v=" December "/>
    <x v="11"/>
    <x v="1"/>
    <s v="Visayas"/>
    <n v="104.31"/>
  </r>
  <r>
    <n v="202401"/>
    <x v="48"/>
    <n v="2024"/>
    <s v=" January "/>
    <x v="11"/>
    <x v="1"/>
    <s v="Visayas"/>
    <n v="353.64"/>
  </r>
  <r>
    <n v="202402"/>
    <x v="49"/>
    <n v="2024"/>
    <s v=" February "/>
    <x v="11"/>
    <x v="1"/>
    <s v="Visayas"/>
    <n v="157.15"/>
  </r>
  <r>
    <n v="202403"/>
    <x v="50"/>
    <n v="2024"/>
    <s v=" March "/>
    <x v="11"/>
    <x v="1"/>
    <s v="Visayas"/>
    <n v="172.48"/>
  </r>
  <r>
    <n v="202404"/>
    <x v="51"/>
    <n v="2024"/>
    <s v=" April "/>
    <x v="11"/>
    <x v="1"/>
    <s v="Visayas"/>
    <n v="398.71"/>
  </r>
  <r>
    <n v="202405"/>
    <x v="52"/>
    <n v="2024"/>
    <s v=" May "/>
    <x v="11"/>
    <x v="1"/>
    <s v="Visayas"/>
    <n v="328.32"/>
  </r>
  <r>
    <n v="202406"/>
    <x v="53"/>
    <n v="2024"/>
    <s v=" June "/>
    <x v="11"/>
    <x v="1"/>
    <s v="Visayas"/>
    <n v="240.78"/>
  </r>
  <r>
    <n v="202407"/>
    <x v="54"/>
    <n v="2024"/>
    <s v=" July "/>
    <x v="11"/>
    <x v="1"/>
    <s v="Visayas"/>
    <n v="352.31"/>
  </r>
  <r>
    <n v="202408"/>
    <x v="55"/>
    <n v="2024"/>
    <s v=" August "/>
    <x v="11"/>
    <x v="1"/>
    <s v="Visayas"/>
    <n v="321.43"/>
  </r>
  <r>
    <n v="202409"/>
    <x v="56"/>
    <n v="2024"/>
    <s v=" September "/>
    <x v="11"/>
    <x v="1"/>
    <s v="Visayas"/>
    <n v="232.49"/>
  </r>
  <r>
    <n v="202410"/>
    <x v="57"/>
    <n v="2024"/>
    <s v=" October "/>
    <x v="11"/>
    <x v="1"/>
    <s v="Visayas"/>
    <n v="323.26"/>
  </r>
  <r>
    <n v="202411"/>
    <x v="58"/>
    <n v="2024"/>
    <s v=" November "/>
    <x v="11"/>
    <x v="1"/>
    <s v="Visayas"/>
    <n v="252.84"/>
  </r>
  <r>
    <n v="202412"/>
    <x v="59"/>
    <n v="2024"/>
    <s v=" December "/>
    <x v="11"/>
    <x v="1"/>
    <s v="Visayas"/>
    <n v="296.13"/>
  </r>
  <r>
    <n v="202401"/>
    <x v="48"/>
    <n v="2024"/>
    <s v=" January "/>
    <x v="11"/>
    <x v="1"/>
    <s v="Visayas"/>
    <n v="121.69"/>
  </r>
  <r>
    <n v="202402"/>
    <x v="49"/>
    <n v="2024"/>
    <s v=" February "/>
    <x v="11"/>
    <x v="1"/>
    <s v="Visayas"/>
    <n v="69.86"/>
  </r>
  <r>
    <n v="202403"/>
    <x v="50"/>
    <n v="2024"/>
    <s v=" March "/>
    <x v="11"/>
    <x v="1"/>
    <s v="Visayas"/>
    <n v="66.06"/>
  </r>
  <r>
    <n v="202404"/>
    <x v="51"/>
    <n v="2024"/>
    <s v=" April "/>
    <x v="11"/>
    <x v="1"/>
    <s v="Visayas"/>
    <n v="118.91"/>
  </r>
  <r>
    <n v="202405"/>
    <x v="52"/>
    <n v="2024"/>
    <s v=" May "/>
    <x v="11"/>
    <x v="1"/>
    <s v="Visayas"/>
    <n v="121.51"/>
  </r>
  <r>
    <n v="202406"/>
    <x v="53"/>
    <n v="2024"/>
    <s v=" June "/>
    <x v="11"/>
    <x v="1"/>
    <s v="Visayas"/>
    <n v="99.08"/>
  </r>
  <r>
    <n v="202407"/>
    <x v="54"/>
    <n v="2024"/>
    <s v=" July "/>
    <x v="11"/>
    <x v="1"/>
    <s v="Visayas"/>
    <n v="151.72999999999999"/>
  </r>
  <r>
    <n v="202408"/>
    <x v="55"/>
    <n v="2024"/>
    <s v=" August "/>
    <x v="11"/>
    <x v="1"/>
    <s v="Visayas"/>
    <n v="99.02"/>
  </r>
  <r>
    <n v="202409"/>
    <x v="56"/>
    <n v="2024"/>
    <s v=" September "/>
    <x v="11"/>
    <x v="1"/>
    <s v="Visayas"/>
    <n v="135.38"/>
  </r>
  <r>
    <n v="202410"/>
    <x v="57"/>
    <n v="2024"/>
    <s v=" October "/>
    <x v="11"/>
    <x v="1"/>
    <s v="Visayas"/>
    <n v="132.84"/>
  </r>
  <r>
    <n v="202411"/>
    <x v="58"/>
    <n v="2024"/>
    <s v=" November "/>
    <x v="11"/>
    <x v="1"/>
    <s v="Visayas"/>
    <n v="119.02"/>
  </r>
  <r>
    <n v="202412"/>
    <x v="59"/>
    <n v="2024"/>
    <s v=" December "/>
    <x v="11"/>
    <x v="1"/>
    <s v="Visayas"/>
    <n v="169.42"/>
  </r>
  <r>
    <n v="202401"/>
    <x v="48"/>
    <n v="2024"/>
    <s v=" January "/>
    <x v="11"/>
    <x v="1"/>
    <s v="Visayas"/>
    <n v="153.21"/>
  </r>
  <r>
    <n v="202402"/>
    <x v="49"/>
    <n v="2024"/>
    <s v=" February "/>
    <x v="11"/>
    <x v="1"/>
    <s v="Visayas"/>
    <n v="93.54"/>
  </r>
  <r>
    <n v="202403"/>
    <x v="50"/>
    <n v="2024"/>
    <s v=" March "/>
    <x v="11"/>
    <x v="1"/>
    <s v="Visayas"/>
    <n v="81.64"/>
  </r>
  <r>
    <n v="202404"/>
    <x v="51"/>
    <n v="2024"/>
    <s v=" April "/>
    <x v="11"/>
    <x v="1"/>
    <s v="Visayas"/>
    <n v="189.01"/>
  </r>
  <r>
    <n v="202405"/>
    <x v="52"/>
    <n v="2024"/>
    <s v=" May "/>
    <x v="11"/>
    <x v="1"/>
    <s v="Visayas"/>
    <n v="126.87"/>
  </r>
  <r>
    <n v="202406"/>
    <x v="53"/>
    <n v="2024"/>
    <s v=" June "/>
    <x v="11"/>
    <x v="1"/>
    <s v="Visayas"/>
    <n v="136.11000000000001"/>
  </r>
  <r>
    <n v="202407"/>
    <x v="54"/>
    <n v="2024"/>
    <s v=" July "/>
    <x v="11"/>
    <x v="1"/>
    <s v="Visayas"/>
    <n v="188.56"/>
  </r>
  <r>
    <n v="202408"/>
    <x v="55"/>
    <n v="2024"/>
    <s v=" August "/>
    <x v="11"/>
    <x v="1"/>
    <s v="Visayas"/>
    <n v="133.97"/>
  </r>
  <r>
    <n v="202409"/>
    <x v="56"/>
    <n v="2024"/>
    <s v=" September "/>
    <x v="11"/>
    <x v="1"/>
    <s v="Visayas"/>
    <n v="146.33000000000001"/>
  </r>
  <r>
    <n v="202410"/>
    <x v="57"/>
    <n v="2024"/>
    <s v=" October "/>
    <x v="11"/>
    <x v="1"/>
    <s v="Visayas"/>
    <n v="170.6"/>
  </r>
  <r>
    <n v="202411"/>
    <x v="58"/>
    <n v="2024"/>
    <s v=" November "/>
    <x v="11"/>
    <x v="1"/>
    <s v="Visayas"/>
    <n v="130.47999999999999"/>
  </r>
  <r>
    <n v="202412"/>
    <x v="59"/>
    <n v="2024"/>
    <s v=" December "/>
    <x v="11"/>
    <x v="1"/>
    <s v="Visayas"/>
    <n v="199.22"/>
  </r>
  <r>
    <n v="202401"/>
    <x v="48"/>
    <n v="2024"/>
    <s v=" January "/>
    <x v="11"/>
    <x v="1"/>
    <s v="Visayas"/>
    <n v="107.05"/>
  </r>
  <r>
    <n v="202402"/>
    <x v="49"/>
    <n v="2024"/>
    <s v=" February "/>
    <x v="11"/>
    <x v="1"/>
    <s v="Visayas"/>
    <n v="66.64"/>
  </r>
  <r>
    <n v="202403"/>
    <x v="50"/>
    <n v="2024"/>
    <s v=" March "/>
    <x v="11"/>
    <x v="1"/>
    <s v="Visayas"/>
    <n v="58.76"/>
  </r>
  <r>
    <n v="202404"/>
    <x v="51"/>
    <n v="2024"/>
    <s v=" April "/>
    <x v="11"/>
    <x v="1"/>
    <s v="Visayas"/>
    <n v="133.91"/>
  </r>
  <r>
    <n v="202405"/>
    <x v="52"/>
    <n v="2024"/>
    <s v=" May "/>
    <x v="11"/>
    <x v="1"/>
    <s v="Visayas"/>
    <n v="82.72"/>
  </r>
  <r>
    <n v="202406"/>
    <x v="53"/>
    <n v="2024"/>
    <s v=" June "/>
    <x v="11"/>
    <x v="1"/>
    <s v="Visayas"/>
    <n v="86.09"/>
  </r>
  <r>
    <n v="202407"/>
    <x v="54"/>
    <n v="2024"/>
    <s v=" July "/>
    <x v="11"/>
    <x v="1"/>
    <s v="Visayas"/>
    <n v="112.03"/>
  </r>
  <r>
    <n v="202408"/>
    <x v="55"/>
    <n v="2024"/>
    <s v=" August "/>
    <x v="11"/>
    <x v="1"/>
    <s v="Visayas"/>
    <n v="84.89"/>
  </r>
  <r>
    <n v="202409"/>
    <x v="56"/>
    <n v="2024"/>
    <s v=" September "/>
    <x v="11"/>
    <x v="1"/>
    <s v="Visayas"/>
    <n v="90.22"/>
  </r>
  <r>
    <n v="202410"/>
    <x v="57"/>
    <n v="2024"/>
    <s v=" October "/>
    <x v="11"/>
    <x v="1"/>
    <s v="Visayas"/>
    <n v="109.95"/>
  </r>
  <r>
    <n v="202411"/>
    <x v="58"/>
    <n v="2024"/>
    <s v=" November "/>
    <x v="11"/>
    <x v="1"/>
    <s v="Visayas"/>
    <n v="86.11"/>
  </r>
  <r>
    <n v="202412"/>
    <x v="59"/>
    <n v="2024"/>
    <s v=" December "/>
    <x v="11"/>
    <x v="1"/>
    <s v="Visayas"/>
    <n v="79.81"/>
  </r>
  <r>
    <n v="202401"/>
    <x v="48"/>
    <n v="2024"/>
    <s v=" January "/>
    <x v="11"/>
    <x v="1"/>
    <s v="Visayas"/>
    <n v="605.75"/>
  </r>
  <r>
    <n v="202402"/>
    <x v="49"/>
    <n v="2024"/>
    <s v=" February "/>
    <x v="11"/>
    <x v="1"/>
    <s v="Visayas"/>
    <n v="308.98"/>
  </r>
  <r>
    <n v="202403"/>
    <x v="50"/>
    <n v="2024"/>
    <s v=" March "/>
    <x v="11"/>
    <x v="1"/>
    <s v="Visayas"/>
    <n v="407.98"/>
  </r>
  <r>
    <n v="202404"/>
    <x v="51"/>
    <n v="2024"/>
    <s v=" April "/>
    <x v="11"/>
    <x v="1"/>
    <s v="Visayas"/>
    <n v="658.94"/>
  </r>
  <r>
    <n v="202405"/>
    <x v="52"/>
    <n v="2024"/>
    <s v=" May "/>
    <x v="11"/>
    <x v="1"/>
    <s v="Visayas"/>
    <n v="567.92999999999995"/>
  </r>
  <r>
    <n v="202406"/>
    <x v="53"/>
    <n v="2024"/>
    <s v=" June "/>
    <x v="11"/>
    <x v="1"/>
    <s v="Visayas"/>
    <n v="627.59"/>
  </r>
  <r>
    <n v="202407"/>
    <x v="54"/>
    <n v="2024"/>
    <s v=" July "/>
    <x v="11"/>
    <x v="1"/>
    <s v="Visayas"/>
    <n v="697.95"/>
  </r>
  <r>
    <n v="202408"/>
    <x v="55"/>
    <n v="2024"/>
    <s v=" August "/>
    <x v="11"/>
    <x v="1"/>
    <s v="Visayas"/>
    <n v="524.73"/>
  </r>
  <r>
    <n v="202409"/>
    <x v="56"/>
    <n v="2024"/>
    <s v=" September "/>
    <x v="11"/>
    <x v="1"/>
    <s v="Visayas"/>
    <n v="574.53"/>
  </r>
  <r>
    <n v="202410"/>
    <x v="57"/>
    <n v="2024"/>
    <s v=" October "/>
    <x v="11"/>
    <x v="1"/>
    <s v="Visayas"/>
    <n v="730.89"/>
  </r>
  <r>
    <n v="202411"/>
    <x v="58"/>
    <n v="2024"/>
    <s v=" November "/>
    <x v="11"/>
    <x v="1"/>
    <s v="Visayas"/>
    <n v="544.49"/>
  </r>
  <r>
    <n v="202412"/>
    <x v="59"/>
    <n v="2024"/>
    <s v=" December "/>
    <x v="11"/>
    <x v="1"/>
    <s v="Visayas"/>
    <n v="635.17999999999995"/>
  </r>
  <r>
    <n v="202401"/>
    <x v="48"/>
    <n v="2024"/>
    <s v=" January "/>
    <x v="12"/>
    <x v="1"/>
    <s v="Mindanao"/>
    <n v="288.04000000000002"/>
  </r>
  <r>
    <n v="202402"/>
    <x v="49"/>
    <n v="2024"/>
    <s v=" February "/>
    <x v="12"/>
    <x v="1"/>
    <s v="Mindanao"/>
    <n v="134.51"/>
  </r>
  <r>
    <n v="202403"/>
    <x v="50"/>
    <n v="2024"/>
    <s v=" March "/>
    <x v="12"/>
    <x v="1"/>
    <s v="Mindanao"/>
    <n v="139.32"/>
  </r>
  <r>
    <n v="202404"/>
    <x v="51"/>
    <n v="2024"/>
    <s v=" April "/>
    <x v="12"/>
    <x v="1"/>
    <s v="Mindanao"/>
    <n v="317.02"/>
  </r>
  <r>
    <n v="202405"/>
    <x v="52"/>
    <n v="2024"/>
    <s v=" May "/>
    <x v="12"/>
    <x v="1"/>
    <s v="Mindanao"/>
    <n v="182.22"/>
  </r>
  <r>
    <n v="202406"/>
    <x v="53"/>
    <n v="2024"/>
    <s v=" June "/>
    <x v="12"/>
    <x v="1"/>
    <s v="Mindanao"/>
    <n v="164.04"/>
  </r>
  <r>
    <n v="202407"/>
    <x v="54"/>
    <n v="2024"/>
    <s v=" July "/>
    <x v="12"/>
    <x v="1"/>
    <s v="Mindanao"/>
    <n v="260.81"/>
  </r>
  <r>
    <n v="202408"/>
    <x v="55"/>
    <n v="2024"/>
    <s v=" August "/>
    <x v="12"/>
    <x v="1"/>
    <s v="Mindanao"/>
    <n v="186.6"/>
  </r>
  <r>
    <n v="202409"/>
    <x v="56"/>
    <n v="2024"/>
    <s v=" September "/>
    <x v="12"/>
    <x v="1"/>
    <s v="Mindanao"/>
    <n v="164.04"/>
  </r>
  <r>
    <n v="202410"/>
    <x v="57"/>
    <n v="2024"/>
    <s v=" October "/>
    <x v="12"/>
    <x v="1"/>
    <s v="Mindanao"/>
    <n v="298.91000000000003"/>
  </r>
  <r>
    <n v="202411"/>
    <x v="58"/>
    <n v="2024"/>
    <s v=" November "/>
    <x v="12"/>
    <x v="1"/>
    <s v="Mindanao"/>
    <n v="201.7"/>
  </r>
  <r>
    <n v="202412"/>
    <x v="59"/>
    <n v="2024"/>
    <s v=" December "/>
    <x v="12"/>
    <x v="1"/>
    <s v="Mindanao"/>
    <n v="294.16000000000003"/>
  </r>
  <r>
    <n v="202401"/>
    <x v="48"/>
    <n v="2024"/>
    <s v=" January "/>
    <x v="12"/>
    <x v="1"/>
    <s v="Mindanao"/>
    <n v="202.56"/>
  </r>
  <r>
    <n v="202402"/>
    <x v="49"/>
    <n v="2024"/>
    <s v=" February "/>
    <x v="12"/>
    <x v="1"/>
    <s v="Mindanao"/>
    <n v="108.2"/>
  </r>
  <r>
    <n v="202403"/>
    <x v="50"/>
    <n v="2024"/>
    <s v=" March "/>
    <x v="12"/>
    <x v="1"/>
    <s v="Mindanao"/>
    <n v="131.22999999999999"/>
  </r>
  <r>
    <n v="202404"/>
    <x v="51"/>
    <n v="2024"/>
    <s v=" April "/>
    <x v="12"/>
    <x v="1"/>
    <s v="Mindanao"/>
    <n v="233.61"/>
  </r>
  <r>
    <n v="202405"/>
    <x v="52"/>
    <n v="2024"/>
    <s v=" May "/>
    <x v="12"/>
    <x v="1"/>
    <s v="Mindanao"/>
    <n v="146.66999999999999"/>
  </r>
  <r>
    <n v="202406"/>
    <x v="53"/>
    <n v="2024"/>
    <s v=" June "/>
    <x v="12"/>
    <x v="1"/>
    <s v="Mindanao"/>
    <n v="160.47"/>
  </r>
  <r>
    <n v="202407"/>
    <x v="54"/>
    <n v="2024"/>
    <s v=" July "/>
    <x v="12"/>
    <x v="1"/>
    <s v="Mindanao"/>
    <n v="204.45"/>
  </r>
  <r>
    <n v="202408"/>
    <x v="55"/>
    <n v="2024"/>
    <s v=" August "/>
    <x v="12"/>
    <x v="1"/>
    <s v="Mindanao"/>
    <n v="169.36"/>
  </r>
  <r>
    <n v="202409"/>
    <x v="56"/>
    <n v="2024"/>
    <s v=" September "/>
    <x v="12"/>
    <x v="1"/>
    <s v="Mindanao"/>
    <n v="174.81"/>
  </r>
  <r>
    <n v="202410"/>
    <x v="57"/>
    <n v="2024"/>
    <s v=" October "/>
    <x v="12"/>
    <x v="1"/>
    <s v="Mindanao"/>
    <n v="244.79"/>
  </r>
  <r>
    <n v="202411"/>
    <x v="58"/>
    <n v="2024"/>
    <s v=" November "/>
    <x v="12"/>
    <x v="1"/>
    <s v="Mindanao"/>
    <n v="175.68"/>
  </r>
  <r>
    <n v="202412"/>
    <x v="59"/>
    <n v="2024"/>
    <s v=" December "/>
    <x v="12"/>
    <x v="1"/>
    <s v="Mindanao"/>
    <n v="223"/>
  </r>
  <r>
    <n v="202401"/>
    <x v="48"/>
    <n v="2024"/>
    <s v=" January "/>
    <x v="12"/>
    <x v="1"/>
    <s v="Mindanao"/>
    <n v="93.74"/>
  </r>
  <r>
    <n v="202402"/>
    <x v="49"/>
    <n v="2024"/>
    <s v=" February "/>
    <x v="12"/>
    <x v="1"/>
    <s v="Mindanao"/>
    <n v="40.840000000000003"/>
  </r>
  <r>
    <n v="202403"/>
    <x v="50"/>
    <n v="2024"/>
    <s v=" March "/>
    <x v="12"/>
    <x v="1"/>
    <s v="Mindanao"/>
    <n v="52.58"/>
  </r>
  <r>
    <n v="202404"/>
    <x v="51"/>
    <n v="2024"/>
    <s v=" April "/>
    <x v="12"/>
    <x v="1"/>
    <s v="Mindanao"/>
    <n v="77"/>
  </r>
  <r>
    <n v="202405"/>
    <x v="52"/>
    <n v="2024"/>
    <s v=" May "/>
    <x v="12"/>
    <x v="1"/>
    <s v="Mindanao"/>
    <n v="70.67"/>
  </r>
  <r>
    <n v="202406"/>
    <x v="53"/>
    <n v="2024"/>
    <s v=" June "/>
    <x v="12"/>
    <x v="1"/>
    <s v="Mindanao"/>
    <n v="113.19"/>
  </r>
  <r>
    <n v="202407"/>
    <x v="54"/>
    <n v="2024"/>
    <s v=" July "/>
    <x v="12"/>
    <x v="1"/>
    <s v="Mindanao"/>
    <n v="47.66"/>
  </r>
  <r>
    <n v="202408"/>
    <x v="55"/>
    <n v="2024"/>
    <s v=" August "/>
    <x v="12"/>
    <x v="1"/>
    <s v="Mindanao"/>
    <n v="70.39"/>
  </r>
  <r>
    <n v="202409"/>
    <x v="56"/>
    <n v="2024"/>
    <s v=" September "/>
    <x v="12"/>
    <x v="1"/>
    <s v="Mindanao"/>
    <n v="83.43"/>
  </r>
  <r>
    <n v="202410"/>
    <x v="57"/>
    <n v="2024"/>
    <s v=" October "/>
    <x v="12"/>
    <x v="1"/>
    <s v="Mindanao"/>
    <n v="100.32"/>
  </r>
  <r>
    <n v="202411"/>
    <x v="58"/>
    <n v="2024"/>
    <s v=" November "/>
    <x v="12"/>
    <x v="1"/>
    <s v="Mindanao"/>
    <n v="84.22"/>
  </r>
  <r>
    <n v="202412"/>
    <x v="59"/>
    <n v="2024"/>
    <s v=" December "/>
    <x v="12"/>
    <x v="1"/>
    <s v="Mindanao"/>
    <n v="125.54"/>
  </r>
  <r>
    <n v="202401"/>
    <x v="48"/>
    <n v="2024"/>
    <s v=" January "/>
    <x v="12"/>
    <x v="1"/>
    <s v="Mindanao"/>
    <n v="499.39"/>
  </r>
  <r>
    <n v="202402"/>
    <x v="49"/>
    <n v="2024"/>
    <s v=" February "/>
    <x v="12"/>
    <x v="1"/>
    <s v="Mindanao"/>
    <n v="195.9"/>
  </r>
  <r>
    <n v="202403"/>
    <x v="50"/>
    <n v="2024"/>
    <s v=" March "/>
    <x v="12"/>
    <x v="1"/>
    <s v="Mindanao"/>
    <n v="231.44"/>
  </r>
  <r>
    <n v="202404"/>
    <x v="51"/>
    <n v="2024"/>
    <s v=" April "/>
    <x v="12"/>
    <x v="1"/>
    <s v="Mindanao"/>
    <n v="418.26"/>
  </r>
  <r>
    <n v="202405"/>
    <x v="52"/>
    <n v="2024"/>
    <s v=" May "/>
    <x v="12"/>
    <x v="1"/>
    <s v="Mindanao"/>
    <n v="315.73"/>
  </r>
  <r>
    <n v="202406"/>
    <x v="53"/>
    <n v="2024"/>
    <s v=" June "/>
    <x v="12"/>
    <x v="1"/>
    <s v="Mindanao"/>
    <n v="328.83"/>
  </r>
  <r>
    <n v="202407"/>
    <x v="54"/>
    <n v="2024"/>
    <s v=" July "/>
    <x v="12"/>
    <x v="1"/>
    <s v="Mindanao"/>
    <n v="428.98"/>
  </r>
  <r>
    <n v="202408"/>
    <x v="55"/>
    <n v="2024"/>
    <s v=" August "/>
    <x v="12"/>
    <x v="1"/>
    <s v="Mindanao"/>
    <n v="372.57"/>
  </r>
  <r>
    <n v="202409"/>
    <x v="56"/>
    <n v="2024"/>
    <s v=" September "/>
    <x v="12"/>
    <x v="1"/>
    <s v="Mindanao"/>
    <n v="321.02"/>
  </r>
  <r>
    <n v="202410"/>
    <x v="57"/>
    <n v="2024"/>
    <s v=" October "/>
    <x v="12"/>
    <x v="1"/>
    <s v="Mindanao"/>
    <n v="495.02"/>
  </r>
  <r>
    <n v="202411"/>
    <x v="58"/>
    <n v="2024"/>
    <s v=" November "/>
    <x v="12"/>
    <x v="1"/>
    <s v="Mindanao"/>
    <n v="314.45"/>
  </r>
  <r>
    <n v="202412"/>
    <x v="59"/>
    <n v="2024"/>
    <s v=" December "/>
    <x v="12"/>
    <x v="1"/>
    <s v="Mindanao"/>
    <n v="349.37"/>
  </r>
  <r>
    <n v="202401"/>
    <x v="48"/>
    <n v="2024"/>
    <s v=" January "/>
    <x v="13"/>
    <x v="1"/>
    <s v="Mindanao"/>
    <n v="385.84"/>
  </r>
  <r>
    <n v="202402"/>
    <x v="49"/>
    <n v="2024"/>
    <s v=" February "/>
    <x v="13"/>
    <x v="1"/>
    <s v="Mindanao"/>
    <n v="185.22"/>
  </r>
  <r>
    <n v="202403"/>
    <x v="50"/>
    <n v="2024"/>
    <s v=" March "/>
    <x v="13"/>
    <x v="1"/>
    <s v="Mindanao"/>
    <n v="225.41"/>
  </r>
  <r>
    <n v="202404"/>
    <x v="51"/>
    <n v="2024"/>
    <s v=" April "/>
    <x v="13"/>
    <x v="1"/>
    <s v="Mindanao"/>
    <n v="419.8"/>
  </r>
  <r>
    <n v="202405"/>
    <x v="52"/>
    <n v="2024"/>
    <s v=" May "/>
    <x v="13"/>
    <x v="1"/>
    <s v="Mindanao"/>
    <n v="270.42"/>
  </r>
  <r>
    <n v="202406"/>
    <x v="53"/>
    <n v="2024"/>
    <s v=" June "/>
    <x v="13"/>
    <x v="1"/>
    <s v="Mindanao"/>
    <n v="303.60000000000002"/>
  </r>
  <r>
    <n v="202407"/>
    <x v="54"/>
    <n v="2024"/>
    <s v=" July "/>
    <x v="13"/>
    <x v="1"/>
    <s v="Mindanao"/>
    <n v="360.05"/>
  </r>
  <r>
    <n v="202408"/>
    <x v="55"/>
    <n v="2024"/>
    <s v=" August "/>
    <x v="13"/>
    <x v="1"/>
    <s v="Mindanao"/>
    <n v="271.13"/>
  </r>
  <r>
    <n v="202409"/>
    <x v="56"/>
    <n v="2024"/>
    <s v=" September "/>
    <x v="13"/>
    <x v="1"/>
    <s v="Mindanao"/>
    <n v="278.20999999999998"/>
  </r>
  <r>
    <n v="202410"/>
    <x v="57"/>
    <n v="2024"/>
    <s v=" October "/>
    <x v="13"/>
    <x v="1"/>
    <s v="Mindanao"/>
    <n v="369.41"/>
  </r>
  <r>
    <n v="202411"/>
    <x v="58"/>
    <n v="2024"/>
    <s v=" November "/>
    <x v="13"/>
    <x v="1"/>
    <s v="Mindanao"/>
    <n v="368.46"/>
  </r>
  <r>
    <n v="202412"/>
    <x v="59"/>
    <n v="2024"/>
    <s v=" December "/>
    <x v="13"/>
    <x v="1"/>
    <s v="Mindanao"/>
    <n v="320.58"/>
  </r>
  <r>
    <n v="202401"/>
    <x v="48"/>
    <n v="2024"/>
    <s v=" January "/>
    <x v="13"/>
    <x v="1"/>
    <s v="Mindanao"/>
    <n v="245.99"/>
  </r>
  <r>
    <n v="202402"/>
    <x v="49"/>
    <n v="2024"/>
    <s v=" February "/>
    <x v="13"/>
    <x v="1"/>
    <s v="Mindanao"/>
    <n v="116.78"/>
  </r>
  <r>
    <n v="202403"/>
    <x v="50"/>
    <n v="2024"/>
    <s v=" March "/>
    <x v="13"/>
    <x v="1"/>
    <s v="Mindanao"/>
    <n v="170.56"/>
  </r>
  <r>
    <n v="202404"/>
    <x v="51"/>
    <n v="2024"/>
    <s v=" April "/>
    <x v="13"/>
    <x v="1"/>
    <s v="Mindanao"/>
    <n v="263.68"/>
  </r>
  <r>
    <n v="202405"/>
    <x v="52"/>
    <n v="2024"/>
    <s v=" May "/>
    <x v="13"/>
    <x v="1"/>
    <s v="Mindanao"/>
    <n v="163.5"/>
  </r>
  <r>
    <n v="202406"/>
    <x v="53"/>
    <n v="2024"/>
    <s v=" June "/>
    <x v="13"/>
    <x v="1"/>
    <s v="Mindanao"/>
    <n v="167.66"/>
  </r>
  <r>
    <n v="202407"/>
    <x v="54"/>
    <n v="2024"/>
    <s v=" July "/>
    <x v="13"/>
    <x v="1"/>
    <s v="Mindanao"/>
    <n v="246"/>
  </r>
  <r>
    <n v="202408"/>
    <x v="55"/>
    <n v="2024"/>
    <s v=" August "/>
    <x v="13"/>
    <x v="1"/>
    <s v="Mindanao"/>
    <n v="177.04"/>
  </r>
  <r>
    <n v="202409"/>
    <x v="56"/>
    <n v="2024"/>
    <s v=" September "/>
    <x v="13"/>
    <x v="1"/>
    <s v="Mindanao"/>
    <n v="126.22"/>
  </r>
  <r>
    <n v="202410"/>
    <x v="57"/>
    <n v="2024"/>
    <s v=" October "/>
    <x v="13"/>
    <x v="1"/>
    <s v="Mindanao"/>
    <n v="248.81"/>
  </r>
  <r>
    <n v="202411"/>
    <x v="58"/>
    <n v="2024"/>
    <s v=" November "/>
    <x v="13"/>
    <x v="1"/>
    <s v="Mindanao"/>
    <n v="212.77"/>
  </r>
  <r>
    <n v="202412"/>
    <x v="59"/>
    <n v="2024"/>
    <s v=" December "/>
    <x v="13"/>
    <x v="1"/>
    <s v="Mindanao"/>
    <n v="205.62"/>
  </r>
  <r>
    <n v="202401"/>
    <x v="48"/>
    <n v="2024"/>
    <s v=" January "/>
    <x v="13"/>
    <x v="1"/>
    <s v="Mindanao"/>
    <n v="214.02"/>
  </r>
  <r>
    <n v="202402"/>
    <x v="49"/>
    <n v="2024"/>
    <s v=" February "/>
    <x v="13"/>
    <x v="1"/>
    <s v="Mindanao"/>
    <n v="120.15"/>
  </r>
  <r>
    <n v="202403"/>
    <x v="50"/>
    <n v="2024"/>
    <s v=" March "/>
    <x v="13"/>
    <x v="1"/>
    <s v="Mindanao"/>
    <n v="123.01"/>
  </r>
  <r>
    <n v="202404"/>
    <x v="51"/>
    <n v="2024"/>
    <s v=" April "/>
    <x v="13"/>
    <x v="1"/>
    <s v="Mindanao"/>
    <n v="226.27"/>
  </r>
  <r>
    <n v="202405"/>
    <x v="52"/>
    <n v="2024"/>
    <s v=" May "/>
    <x v="13"/>
    <x v="1"/>
    <s v="Mindanao"/>
    <n v="167.62"/>
  </r>
  <r>
    <n v="202406"/>
    <x v="53"/>
    <n v="2024"/>
    <s v=" June "/>
    <x v="13"/>
    <x v="1"/>
    <s v="Mindanao"/>
    <n v="155.94999999999999"/>
  </r>
  <r>
    <n v="202407"/>
    <x v="54"/>
    <n v="2024"/>
    <s v=" July "/>
    <x v="13"/>
    <x v="1"/>
    <s v="Mindanao"/>
    <n v="223.03"/>
  </r>
  <r>
    <n v="202408"/>
    <x v="55"/>
    <n v="2024"/>
    <s v=" August "/>
    <x v="13"/>
    <x v="1"/>
    <s v="Mindanao"/>
    <n v="162.24"/>
  </r>
  <r>
    <n v="202409"/>
    <x v="56"/>
    <n v="2024"/>
    <s v=" September "/>
    <x v="13"/>
    <x v="1"/>
    <s v="Mindanao"/>
    <n v="172.99"/>
  </r>
  <r>
    <n v="202410"/>
    <x v="57"/>
    <n v="2024"/>
    <s v=" October "/>
    <x v="13"/>
    <x v="1"/>
    <s v="Mindanao"/>
    <n v="211.53"/>
  </r>
  <r>
    <n v="202411"/>
    <x v="58"/>
    <n v="2024"/>
    <s v=" November "/>
    <x v="13"/>
    <x v="1"/>
    <s v="Mindanao"/>
    <n v="189.54"/>
  </r>
  <r>
    <n v="202412"/>
    <x v="59"/>
    <n v="2024"/>
    <s v=" December "/>
    <x v="13"/>
    <x v="1"/>
    <s v="Mindanao"/>
    <n v="190.46"/>
  </r>
  <r>
    <n v="202401"/>
    <x v="48"/>
    <n v="2024"/>
    <s v=" January "/>
    <x v="13"/>
    <x v="1"/>
    <s v="Mindanao"/>
    <n v="106.11"/>
  </r>
  <r>
    <n v="202402"/>
    <x v="49"/>
    <n v="2024"/>
    <s v=" February "/>
    <x v="13"/>
    <x v="1"/>
    <s v="Mindanao"/>
    <n v="57.11"/>
  </r>
  <r>
    <n v="202403"/>
    <x v="50"/>
    <n v="2024"/>
    <s v=" March "/>
    <x v="13"/>
    <x v="1"/>
    <s v="Mindanao"/>
    <n v="74.2"/>
  </r>
  <r>
    <n v="202404"/>
    <x v="51"/>
    <n v="2024"/>
    <s v=" April "/>
    <x v="13"/>
    <x v="1"/>
    <s v="Mindanao"/>
    <n v="128.59"/>
  </r>
  <r>
    <n v="202405"/>
    <x v="52"/>
    <n v="2024"/>
    <s v=" May "/>
    <x v="13"/>
    <x v="1"/>
    <s v="Mindanao"/>
    <n v="119.35"/>
  </r>
  <r>
    <n v="202406"/>
    <x v="53"/>
    <n v="2024"/>
    <s v=" June "/>
    <x v="13"/>
    <x v="1"/>
    <s v="Mindanao"/>
    <n v="111.29"/>
  </r>
  <r>
    <n v="202407"/>
    <x v="54"/>
    <n v="2024"/>
    <s v=" July "/>
    <x v="13"/>
    <x v="1"/>
    <s v="Mindanao"/>
    <n v="124.09"/>
  </r>
  <r>
    <n v="202408"/>
    <x v="55"/>
    <n v="2024"/>
    <s v=" August "/>
    <x v="13"/>
    <x v="1"/>
    <s v="Mindanao"/>
    <n v="112.69"/>
  </r>
  <r>
    <n v="202409"/>
    <x v="56"/>
    <n v="2024"/>
    <s v=" September "/>
    <x v="13"/>
    <x v="1"/>
    <s v="Mindanao"/>
    <n v="135.18"/>
  </r>
  <r>
    <n v="202410"/>
    <x v="57"/>
    <n v="2024"/>
    <s v=" October "/>
    <x v="13"/>
    <x v="1"/>
    <s v="Mindanao"/>
    <n v="124.85"/>
  </r>
  <r>
    <n v="202411"/>
    <x v="58"/>
    <n v="2024"/>
    <s v=" November "/>
    <x v="13"/>
    <x v="1"/>
    <s v="Mindanao"/>
    <n v="105.59"/>
  </r>
  <r>
    <n v="202412"/>
    <x v="59"/>
    <n v="2024"/>
    <s v=" December "/>
    <x v="13"/>
    <x v="1"/>
    <s v="Mindanao"/>
    <n v="128.1"/>
  </r>
  <r>
    <n v="202401"/>
    <x v="48"/>
    <n v="2024"/>
    <s v=" January "/>
    <x v="13"/>
    <x v="1"/>
    <s v="Mindanao"/>
    <n v="937.01"/>
  </r>
  <r>
    <n v="202402"/>
    <x v="49"/>
    <n v="2024"/>
    <s v=" February "/>
    <x v="13"/>
    <x v="1"/>
    <s v="Mindanao"/>
    <n v="422.55"/>
  </r>
  <r>
    <n v="202403"/>
    <x v="50"/>
    <n v="2024"/>
    <s v=" March "/>
    <x v="13"/>
    <x v="1"/>
    <s v="Mindanao"/>
    <n v="684.18"/>
  </r>
  <r>
    <n v="202404"/>
    <x v="51"/>
    <n v="2024"/>
    <s v=" April "/>
    <x v="13"/>
    <x v="1"/>
    <s v="Mindanao"/>
    <n v="1044.43"/>
  </r>
  <r>
    <n v="202405"/>
    <x v="52"/>
    <n v="2024"/>
    <s v=" May "/>
    <x v="13"/>
    <x v="1"/>
    <s v="Mindanao"/>
    <n v="590.36"/>
  </r>
  <r>
    <n v="202406"/>
    <x v="53"/>
    <n v="2024"/>
    <s v=" June "/>
    <x v="13"/>
    <x v="1"/>
    <s v="Mindanao"/>
    <n v="815.78"/>
  </r>
  <r>
    <n v="202407"/>
    <x v="54"/>
    <n v="2024"/>
    <s v=" July "/>
    <x v="13"/>
    <x v="1"/>
    <s v="Mindanao"/>
    <n v="1004.63"/>
  </r>
  <r>
    <n v="202408"/>
    <x v="55"/>
    <n v="2024"/>
    <s v=" August "/>
    <x v="13"/>
    <x v="1"/>
    <s v="Mindanao"/>
    <n v="764.91"/>
  </r>
  <r>
    <n v="202409"/>
    <x v="56"/>
    <n v="2024"/>
    <s v=" September "/>
    <x v="13"/>
    <x v="1"/>
    <s v="Mindanao"/>
    <n v="679.49"/>
  </r>
  <r>
    <n v="202410"/>
    <x v="57"/>
    <n v="2024"/>
    <s v=" October "/>
    <x v="13"/>
    <x v="1"/>
    <s v="Mindanao"/>
    <n v="1614.64"/>
  </r>
  <r>
    <n v="202411"/>
    <x v="58"/>
    <n v="2024"/>
    <s v=" November "/>
    <x v="13"/>
    <x v="1"/>
    <s v="Mindanao"/>
    <n v="779.23"/>
  </r>
  <r>
    <n v="202412"/>
    <x v="59"/>
    <n v="2024"/>
    <s v=" December "/>
    <x v="13"/>
    <x v="1"/>
    <s v="Mindanao"/>
    <n v="705.8"/>
  </r>
  <r>
    <n v="202401"/>
    <x v="48"/>
    <n v="2024"/>
    <s v=" January "/>
    <x v="14"/>
    <x v="1"/>
    <s v="Mindanao"/>
    <n v="471.48"/>
  </r>
  <r>
    <n v="202402"/>
    <x v="49"/>
    <n v="2024"/>
    <s v=" February "/>
    <x v="14"/>
    <x v="1"/>
    <s v="Mindanao"/>
    <n v="246.86"/>
  </r>
  <r>
    <n v="202403"/>
    <x v="50"/>
    <n v="2024"/>
    <s v=" March "/>
    <x v="14"/>
    <x v="1"/>
    <s v="Mindanao"/>
    <n v="273.18"/>
  </r>
  <r>
    <n v="202404"/>
    <x v="51"/>
    <n v="2024"/>
    <s v=" April "/>
    <x v="14"/>
    <x v="1"/>
    <s v="Mindanao"/>
    <n v="546.13"/>
  </r>
  <r>
    <n v="202405"/>
    <x v="52"/>
    <n v="2024"/>
    <s v=" May "/>
    <x v="14"/>
    <x v="1"/>
    <s v="Mindanao"/>
    <n v="454.32"/>
  </r>
  <r>
    <n v="202406"/>
    <x v="53"/>
    <n v="2024"/>
    <s v=" June "/>
    <x v="14"/>
    <x v="1"/>
    <s v="Mindanao"/>
    <n v="414.49"/>
  </r>
  <r>
    <n v="202407"/>
    <x v="54"/>
    <n v="2024"/>
    <s v=" July "/>
    <x v="14"/>
    <x v="1"/>
    <s v="Mindanao"/>
    <n v="510"/>
  </r>
  <r>
    <n v="202408"/>
    <x v="55"/>
    <n v="2024"/>
    <s v=" August "/>
    <x v="14"/>
    <x v="1"/>
    <s v="Mindanao"/>
    <n v="480.1"/>
  </r>
  <r>
    <n v="202409"/>
    <x v="56"/>
    <n v="2024"/>
    <s v=" September "/>
    <x v="14"/>
    <x v="1"/>
    <s v="Mindanao"/>
    <n v="417.59"/>
  </r>
  <r>
    <n v="202410"/>
    <x v="57"/>
    <n v="2024"/>
    <s v=" October "/>
    <x v="14"/>
    <x v="1"/>
    <s v="Mindanao"/>
    <n v="547.04999999999995"/>
  </r>
  <r>
    <n v="202411"/>
    <x v="58"/>
    <n v="2024"/>
    <s v=" November "/>
    <x v="14"/>
    <x v="1"/>
    <s v="Mindanao"/>
    <n v="464.05"/>
  </r>
  <r>
    <n v="202412"/>
    <x v="59"/>
    <n v="2024"/>
    <s v=" December "/>
    <x v="14"/>
    <x v="1"/>
    <s v="Mindanao"/>
    <n v="379.11"/>
  </r>
  <r>
    <n v="202401"/>
    <x v="48"/>
    <n v="2024"/>
    <s v=" January "/>
    <x v="14"/>
    <x v="1"/>
    <s v="Mindanao"/>
    <n v="448.64"/>
  </r>
  <r>
    <n v="202402"/>
    <x v="49"/>
    <n v="2024"/>
    <s v=" February "/>
    <x v="14"/>
    <x v="1"/>
    <s v="Mindanao"/>
    <n v="250.32"/>
  </r>
  <r>
    <n v="202403"/>
    <x v="50"/>
    <n v="2024"/>
    <s v=" March "/>
    <x v="14"/>
    <x v="1"/>
    <s v="Mindanao"/>
    <n v="144.41"/>
  </r>
  <r>
    <n v="202404"/>
    <x v="51"/>
    <n v="2024"/>
    <s v=" April "/>
    <x v="14"/>
    <x v="1"/>
    <s v="Mindanao"/>
    <n v="249.1"/>
  </r>
  <r>
    <n v="202405"/>
    <x v="52"/>
    <n v="2024"/>
    <s v=" May "/>
    <x v="14"/>
    <x v="1"/>
    <s v="Mindanao"/>
    <n v="139"/>
  </r>
  <r>
    <n v="202406"/>
    <x v="53"/>
    <n v="2024"/>
    <s v=" June "/>
    <x v="14"/>
    <x v="1"/>
    <s v="Mindanao"/>
    <n v="161.91999999999999"/>
  </r>
  <r>
    <n v="202407"/>
    <x v="54"/>
    <n v="2024"/>
    <s v=" July "/>
    <x v="14"/>
    <x v="1"/>
    <s v="Mindanao"/>
    <n v="205.05"/>
  </r>
  <r>
    <n v="202408"/>
    <x v="55"/>
    <n v="2024"/>
    <s v=" August "/>
    <x v="14"/>
    <x v="1"/>
    <s v="Mindanao"/>
    <n v="197.63"/>
  </r>
  <r>
    <n v="202409"/>
    <x v="56"/>
    <n v="2024"/>
    <s v=" September "/>
    <x v="14"/>
    <x v="1"/>
    <s v="Mindanao"/>
    <n v="182.8"/>
  </r>
  <r>
    <n v="202410"/>
    <x v="57"/>
    <n v="2024"/>
    <s v=" October "/>
    <x v="14"/>
    <x v="1"/>
    <s v="Mindanao"/>
    <n v="268.33"/>
  </r>
  <r>
    <n v="202411"/>
    <x v="58"/>
    <n v="2024"/>
    <s v=" November "/>
    <x v="14"/>
    <x v="1"/>
    <s v="Mindanao"/>
    <n v="223.34"/>
  </r>
  <r>
    <n v="202412"/>
    <x v="59"/>
    <n v="2024"/>
    <s v=" December "/>
    <x v="14"/>
    <x v="1"/>
    <s v="Mindanao"/>
    <n v="165.21"/>
  </r>
  <r>
    <n v="202401"/>
    <x v="48"/>
    <n v="2024"/>
    <s v=" January "/>
    <x v="14"/>
    <x v="1"/>
    <s v="Mindanao"/>
    <n v="114.95"/>
  </r>
  <r>
    <n v="202402"/>
    <x v="49"/>
    <n v="2024"/>
    <s v=" February "/>
    <x v="14"/>
    <x v="1"/>
    <s v="Mindanao"/>
    <n v="50.21"/>
  </r>
  <r>
    <n v="202403"/>
    <x v="50"/>
    <n v="2024"/>
    <s v=" March "/>
    <x v="14"/>
    <x v="1"/>
    <s v="Mindanao"/>
    <n v="64.75"/>
  </r>
  <r>
    <n v="202404"/>
    <x v="51"/>
    <n v="2024"/>
    <s v=" April "/>
    <x v="14"/>
    <x v="1"/>
    <s v="Mindanao"/>
    <n v="107.62"/>
  </r>
  <r>
    <n v="202405"/>
    <x v="52"/>
    <n v="2024"/>
    <s v=" May "/>
    <x v="14"/>
    <x v="1"/>
    <s v="Mindanao"/>
    <n v="158.11000000000001"/>
  </r>
  <r>
    <n v="202406"/>
    <x v="53"/>
    <n v="2024"/>
    <s v=" June "/>
    <x v="14"/>
    <x v="1"/>
    <s v="Mindanao"/>
    <n v="125.7"/>
  </r>
  <r>
    <n v="202407"/>
    <x v="54"/>
    <n v="2024"/>
    <s v=" July "/>
    <x v="14"/>
    <x v="1"/>
    <s v="Mindanao"/>
    <n v="157.97999999999999"/>
  </r>
  <r>
    <n v="202408"/>
    <x v="55"/>
    <n v="2024"/>
    <s v=" August "/>
    <x v="14"/>
    <x v="1"/>
    <s v="Mindanao"/>
    <n v="109.28"/>
  </r>
  <r>
    <n v="202409"/>
    <x v="56"/>
    <n v="2024"/>
    <s v=" September "/>
    <x v="14"/>
    <x v="1"/>
    <s v="Mindanao"/>
    <n v="112.43"/>
  </r>
  <r>
    <n v="202410"/>
    <x v="57"/>
    <n v="2024"/>
    <s v=" October "/>
    <x v="14"/>
    <x v="1"/>
    <s v="Mindanao"/>
    <n v="206.37"/>
  </r>
  <r>
    <n v="202411"/>
    <x v="58"/>
    <n v="2024"/>
    <s v=" November "/>
    <x v="14"/>
    <x v="1"/>
    <s v="Mindanao"/>
    <n v="112.39"/>
  </r>
  <r>
    <n v="202412"/>
    <x v="59"/>
    <n v="2024"/>
    <s v=" December "/>
    <x v="14"/>
    <x v="1"/>
    <s v="Mindanao"/>
    <n v="121.67"/>
  </r>
  <r>
    <n v="202401"/>
    <x v="48"/>
    <n v="2024"/>
    <s v=" January "/>
    <x v="14"/>
    <x v="1"/>
    <s v="Mindanao"/>
    <n v="1589.05"/>
  </r>
  <r>
    <n v="202402"/>
    <x v="49"/>
    <n v="2024"/>
    <s v=" February "/>
    <x v="14"/>
    <x v="1"/>
    <s v="Mindanao"/>
    <n v="781.07"/>
  </r>
  <r>
    <n v="202403"/>
    <x v="50"/>
    <n v="2024"/>
    <s v=" March "/>
    <x v="14"/>
    <x v="1"/>
    <s v="Mindanao"/>
    <n v="847.48"/>
  </r>
  <r>
    <n v="202404"/>
    <x v="51"/>
    <n v="2024"/>
    <s v=" April "/>
    <x v="14"/>
    <x v="1"/>
    <s v="Mindanao"/>
    <n v="1933.03"/>
  </r>
  <r>
    <n v="202405"/>
    <x v="52"/>
    <n v="2024"/>
    <s v=" May "/>
    <x v="14"/>
    <x v="1"/>
    <s v="Mindanao"/>
    <n v="1124.01"/>
  </r>
  <r>
    <n v="202406"/>
    <x v="53"/>
    <n v="2024"/>
    <s v=" June "/>
    <x v="14"/>
    <x v="1"/>
    <s v="Mindanao"/>
    <n v="1116.67"/>
  </r>
  <r>
    <n v="202407"/>
    <x v="54"/>
    <n v="2024"/>
    <s v=" July "/>
    <x v="14"/>
    <x v="1"/>
    <s v="Mindanao"/>
    <n v="1693.84"/>
  </r>
  <r>
    <n v="202408"/>
    <x v="55"/>
    <n v="2024"/>
    <s v=" August "/>
    <x v="14"/>
    <x v="1"/>
    <s v="Mindanao"/>
    <n v="1183.49"/>
  </r>
  <r>
    <n v="202409"/>
    <x v="56"/>
    <n v="2024"/>
    <s v=" September "/>
    <x v="14"/>
    <x v="1"/>
    <s v="Mindanao"/>
    <n v="996.43"/>
  </r>
  <r>
    <n v="202410"/>
    <x v="57"/>
    <n v="2024"/>
    <s v=" October "/>
    <x v="14"/>
    <x v="1"/>
    <s v="Mindanao"/>
    <n v="1921.07"/>
  </r>
  <r>
    <n v="202411"/>
    <x v="58"/>
    <n v="2024"/>
    <s v=" November "/>
    <x v="14"/>
    <x v="1"/>
    <s v="Mindanao"/>
    <n v="1466.09"/>
  </r>
  <r>
    <n v="202412"/>
    <x v="59"/>
    <n v="2024"/>
    <s v=" December "/>
    <x v="14"/>
    <x v="1"/>
    <s v="Mindanao"/>
    <n v="1043.07"/>
  </r>
  <r>
    <n v="202401"/>
    <x v="48"/>
    <n v="2024"/>
    <s v=" January "/>
    <x v="14"/>
    <x v="1"/>
    <s v="Mindanao"/>
    <n v="2997.58"/>
  </r>
  <r>
    <n v="202402"/>
    <x v="49"/>
    <n v="2024"/>
    <s v=" February "/>
    <x v="14"/>
    <x v="1"/>
    <s v="Mindanao"/>
    <n v="1375.27"/>
  </r>
  <r>
    <n v="202403"/>
    <x v="50"/>
    <n v="2024"/>
    <s v=" March "/>
    <x v="14"/>
    <x v="1"/>
    <s v="Mindanao"/>
    <n v="1407.35"/>
  </r>
  <r>
    <n v="202404"/>
    <x v="51"/>
    <n v="2024"/>
    <s v=" April "/>
    <x v="14"/>
    <x v="1"/>
    <s v="Mindanao"/>
    <n v="3469.59"/>
  </r>
  <r>
    <n v="202405"/>
    <x v="52"/>
    <n v="2024"/>
    <s v=" May "/>
    <x v="14"/>
    <x v="1"/>
    <s v="Mindanao"/>
    <n v="2238.83"/>
  </r>
  <r>
    <n v="202406"/>
    <x v="53"/>
    <n v="2024"/>
    <s v=" June "/>
    <x v="14"/>
    <x v="1"/>
    <s v="Mindanao"/>
    <n v="1502.85"/>
  </r>
  <r>
    <n v="202407"/>
    <x v="54"/>
    <n v="2024"/>
    <s v=" July "/>
    <x v="14"/>
    <x v="1"/>
    <s v="Mindanao"/>
    <n v="3114.26"/>
  </r>
  <r>
    <n v="202408"/>
    <x v="55"/>
    <n v="2024"/>
    <s v=" August "/>
    <x v="14"/>
    <x v="1"/>
    <s v="Mindanao"/>
    <n v="2498.0500000000002"/>
  </r>
  <r>
    <n v="202409"/>
    <x v="56"/>
    <n v="2024"/>
    <s v=" September "/>
    <x v="14"/>
    <x v="1"/>
    <s v="Mindanao"/>
    <n v="1509.16"/>
  </r>
  <r>
    <n v="202410"/>
    <x v="57"/>
    <n v="2024"/>
    <s v=" October "/>
    <x v="14"/>
    <x v="1"/>
    <s v="Mindanao"/>
    <n v="3050.07"/>
  </r>
  <r>
    <n v="202411"/>
    <x v="58"/>
    <n v="2024"/>
    <s v=" November "/>
    <x v="14"/>
    <x v="1"/>
    <s v="Mindanao"/>
    <n v="2956.09"/>
  </r>
  <r>
    <n v="202412"/>
    <x v="59"/>
    <n v="2024"/>
    <s v=" December "/>
    <x v="14"/>
    <x v="1"/>
    <s v="Mindanao"/>
    <n v="1616.73"/>
  </r>
  <r>
    <n v="202401"/>
    <x v="48"/>
    <n v="2024"/>
    <s v=" January "/>
    <x v="15"/>
    <x v="1"/>
    <s v="Mindanao"/>
    <n v="248.74"/>
  </r>
  <r>
    <n v="202402"/>
    <x v="49"/>
    <n v="2024"/>
    <s v=" February "/>
    <x v="15"/>
    <x v="1"/>
    <s v="Mindanao"/>
    <n v="121.28"/>
  </r>
  <r>
    <n v="202403"/>
    <x v="50"/>
    <n v="2024"/>
    <s v=" March "/>
    <x v="15"/>
    <x v="1"/>
    <s v="Mindanao"/>
    <n v="153.53"/>
  </r>
  <r>
    <n v="202404"/>
    <x v="51"/>
    <n v="2024"/>
    <s v=" April "/>
    <x v="15"/>
    <x v="1"/>
    <s v="Mindanao"/>
    <n v="263.35000000000002"/>
  </r>
  <r>
    <n v="202405"/>
    <x v="52"/>
    <n v="2024"/>
    <s v=" May "/>
    <x v="15"/>
    <x v="1"/>
    <s v="Mindanao"/>
    <n v="175.66"/>
  </r>
  <r>
    <n v="202406"/>
    <x v="53"/>
    <n v="2024"/>
    <s v=" June "/>
    <x v="15"/>
    <x v="1"/>
    <s v="Mindanao"/>
    <n v="186.81"/>
  </r>
  <r>
    <n v="202407"/>
    <x v="54"/>
    <n v="2024"/>
    <s v=" July "/>
    <x v="15"/>
    <x v="1"/>
    <s v="Mindanao"/>
    <n v="263.25"/>
  </r>
  <r>
    <n v="202408"/>
    <x v="55"/>
    <n v="2024"/>
    <s v=" August "/>
    <x v="15"/>
    <x v="1"/>
    <s v="Mindanao"/>
    <n v="209.17"/>
  </r>
  <r>
    <n v="202409"/>
    <x v="56"/>
    <n v="2024"/>
    <s v=" September "/>
    <x v="15"/>
    <x v="1"/>
    <s v="Mindanao"/>
    <n v="197.55"/>
  </r>
  <r>
    <n v="202410"/>
    <x v="57"/>
    <n v="2024"/>
    <s v=" October "/>
    <x v="15"/>
    <x v="1"/>
    <s v="Mindanao"/>
    <n v="275.57"/>
  </r>
  <r>
    <n v="202411"/>
    <x v="58"/>
    <n v="2024"/>
    <s v=" November "/>
    <x v="15"/>
    <x v="1"/>
    <s v="Mindanao"/>
    <n v="197.66"/>
  </r>
  <r>
    <n v="202412"/>
    <x v="59"/>
    <n v="2024"/>
    <s v=" December "/>
    <x v="15"/>
    <x v="1"/>
    <s v="Mindanao"/>
    <n v="258.55"/>
  </r>
  <r>
    <n v="202401"/>
    <x v="48"/>
    <n v="2024"/>
    <s v=" January "/>
    <x v="15"/>
    <x v="1"/>
    <s v="Mindanao"/>
    <n v="919.91"/>
  </r>
  <r>
    <n v="202402"/>
    <x v="49"/>
    <n v="2024"/>
    <s v=" February "/>
    <x v="15"/>
    <x v="1"/>
    <s v="Mindanao"/>
    <n v="313.68"/>
  </r>
  <r>
    <n v="202403"/>
    <x v="50"/>
    <n v="2024"/>
    <s v=" March "/>
    <x v="15"/>
    <x v="1"/>
    <s v="Mindanao"/>
    <n v="270.10000000000002"/>
  </r>
  <r>
    <n v="202404"/>
    <x v="51"/>
    <n v="2024"/>
    <s v=" April "/>
    <x v="15"/>
    <x v="1"/>
    <s v="Mindanao"/>
    <n v="552.82000000000005"/>
  </r>
  <r>
    <n v="202405"/>
    <x v="52"/>
    <n v="2024"/>
    <s v=" May "/>
    <x v="15"/>
    <x v="1"/>
    <s v="Mindanao"/>
    <n v="359.46"/>
  </r>
  <r>
    <n v="202406"/>
    <x v="53"/>
    <n v="2024"/>
    <s v=" June "/>
    <x v="15"/>
    <x v="1"/>
    <s v="Mindanao"/>
    <n v="391.21"/>
  </r>
  <r>
    <n v="202407"/>
    <x v="54"/>
    <n v="2024"/>
    <s v=" July "/>
    <x v="15"/>
    <x v="1"/>
    <s v="Mindanao"/>
    <n v="641.63"/>
  </r>
  <r>
    <n v="202408"/>
    <x v="55"/>
    <n v="2024"/>
    <s v=" August "/>
    <x v="15"/>
    <x v="1"/>
    <s v="Mindanao"/>
    <n v="399.37"/>
  </r>
  <r>
    <n v="202409"/>
    <x v="56"/>
    <n v="2024"/>
    <s v=" September "/>
    <x v="15"/>
    <x v="1"/>
    <s v="Mindanao"/>
    <n v="302.45999999999998"/>
  </r>
  <r>
    <n v="202410"/>
    <x v="57"/>
    <n v="2024"/>
    <s v=" October "/>
    <x v="15"/>
    <x v="1"/>
    <s v="Mindanao"/>
    <n v="588.42999999999995"/>
  </r>
  <r>
    <n v="202411"/>
    <x v="58"/>
    <n v="2024"/>
    <s v=" November "/>
    <x v="15"/>
    <x v="1"/>
    <s v="Mindanao"/>
    <n v="411.08"/>
  </r>
  <r>
    <n v="202412"/>
    <x v="59"/>
    <n v="2024"/>
    <s v=" December "/>
    <x v="15"/>
    <x v="1"/>
    <s v="Mindanao"/>
    <n v="369.5"/>
  </r>
  <r>
    <n v="202401"/>
    <x v="48"/>
    <n v="2024"/>
    <s v=" January "/>
    <x v="15"/>
    <x v="1"/>
    <s v="Mindanao"/>
    <n v="337.2"/>
  </r>
  <r>
    <n v="202402"/>
    <x v="49"/>
    <n v="2024"/>
    <s v=" February "/>
    <x v="15"/>
    <x v="1"/>
    <s v="Mindanao"/>
    <n v="156.05000000000001"/>
  </r>
  <r>
    <n v="202403"/>
    <x v="50"/>
    <n v="2024"/>
    <s v=" March "/>
    <x v="15"/>
    <x v="1"/>
    <s v="Mindanao"/>
    <n v="207.56"/>
  </r>
  <r>
    <n v="202404"/>
    <x v="51"/>
    <n v="2024"/>
    <s v=" April "/>
    <x v="15"/>
    <x v="1"/>
    <s v="Mindanao"/>
    <n v="325.08999999999997"/>
  </r>
  <r>
    <n v="202405"/>
    <x v="52"/>
    <n v="2024"/>
    <s v=" May "/>
    <x v="15"/>
    <x v="1"/>
    <s v="Mindanao"/>
    <n v="261.14999999999998"/>
  </r>
  <r>
    <n v="202406"/>
    <x v="53"/>
    <n v="2024"/>
    <s v=" June "/>
    <x v="15"/>
    <x v="1"/>
    <s v="Mindanao"/>
    <n v="264.3"/>
  </r>
  <r>
    <n v="202407"/>
    <x v="54"/>
    <n v="2024"/>
    <s v=" July "/>
    <x v="15"/>
    <x v="1"/>
    <s v="Mindanao"/>
    <n v="340.43"/>
  </r>
  <r>
    <n v="202408"/>
    <x v="55"/>
    <n v="2024"/>
    <s v=" August "/>
    <x v="15"/>
    <x v="1"/>
    <s v="Mindanao"/>
    <n v="328.85"/>
  </r>
  <r>
    <n v="202409"/>
    <x v="56"/>
    <n v="2024"/>
    <s v=" September "/>
    <x v="15"/>
    <x v="1"/>
    <s v="Mindanao"/>
    <n v="325.5"/>
  </r>
  <r>
    <n v="202410"/>
    <x v="57"/>
    <n v="2024"/>
    <s v=" October "/>
    <x v="15"/>
    <x v="1"/>
    <s v="Mindanao"/>
    <n v="359.36"/>
  </r>
  <r>
    <n v="202411"/>
    <x v="58"/>
    <n v="2024"/>
    <s v=" November "/>
    <x v="15"/>
    <x v="1"/>
    <s v="Mindanao"/>
    <n v="350.46"/>
  </r>
  <r>
    <n v="202412"/>
    <x v="59"/>
    <n v="2024"/>
    <s v=" December "/>
    <x v="15"/>
    <x v="1"/>
    <s v="Mindanao"/>
    <n v="481.6"/>
  </r>
  <r>
    <n v="202401"/>
    <x v="48"/>
    <n v="2024"/>
    <s v=" January "/>
    <x v="15"/>
    <x v="1"/>
    <s v="Mindanao"/>
    <n v="138.08000000000001"/>
  </r>
  <r>
    <n v="202402"/>
    <x v="49"/>
    <n v="2024"/>
    <s v=" February "/>
    <x v="15"/>
    <x v="1"/>
    <s v="Mindanao"/>
    <n v="93.37"/>
  </r>
  <r>
    <n v="202403"/>
    <x v="50"/>
    <n v="2024"/>
    <s v=" March "/>
    <x v="15"/>
    <x v="1"/>
    <s v="Mindanao"/>
    <n v="102.97"/>
  </r>
  <r>
    <n v="202404"/>
    <x v="51"/>
    <n v="2024"/>
    <s v=" April "/>
    <x v="15"/>
    <x v="1"/>
    <s v="Mindanao"/>
    <n v="195.17"/>
  </r>
  <r>
    <n v="202405"/>
    <x v="52"/>
    <n v="2024"/>
    <s v=" May "/>
    <x v="15"/>
    <x v="1"/>
    <s v="Mindanao"/>
    <n v="107.76"/>
  </r>
  <r>
    <n v="202406"/>
    <x v="53"/>
    <n v="2024"/>
    <s v=" June "/>
    <x v="15"/>
    <x v="1"/>
    <s v="Mindanao"/>
    <n v="147.02000000000001"/>
  </r>
  <r>
    <n v="202407"/>
    <x v="54"/>
    <n v="2024"/>
    <s v=" July "/>
    <x v="15"/>
    <x v="1"/>
    <s v="Mindanao"/>
    <n v="177.14"/>
  </r>
  <r>
    <n v="202408"/>
    <x v="55"/>
    <n v="2024"/>
    <s v=" August "/>
    <x v="15"/>
    <x v="1"/>
    <s v="Mindanao"/>
    <n v="115.02"/>
  </r>
  <r>
    <n v="202409"/>
    <x v="56"/>
    <n v="2024"/>
    <s v=" September "/>
    <x v="15"/>
    <x v="1"/>
    <s v="Mindanao"/>
    <n v="106.39"/>
  </r>
  <r>
    <n v="202410"/>
    <x v="57"/>
    <n v="2024"/>
    <s v=" October "/>
    <x v="15"/>
    <x v="1"/>
    <s v="Mindanao"/>
    <n v="216.61"/>
  </r>
  <r>
    <n v="202411"/>
    <x v="58"/>
    <n v="2024"/>
    <s v=" November "/>
    <x v="15"/>
    <x v="1"/>
    <s v="Mindanao"/>
    <n v="178.96"/>
  </r>
  <r>
    <n v="202412"/>
    <x v="59"/>
    <n v="2024"/>
    <s v=" December "/>
    <x v="15"/>
    <x v="1"/>
    <s v="Mindanao"/>
    <n v="188.71"/>
  </r>
  <r>
    <n v="202401"/>
    <x v="48"/>
    <n v="2024"/>
    <s v=" January "/>
    <x v="16"/>
    <x v="1"/>
    <s v="Mindanao"/>
    <n v="447.16"/>
  </r>
  <r>
    <n v="202402"/>
    <x v="49"/>
    <n v="2024"/>
    <s v=" February "/>
    <x v="16"/>
    <x v="1"/>
    <s v="Mindanao"/>
    <n v="211.41"/>
  </r>
  <r>
    <n v="202403"/>
    <x v="50"/>
    <n v="2024"/>
    <s v=" March "/>
    <x v="16"/>
    <x v="1"/>
    <s v="Mindanao"/>
    <n v="268.86"/>
  </r>
  <r>
    <n v="202404"/>
    <x v="51"/>
    <n v="2024"/>
    <s v=" April "/>
    <x v="16"/>
    <x v="1"/>
    <s v="Mindanao"/>
    <n v="446.13"/>
  </r>
  <r>
    <n v="202405"/>
    <x v="52"/>
    <n v="2024"/>
    <s v=" May "/>
    <x v="16"/>
    <x v="1"/>
    <s v="Mindanao"/>
    <n v="425.1"/>
  </r>
  <r>
    <n v="202406"/>
    <x v="53"/>
    <n v="2024"/>
    <s v=" June "/>
    <x v="16"/>
    <x v="1"/>
    <s v="Mindanao"/>
    <n v="382.73"/>
  </r>
  <r>
    <n v="202407"/>
    <x v="54"/>
    <n v="2024"/>
    <s v=" July "/>
    <x v="16"/>
    <x v="1"/>
    <s v="Mindanao"/>
    <n v="432.4"/>
  </r>
  <r>
    <n v="202408"/>
    <x v="55"/>
    <n v="2024"/>
    <s v=" August "/>
    <x v="16"/>
    <x v="1"/>
    <s v="Mindanao"/>
    <n v="380.37"/>
  </r>
  <r>
    <n v="202409"/>
    <x v="56"/>
    <n v="2024"/>
    <s v=" September "/>
    <x v="16"/>
    <x v="1"/>
    <s v="Mindanao"/>
    <n v="367.02"/>
  </r>
  <r>
    <n v="202410"/>
    <x v="57"/>
    <n v="2024"/>
    <s v=" October "/>
    <x v="16"/>
    <x v="1"/>
    <s v="Mindanao"/>
    <n v="539.99"/>
  </r>
  <r>
    <n v="202411"/>
    <x v="58"/>
    <n v="2024"/>
    <s v=" November "/>
    <x v="16"/>
    <x v="1"/>
    <s v="Mindanao"/>
    <n v="517.54"/>
  </r>
  <r>
    <n v="202412"/>
    <x v="59"/>
    <n v="2024"/>
    <s v=" December "/>
    <x v="16"/>
    <x v="1"/>
    <s v="Mindanao"/>
    <n v="491.7"/>
  </r>
  <r>
    <n v="202401"/>
    <x v="48"/>
    <n v="2024"/>
    <s v=" January "/>
    <x v="16"/>
    <x v="1"/>
    <s v="Mindanao"/>
    <n v="152.51"/>
  </r>
  <r>
    <n v="202402"/>
    <x v="49"/>
    <n v="2024"/>
    <s v=" February "/>
    <x v="16"/>
    <x v="1"/>
    <s v="Mindanao"/>
    <n v="109.25"/>
  </r>
  <r>
    <n v="202403"/>
    <x v="50"/>
    <n v="2024"/>
    <s v=" March "/>
    <x v="16"/>
    <x v="1"/>
    <s v="Mindanao"/>
    <n v="106.61"/>
  </r>
  <r>
    <n v="202404"/>
    <x v="51"/>
    <n v="2024"/>
    <s v=" April "/>
    <x v="16"/>
    <x v="1"/>
    <s v="Mindanao"/>
    <n v="153.33000000000001"/>
  </r>
  <r>
    <n v="202405"/>
    <x v="52"/>
    <n v="2024"/>
    <s v=" May "/>
    <x v="16"/>
    <x v="1"/>
    <s v="Mindanao"/>
    <n v="129.87"/>
  </r>
  <r>
    <n v="202406"/>
    <x v="53"/>
    <n v="2024"/>
    <s v=" June "/>
    <x v="16"/>
    <x v="1"/>
    <s v="Mindanao"/>
    <n v="129.54"/>
  </r>
  <r>
    <n v="202407"/>
    <x v="54"/>
    <n v="2024"/>
    <s v=" July "/>
    <x v="16"/>
    <x v="1"/>
    <s v="Mindanao"/>
    <n v="159.74"/>
  </r>
  <r>
    <n v="202408"/>
    <x v="55"/>
    <n v="2024"/>
    <s v=" August "/>
    <x v="16"/>
    <x v="1"/>
    <s v="Mindanao"/>
    <n v="140.4"/>
  </r>
  <r>
    <n v="202409"/>
    <x v="56"/>
    <n v="2024"/>
    <s v=" September "/>
    <x v="16"/>
    <x v="1"/>
    <s v="Mindanao"/>
    <n v="149.56"/>
  </r>
  <r>
    <n v="202410"/>
    <x v="57"/>
    <n v="2024"/>
    <s v=" October "/>
    <x v="16"/>
    <x v="1"/>
    <s v="Mindanao"/>
    <n v="183.5"/>
  </r>
  <r>
    <n v="202411"/>
    <x v="58"/>
    <n v="2024"/>
    <s v=" November "/>
    <x v="16"/>
    <x v="1"/>
    <s v="Mindanao"/>
    <n v="154.13"/>
  </r>
  <r>
    <n v="202412"/>
    <x v="59"/>
    <n v="2024"/>
    <s v=" December "/>
    <x v="16"/>
    <x v="1"/>
    <s v="Mindanao"/>
    <n v="127.23"/>
  </r>
  <r>
    <n v="202401"/>
    <x v="48"/>
    <n v="2024"/>
    <s v=" January "/>
    <x v="16"/>
    <x v="1"/>
    <s v="Mindanao"/>
    <n v="250.13"/>
  </r>
  <r>
    <n v="202402"/>
    <x v="49"/>
    <n v="2024"/>
    <s v=" February "/>
    <x v="16"/>
    <x v="1"/>
    <s v="Mindanao"/>
    <n v="123.6"/>
  </r>
  <r>
    <n v="202403"/>
    <x v="50"/>
    <n v="2024"/>
    <s v=" March "/>
    <x v="16"/>
    <x v="1"/>
    <s v="Mindanao"/>
    <n v="138.44"/>
  </r>
  <r>
    <n v="202404"/>
    <x v="51"/>
    <n v="2024"/>
    <s v=" April "/>
    <x v="16"/>
    <x v="1"/>
    <s v="Mindanao"/>
    <n v="287.58999999999997"/>
  </r>
  <r>
    <n v="202405"/>
    <x v="52"/>
    <n v="2024"/>
    <s v=" May "/>
    <x v="16"/>
    <x v="1"/>
    <s v="Mindanao"/>
    <n v="171.64"/>
  </r>
  <r>
    <n v="202406"/>
    <x v="53"/>
    <n v="2024"/>
    <s v=" June "/>
    <x v="16"/>
    <x v="1"/>
    <s v="Mindanao"/>
    <n v="190.03"/>
  </r>
  <r>
    <n v="202407"/>
    <x v="54"/>
    <n v="2024"/>
    <s v=" July "/>
    <x v="16"/>
    <x v="1"/>
    <s v="Mindanao"/>
    <n v="239.2"/>
  </r>
  <r>
    <n v="202408"/>
    <x v="55"/>
    <n v="2024"/>
    <s v=" August "/>
    <x v="16"/>
    <x v="1"/>
    <s v="Mindanao"/>
    <n v="218.77"/>
  </r>
  <r>
    <n v="202409"/>
    <x v="56"/>
    <n v="2024"/>
    <s v=" September "/>
    <x v="16"/>
    <x v="1"/>
    <s v="Mindanao"/>
    <n v="192.83"/>
  </r>
  <r>
    <n v="202410"/>
    <x v="57"/>
    <n v="2024"/>
    <s v=" October "/>
    <x v="16"/>
    <x v="1"/>
    <s v="Mindanao"/>
    <n v="275.33"/>
  </r>
  <r>
    <n v="202411"/>
    <x v="58"/>
    <n v="2024"/>
    <s v=" November "/>
    <x v="16"/>
    <x v="1"/>
    <s v="Mindanao"/>
    <n v="196.47"/>
  </r>
  <r>
    <n v="202412"/>
    <x v="59"/>
    <n v="2024"/>
    <s v=" December "/>
    <x v="16"/>
    <x v="1"/>
    <s v="Mindanao"/>
    <n v="244.4"/>
  </r>
  <r>
    <n v="202401"/>
    <x v="48"/>
    <n v="2024"/>
    <s v=" January "/>
    <x v="16"/>
    <x v="1"/>
    <s v="Mindanao"/>
    <n v="186.54"/>
  </r>
  <r>
    <n v="202402"/>
    <x v="49"/>
    <n v="2024"/>
    <s v=" February "/>
    <x v="16"/>
    <x v="1"/>
    <s v="Mindanao"/>
    <n v="86.31"/>
  </r>
  <r>
    <n v="202403"/>
    <x v="50"/>
    <n v="2024"/>
    <s v=" March "/>
    <x v="16"/>
    <x v="1"/>
    <s v="Mindanao"/>
    <n v="95.69"/>
  </r>
  <r>
    <n v="202404"/>
    <x v="51"/>
    <n v="2024"/>
    <s v=" April "/>
    <x v="16"/>
    <x v="1"/>
    <s v="Mindanao"/>
    <n v="173.39"/>
  </r>
  <r>
    <n v="202405"/>
    <x v="52"/>
    <n v="2024"/>
    <s v=" May "/>
    <x v="16"/>
    <x v="1"/>
    <s v="Mindanao"/>
    <n v="128.41999999999999"/>
  </r>
  <r>
    <n v="202406"/>
    <x v="53"/>
    <n v="2024"/>
    <s v=" June "/>
    <x v="16"/>
    <x v="1"/>
    <s v="Mindanao"/>
    <n v="170.22"/>
  </r>
  <r>
    <n v="202407"/>
    <x v="54"/>
    <n v="2024"/>
    <s v=" July "/>
    <x v="16"/>
    <x v="1"/>
    <s v="Mindanao"/>
    <n v="210.23"/>
  </r>
  <r>
    <n v="202408"/>
    <x v="55"/>
    <n v="2024"/>
    <s v=" August "/>
    <x v="16"/>
    <x v="1"/>
    <s v="Mindanao"/>
    <n v="147.15"/>
  </r>
  <r>
    <n v="202409"/>
    <x v="56"/>
    <n v="2024"/>
    <s v=" September "/>
    <x v="16"/>
    <x v="1"/>
    <s v="Mindanao"/>
    <n v="181.15"/>
  </r>
  <r>
    <n v="202410"/>
    <x v="57"/>
    <n v="2024"/>
    <s v=" October "/>
    <x v="16"/>
    <x v="1"/>
    <s v="Mindanao"/>
    <n v="205.87"/>
  </r>
  <r>
    <n v="202411"/>
    <x v="58"/>
    <n v="2024"/>
    <s v=" November "/>
    <x v="16"/>
    <x v="1"/>
    <s v="Mindanao"/>
    <n v="170.56"/>
  </r>
  <r>
    <n v="202412"/>
    <x v="59"/>
    <n v="2024"/>
    <s v=" December "/>
    <x v="16"/>
    <x v="1"/>
    <s v="Mindanao"/>
    <n v="130.02000000000001"/>
  </r>
  <r>
    <n v="202401"/>
    <x v="48"/>
    <n v="2024"/>
    <s v=" January "/>
    <x v="17"/>
    <x v="1"/>
    <s v="Mindanao"/>
    <n v="56.35"/>
  </r>
  <r>
    <n v="202402"/>
    <x v="49"/>
    <n v="2024"/>
    <s v=" February "/>
    <x v="17"/>
    <x v="1"/>
    <s v="Mindanao"/>
    <n v="24.75"/>
  </r>
  <r>
    <n v="202403"/>
    <x v="50"/>
    <n v="2024"/>
    <s v=" March "/>
    <x v="17"/>
    <x v="1"/>
    <s v="Mindanao"/>
    <n v="25.9"/>
  </r>
  <r>
    <n v="202404"/>
    <x v="51"/>
    <n v="2024"/>
    <s v=" April "/>
    <x v="17"/>
    <x v="1"/>
    <s v="Mindanao"/>
    <n v="35.5"/>
  </r>
  <r>
    <n v="202405"/>
    <x v="52"/>
    <n v="2024"/>
    <s v=" May "/>
    <x v="17"/>
    <x v="1"/>
    <s v="Mindanao"/>
    <n v="25.53"/>
  </r>
  <r>
    <n v="202406"/>
    <x v="53"/>
    <n v="2024"/>
    <s v=" June "/>
    <x v="17"/>
    <x v="1"/>
    <s v="Mindanao"/>
    <n v="34.15"/>
  </r>
  <r>
    <n v="202407"/>
    <x v="54"/>
    <n v="2024"/>
    <s v=" July "/>
    <x v="17"/>
    <x v="1"/>
    <s v="Mindanao"/>
    <n v="39.28"/>
  </r>
  <r>
    <n v="202408"/>
    <x v="55"/>
    <n v="2024"/>
    <s v=" August "/>
    <x v="17"/>
    <x v="1"/>
    <s v="Mindanao"/>
    <n v="30.73"/>
  </r>
  <r>
    <n v="202409"/>
    <x v="56"/>
    <n v="2024"/>
    <s v=" September "/>
    <x v="17"/>
    <x v="1"/>
    <s v="Mindanao"/>
    <n v="43.38"/>
  </r>
  <r>
    <n v="202410"/>
    <x v="57"/>
    <n v="2024"/>
    <s v=" October "/>
    <x v="17"/>
    <x v="1"/>
    <s v="Mindanao"/>
    <n v="55.14"/>
  </r>
  <r>
    <n v="202411"/>
    <x v="58"/>
    <n v="2024"/>
    <s v=" November "/>
    <x v="17"/>
    <x v="1"/>
    <s v="Mindanao"/>
    <n v="38.4"/>
  </r>
  <r>
    <n v="202412"/>
    <x v="59"/>
    <n v="2024"/>
    <s v=" December "/>
    <x v="17"/>
    <x v="1"/>
    <s v="Mindanao"/>
    <n v="51.93"/>
  </r>
  <r>
    <n v="202401"/>
    <x v="48"/>
    <n v="2024"/>
    <s v=" January "/>
    <x v="17"/>
    <x v="1"/>
    <s v="Mindanao"/>
    <n v="95.15"/>
  </r>
  <r>
    <n v="202402"/>
    <x v="49"/>
    <n v="2024"/>
    <s v=" February "/>
    <x v="17"/>
    <x v="1"/>
    <s v="Mindanao"/>
    <n v="69.81"/>
  </r>
  <r>
    <n v="202403"/>
    <x v="50"/>
    <n v="2024"/>
    <s v=" March "/>
    <x v="17"/>
    <x v="1"/>
    <s v="Mindanao"/>
    <n v="65.75"/>
  </r>
  <r>
    <n v="202404"/>
    <x v="51"/>
    <n v="2024"/>
    <s v=" April "/>
    <x v="17"/>
    <x v="1"/>
    <s v="Mindanao"/>
    <n v="109.1"/>
  </r>
  <r>
    <n v="202405"/>
    <x v="52"/>
    <n v="2024"/>
    <s v=" May "/>
    <x v="17"/>
    <x v="1"/>
    <s v="Mindanao"/>
    <n v="69.22"/>
  </r>
  <r>
    <n v="202406"/>
    <x v="53"/>
    <n v="2024"/>
    <s v=" June "/>
    <x v="17"/>
    <x v="1"/>
    <s v="Mindanao"/>
    <n v="77.709999999999994"/>
  </r>
  <r>
    <n v="202407"/>
    <x v="54"/>
    <n v="2024"/>
    <s v=" July "/>
    <x v="17"/>
    <x v="1"/>
    <s v="Mindanao"/>
    <n v="84.68"/>
  </r>
  <r>
    <n v="202408"/>
    <x v="55"/>
    <n v="2024"/>
    <s v=" August "/>
    <x v="17"/>
    <x v="1"/>
    <s v="Mindanao"/>
    <n v="74.400000000000006"/>
  </r>
  <r>
    <n v="202409"/>
    <x v="56"/>
    <n v="2024"/>
    <s v=" September "/>
    <x v="17"/>
    <x v="1"/>
    <s v="Mindanao"/>
    <n v="71.89"/>
  </r>
  <r>
    <n v="202410"/>
    <x v="57"/>
    <n v="2024"/>
    <s v=" October "/>
    <x v="17"/>
    <x v="1"/>
    <s v="Mindanao"/>
    <n v="90.05"/>
  </r>
  <r>
    <n v="202411"/>
    <x v="58"/>
    <n v="2024"/>
    <s v=" November "/>
    <x v="17"/>
    <x v="1"/>
    <s v="Mindanao"/>
    <n v="96.77"/>
  </r>
  <r>
    <n v="202412"/>
    <x v="59"/>
    <n v="2024"/>
    <s v=" December "/>
    <x v="17"/>
    <x v="1"/>
    <s v="Mindanao"/>
    <n v="86.33"/>
  </r>
  <r>
    <n v="202401"/>
    <x v="48"/>
    <n v="2024"/>
    <s v=" January "/>
    <x v="17"/>
    <x v="1"/>
    <s v="Mindanao"/>
    <n v="325.61"/>
  </r>
  <r>
    <n v="202402"/>
    <x v="49"/>
    <n v="2024"/>
    <s v=" February "/>
    <x v="17"/>
    <x v="1"/>
    <s v="Mindanao"/>
    <n v="209.32"/>
  </r>
  <r>
    <n v="202403"/>
    <x v="50"/>
    <n v="2024"/>
    <s v=" March "/>
    <x v="17"/>
    <x v="1"/>
    <s v="Mindanao"/>
    <n v="224.65"/>
  </r>
  <r>
    <n v="202404"/>
    <x v="51"/>
    <n v="2024"/>
    <s v=" April "/>
    <x v="17"/>
    <x v="1"/>
    <s v="Mindanao"/>
    <n v="233.92"/>
  </r>
  <r>
    <n v="202405"/>
    <x v="52"/>
    <n v="2024"/>
    <s v=" May "/>
    <x v="17"/>
    <x v="1"/>
    <s v="Mindanao"/>
    <n v="259.82"/>
  </r>
  <r>
    <n v="202406"/>
    <x v="53"/>
    <n v="2024"/>
    <s v=" June "/>
    <x v="17"/>
    <x v="1"/>
    <s v="Mindanao"/>
    <n v="234.39"/>
  </r>
  <r>
    <n v="202407"/>
    <x v="54"/>
    <n v="2024"/>
    <s v=" July "/>
    <x v="17"/>
    <x v="1"/>
    <s v="Mindanao"/>
    <n v="297.06"/>
  </r>
  <r>
    <n v="202408"/>
    <x v="55"/>
    <n v="2024"/>
    <s v=" August "/>
    <x v="17"/>
    <x v="1"/>
    <s v="Mindanao"/>
    <n v="195.45"/>
  </r>
  <r>
    <n v="202409"/>
    <x v="56"/>
    <n v="2024"/>
    <s v=" September "/>
    <x v="17"/>
    <x v="1"/>
    <s v="Mindanao"/>
    <n v="255.1"/>
  </r>
  <r>
    <n v="202410"/>
    <x v="57"/>
    <n v="2024"/>
    <s v=" October "/>
    <x v="17"/>
    <x v="1"/>
    <s v="Mindanao"/>
    <n v="335.19"/>
  </r>
  <r>
    <n v="202411"/>
    <x v="58"/>
    <n v="2024"/>
    <s v=" November "/>
    <x v="17"/>
    <x v="1"/>
    <s v="Mindanao"/>
    <n v="352.94"/>
  </r>
  <r>
    <n v="202412"/>
    <x v="59"/>
    <n v="2024"/>
    <s v=" December "/>
    <x v="17"/>
    <x v="1"/>
    <s v="Mindanao"/>
    <n v="418.53"/>
  </r>
  <r>
    <n v="202401"/>
    <x v="48"/>
    <n v="2024"/>
    <s v=" January "/>
    <x v="17"/>
    <x v="1"/>
    <s v="Mindanao"/>
    <n v="24.32"/>
  </r>
  <r>
    <n v="202402"/>
    <x v="49"/>
    <n v="2024"/>
    <s v=" February "/>
    <x v="17"/>
    <x v="1"/>
    <s v="Mindanao"/>
    <n v="17.149999999999999"/>
  </r>
  <r>
    <n v="202403"/>
    <x v="50"/>
    <n v="2024"/>
    <s v=" March "/>
    <x v="17"/>
    <x v="1"/>
    <s v="Mindanao"/>
    <n v="16.510000000000002"/>
  </r>
  <r>
    <n v="202404"/>
    <x v="51"/>
    <n v="2024"/>
    <s v=" April "/>
    <x v="17"/>
    <x v="1"/>
    <s v="Mindanao"/>
    <n v="39.96"/>
  </r>
  <r>
    <n v="202405"/>
    <x v="52"/>
    <n v="2024"/>
    <s v=" May "/>
    <x v="17"/>
    <x v="1"/>
    <s v="Mindanao"/>
    <n v="30.86"/>
  </r>
  <r>
    <n v="202406"/>
    <x v="53"/>
    <n v="2024"/>
    <s v=" June "/>
    <x v="17"/>
    <x v="1"/>
    <s v="Mindanao"/>
    <n v="23.72"/>
  </r>
  <r>
    <n v="202407"/>
    <x v="54"/>
    <n v="2024"/>
    <s v=" July "/>
    <x v="17"/>
    <x v="1"/>
    <s v="Mindanao"/>
    <n v="30.34"/>
  </r>
  <r>
    <n v="202408"/>
    <x v="55"/>
    <n v="2024"/>
    <s v=" August "/>
    <x v="17"/>
    <x v="1"/>
    <s v="Mindanao"/>
    <n v="41.92"/>
  </r>
  <r>
    <n v="202409"/>
    <x v="56"/>
    <n v="2024"/>
    <s v=" September "/>
    <x v="17"/>
    <x v="1"/>
    <s v="Mindanao"/>
    <n v="30.42"/>
  </r>
  <r>
    <n v="202410"/>
    <x v="57"/>
    <n v="2024"/>
    <s v=" October "/>
    <x v="17"/>
    <x v="1"/>
    <s v="Mindanao"/>
    <n v="44.73"/>
  </r>
  <r>
    <n v="202411"/>
    <x v="58"/>
    <n v="2024"/>
    <s v=" November "/>
    <x v="17"/>
    <x v="1"/>
    <s v="Mindanao"/>
    <n v="32.43"/>
  </r>
  <r>
    <n v="202412"/>
    <x v="59"/>
    <n v="2024"/>
    <s v=" December "/>
    <x v="17"/>
    <x v="1"/>
    <s v="Mindanao"/>
    <n v="42.01"/>
  </r>
  <r>
    <n v="202401"/>
    <x v="48"/>
    <n v="2024"/>
    <s v=" January "/>
    <x v="17"/>
    <x v="1"/>
    <s v="Mindanao"/>
    <n v="20.309999999999999"/>
  </r>
  <r>
    <n v="202402"/>
    <x v="49"/>
    <n v="2024"/>
    <s v=" February "/>
    <x v="17"/>
    <x v="1"/>
    <s v="Mindanao"/>
    <n v="15.7"/>
  </r>
  <r>
    <n v="202403"/>
    <x v="50"/>
    <n v="2024"/>
    <s v=" March "/>
    <x v="17"/>
    <x v="1"/>
    <s v="Mindanao"/>
    <n v="19.43"/>
  </r>
  <r>
    <n v="202404"/>
    <x v="51"/>
    <n v="2024"/>
    <s v=" April "/>
    <x v="17"/>
    <x v="1"/>
    <s v="Mindanao"/>
    <n v="27.36"/>
  </r>
  <r>
    <n v="202405"/>
    <x v="52"/>
    <n v="2024"/>
    <s v=" May "/>
    <x v="17"/>
    <x v="1"/>
    <s v="Mindanao"/>
    <n v="28.8"/>
  </r>
  <r>
    <n v="202406"/>
    <x v="53"/>
    <n v="2024"/>
    <s v=" June "/>
    <x v="17"/>
    <x v="1"/>
    <s v="Mindanao"/>
    <n v="15.44"/>
  </r>
  <r>
    <n v="202407"/>
    <x v="54"/>
    <n v="2024"/>
    <s v=" July "/>
    <x v="17"/>
    <x v="1"/>
    <s v="Mindanao"/>
    <n v="32.39"/>
  </r>
  <r>
    <n v="202408"/>
    <x v="55"/>
    <n v="2024"/>
    <s v=" August "/>
    <x v="17"/>
    <x v="1"/>
    <s v="Mindanao"/>
    <n v="30.34"/>
  </r>
  <r>
    <n v="202409"/>
    <x v="56"/>
    <n v="2024"/>
    <s v=" September "/>
    <x v="17"/>
    <x v="1"/>
    <s v="Mindanao"/>
    <n v="22.92"/>
  </r>
  <r>
    <n v="202410"/>
    <x v="57"/>
    <n v="2024"/>
    <s v=" October "/>
    <x v="17"/>
    <x v="1"/>
    <s v="Mindanao"/>
    <n v="27.68"/>
  </r>
  <r>
    <n v="202411"/>
    <x v="58"/>
    <n v="2024"/>
    <s v=" November "/>
    <x v="17"/>
    <x v="1"/>
    <s v="Mindanao"/>
    <n v="16.98"/>
  </r>
  <r>
    <n v="202412"/>
    <x v="59"/>
    <n v="2024"/>
    <s v=" December "/>
    <x v="17"/>
    <x v="1"/>
    <s v="Mindanao"/>
    <n v="33.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6D399-0064-4004-BB9C-9F1C4132C484}" name="monthly_trend"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B2:C68" firstHeaderRow="1" firstDataRow="1"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19">
        <item x="17"/>
        <item x="1"/>
        <item x="0"/>
        <item x="9"/>
        <item x="2"/>
        <item x="3"/>
        <item x="4"/>
        <item x="5"/>
        <item x="6"/>
        <item x="7"/>
        <item x="8"/>
        <item x="10"/>
        <item x="11"/>
        <item x="12"/>
        <item x="13"/>
        <item x="14"/>
        <item x="15"/>
        <item x="16"/>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8">
        <item x="0"/>
        <item x="1"/>
        <item x="2"/>
        <item x="3"/>
        <item x="4"/>
        <item x="5"/>
        <item x="6"/>
        <item t="default"/>
      </items>
    </pivotField>
  </pivotFields>
  <rowFields count="2">
    <field x="9"/>
    <field x="8"/>
  </rowFields>
  <rowItems count="6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t="grand">
      <x/>
    </i>
  </rowItems>
  <colItems count="1">
    <i/>
  </colItems>
  <dataFields count="1">
    <dataField name="Total Tax Collected" fld="7" baseField="9" baseItem="5" numFmtId="164"/>
  </dataFields>
  <formats count="4">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 dxfId="9">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D49D3-B810-4B4F-A26C-AAE567679136}" name="heatmap_abs" cacheId="12" applyNumberFormats="0" applyBorderFormats="0" applyFontFormats="0" applyPatternFormats="0" applyAlignmentFormats="0" applyWidthHeightFormats="1" dataCaption="Values" grandTotalCaption="Total" updatedVersion="8" minRefreshableVersion="3" useAutoFormatting="1" colGrandTotals="0" itemPrintTitles="1" createdVersion="8" indent="0" outline="1" outlineData="1" multipleFieldFilters="0" rowHeaderCaption="Month" colHeaderCaption="Regions">
  <location ref="N2:AF16" firstHeaderRow="1" firstDataRow="2"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axis="axisCol" showAll="0">
      <items count="19">
        <item x="17"/>
        <item x="1"/>
        <item x="0"/>
        <item x="9"/>
        <item x="2"/>
        <item x="3"/>
        <item x="4"/>
        <item x="5"/>
        <item x="6"/>
        <item x="7"/>
        <item x="8"/>
        <item x="10"/>
        <item x="11"/>
        <item x="12"/>
        <item x="13"/>
        <item x="14"/>
        <item x="15"/>
        <item x="16"/>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8"/>
  </rowFields>
  <rowItems count="13">
    <i>
      <x v="1"/>
    </i>
    <i>
      <x v="2"/>
    </i>
    <i>
      <x v="3"/>
    </i>
    <i>
      <x v="4"/>
    </i>
    <i>
      <x v="5"/>
    </i>
    <i>
      <x v="6"/>
    </i>
    <i>
      <x v="7"/>
    </i>
    <i>
      <x v="8"/>
    </i>
    <i>
      <x v="9"/>
    </i>
    <i>
      <x v="10"/>
    </i>
    <i>
      <x v="11"/>
    </i>
    <i>
      <x v="12"/>
    </i>
    <i t="grand">
      <x/>
    </i>
  </rowItems>
  <colFields count="1">
    <field x="4"/>
  </colFields>
  <colItems count="18">
    <i>
      <x/>
    </i>
    <i>
      <x v="1"/>
    </i>
    <i>
      <x v="2"/>
    </i>
    <i>
      <x v="3"/>
    </i>
    <i>
      <x v="4"/>
    </i>
    <i>
      <x v="5"/>
    </i>
    <i>
      <x v="6"/>
    </i>
    <i>
      <x v="7"/>
    </i>
    <i>
      <x v="8"/>
    </i>
    <i>
      <x v="9"/>
    </i>
    <i>
      <x v="10"/>
    </i>
    <i>
      <x v="11"/>
    </i>
    <i>
      <x v="12"/>
    </i>
    <i>
      <x v="13"/>
    </i>
    <i>
      <x v="14"/>
    </i>
    <i>
      <x v="15"/>
    </i>
    <i>
      <x v="16"/>
    </i>
    <i>
      <x v="17"/>
    </i>
  </colItems>
  <dataFields count="1">
    <dataField name="Contribution" fld="7" baseField="7" baseItem="5" numFmtId="164"/>
  </dataFields>
  <formats count="4">
    <format dxfId="16">
      <pivotArea dataOnly="0" labelOnly="1" outline="0" axis="axisValues" fieldPosition="0"/>
    </format>
    <format dxfId="15">
      <pivotArea dataOnly="0" labelOnly="1" outline="0" axis="axisValues" fieldPosition="0"/>
    </format>
    <format dxfId="14">
      <pivotArea dataOnly="0" labelOnly="1" outline="0" axis="axisValues"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1E05D-FFE8-49BB-82EE-A98115E0AD4D}" name="yoy_growth"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location ref="K2:L8" firstHeaderRow="1" firstDataRow="1"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19">
        <item x="17"/>
        <item x="1"/>
        <item x="0"/>
        <item x="9"/>
        <item x="2"/>
        <item x="3"/>
        <item x="4"/>
        <item x="5"/>
        <item x="6"/>
        <item x="7"/>
        <item x="8"/>
        <item x="10"/>
        <item x="11"/>
        <item x="12"/>
        <item x="13"/>
        <item x="14"/>
        <item x="15"/>
        <item x="16"/>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sd="0" x="0"/>
        <item sd="0" x="1"/>
        <item sd="0" x="2"/>
        <item sd="0" x="3"/>
        <item sd="0" x="4"/>
        <item sd="0" x="5"/>
        <item sd="0" x="6"/>
        <item t="default"/>
      </items>
    </pivotField>
  </pivotFields>
  <rowFields count="1">
    <field x="9"/>
  </rowFields>
  <rowItems count="6">
    <i>
      <x v="1"/>
    </i>
    <i>
      <x v="2"/>
    </i>
    <i>
      <x v="3"/>
    </i>
    <i>
      <x v="4"/>
    </i>
    <i>
      <x v="5"/>
    </i>
    <i t="grand">
      <x/>
    </i>
  </rowItems>
  <colItems count="1">
    <i/>
  </colItems>
  <dataFields count="1">
    <dataField name="YoY Growth" fld="7" showDataAs="percentDiff" baseField="9" baseItem="1048828" numFmtId="10"/>
  </dataFields>
  <formats count="4">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617F7-20C7-4C2F-A23C-C4B289C06604}" name="region_tax"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F21" firstHeaderRow="1" firstDataRow="1"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axis="axisRow" showAll="0" sortType="descending">
      <items count="19">
        <item x="17"/>
        <item x="1"/>
        <item x="0"/>
        <item x="9"/>
        <item x="2"/>
        <item x="3"/>
        <item x="4"/>
        <item x="5"/>
        <item x="6"/>
        <item x="7"/>
        <item x="8"/>
        <item x="10"/>
        <item x="11"/>
        <item x="12"/>
        <item x="13"/>
        <item x="14"/>
        <item x="15"/>
        <item x="1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4"/>
  </rowFields>
  <rowItems count="19">
    <i>
      <x v="2"/>
    </i>
    <i>
      <x v="7"/>
    </i>
    <i>
      <x v="11"/>
    </i>
    <i>
      <x v="6"/>
    </i>
    <i>
      <x v="15"/>
    </i>
    <i>
      <x v="4"/>
    </i>
    <i>
      <x v="14"/>
    </i>
    <i>
      <x v="9"/>
    </i>
    <i>
      <x v="10"/>
    </i>
    <i>
      <x v="3"/>
    </i>
    <i>
      <x v="5"/>
    </i>
    <i>
      <x v="12"/>
    </i>
    <i>
      <x v="16"/>
    </i>
    <i>
      <x v="1"/>
    </i>
    <i>
      <x v="8"/>
    </i>
    <i>
      <x v="17"/>
    </i>
    <i>
      <x v="13"/>
    </i>
    <i>
      <x/>
    </i>
    <i t="grand">
      <x/>
    </i>
  </rowItems>
  <colItems count="1">
    <i/>
  </colItems>
  <dataFields count="1">
    <dataField name="Total Tax Collected" fld="7" baseField="3" baseItem="0" numFmtId="164"/>
  </dataFields>
  <formats count="6">
    <format dxfId="26">
      <pivotArea field="4" type="button" dataOnly="0" labelOnly="1" outline="0" axis="axisRow" fieldPosition="0"/>
    </format>
    <format dxfId="25">
      <pivotArea dataOnly="0" labelOnly="1" outline="0" axis="axisValues" fieldPosition="0"/>
    </format>
    <format dxfId="24">
      <pivotArea field="4" type="button" dataOnly="0" labelOnly="1" outline="0" axis="axisRow" fieldPosition="0"/>
    </format>
    <format dxfId="23">
      <pivotArea dataOnly="0" labelOnly="1" outline="0" axis="axisValues" fieldPosition="0"/>
    </format>
    <format dxfId="22">
      <pivotArea field="4" type="button" dataOnly="0" labelOnly="1" outline="0" axis="axisRow"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0BF3E-55D2-486B-8F7F-B2E452A279B4}" name="revenu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19">
        <item x="17"/>
        <item x="1"/>
        <item x="0"/>
        <item x="9"/>
        <item x="2"/>
        <item x="3"/>
        <item x="4"/>
        <item x="5"/>
        <item x="6"/>
        <item x="7"/>
        <item x="8"/>
        <item x="10"/>
        <item x="11"/>
        <item x="12"/>
        <item x="13"/>
        <item x="14"/>
        <item x="15"/>
        <item x="16"/>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Items count="1">
    <i/>
  </rowItems>
  <colItems count="1">
    <i/>
  </colItems>
  <dataFields count="1">
    <dataField name="Total Tax Collected" fld="7"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2EDBB1-A456-4FA4-B614-9A3701A13285}" name="year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D3:D9" firstHeaderRow="1" firstDataRow="1"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19">
        <item x="17"/>
        <item x="1"/>
        <item x="0"/>
        <item x="9"/>
        <item x="2"/>
        <item x="3"/>
        <item x="4"/>
        <item x="5"/>
        <item x="6"/>
        <item x="7"/>
        <item x="8"/>
        <item x="10"/>
        <item x="11"/>
        <item x="12"/>
        <item x="13"/>
        <item x="14"/>
        <item x="15"/>
        <item x="1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axis="axisRow" showAll="0" sortType="descending">
      <items count="8">
        <item x="5"/>
        <item x="4"/>
        <item x="3"/>
        <item x="2"/>
        <item x="1"/>
        <item x="6"/>
        <item x="0"/>
        <item t="default"/>
      </items>
    </pivotField>
  </pivotFields>
  <rowFields count="1">
    <field x="9"/>
  </rowFields>
  <rowItems count="6">
    <i>
      <x/>
    </i>
    <i>
      <x v="1"/>
    </i>
    <i>
      <x v="2"/>
    </i>
    <i>
      <x v="3"/>
    </i>
    <i>
      <x v="4"/>
    </i>
    <i t="grand">
      <x/>
    </i>
  </rowItems>
  <colItems count="1">
    <i/>
  </colItems>
  <formats count="3">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358423-587A-4106-8B83-389FECB63FAF}" name="ncr_share"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G3:H5" firstHeaderRow="1" firstDataRow="1" firstDataCol="1"/>
  <pivotFields count="10">
    <pivotField showAll="0"/>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19">
        <item x="17"/>
        <item x="1"/>
        <item x="0"/>
        <item x="9"/>
        <item x="2"/>
        <item x="3"/>
        <item x="4"/>
        <item x="5"/>
        <item x="6"/>
        <item x="7"/>
        <item x="8"/>
        <item x="10"/>
        <item x="11"/>
        <item x="12"/>
        <item x="13"/>
        <item x="14"/>
        <item x="15"/>
        <item x="16"/>
        <item t="default"/>
      </items>
    </pivotField>
    <pivotField axis="axisRow" showAll="0">
      <items count="3">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5"/>
  </rowFields>
  <rowItems count="2">
    <i>
      <x/>
    </i>
    <i>
      <x v="1"/>
    </i>
  </rowItems>
  <colItems count="1">
    <i/>
  </colItems>
  <dataFields count="1">
    <dataField name="Contribution" fld="7" showDataAs="percentOfCol" baseField="5" baseItem="0" numFmtId="10"/>
  </dataFields>
  <formats count="4">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659A78-C1F4-46A4-8284-064F65B3C7C9}" autoFormatId="16" applyNumberFormats="0" applyBorderFormats="0" applyFontFormats="0" applyPatternFormats="0" applyAlignmentFormats="0" applyWidthHeightFormats="0">
  <queryTableRefresh nextId="10">
    <queryTableFields count="8">
      <queryTableField id="1" name="Index" tableColumnId="1"/>
      <queryTableField id="2" name="Date" tableColumnId="2"/>
      <queryTableField id="8" name="Year" tableColumnId="8"/>
      <queryTableField id="3" name="Month" tableColumnId="3"/>
      <queryTableField id="4" name="Code" tableColumnId="4"/>
      <queryTableField id="5" name="Region Div" tableColumnId="5"/>
      <queryTableField id="6" name="Island" tableColumnId="6"/>
      <queryTableField id="7" name="Tax Collecte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 xr10:uid="{54FD8166-EC04-4C16-89D4-7960D417FA04}" sourceName="Code">
  <pivotTables>
    <pivotTable tabId="5" name="revenue"/>
    <pivotTable tabId="1" name="heatmap_abs"/>
    <pivotTable tabId="1" name="monthly_trend"/>
    <pivotTable tabId="1" name="region_tax"/>
    <pivotTable tabId="1" name="yoy_growth"/>
    <pivotTable tabId="5" name="years"/>
    <pivotTable tabId="5" name="ncr_share"/>
  </pivotTables>
  <data>
    <tabular pivotCacheId="1538993330">
      <items count="18">
        <i x="17" s="1"/>
        <i x="1" s="1"/>
        <i x="0" s="1"/>
        <i x="9" s="1"/>
        <i x="2" s="1"/>
        <i x="3" s="1"/>
        <i x="4" s="1"/>
        <i x="5" s="1"/>
        <i x="6" s="1"/>
        <i x="7" s="1"/>
        <i x="8"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9D7627F-E336-41AB-A1B0-E1F4830A4B37}" sourceName="Years (Date)">
  <pivotTables>
    <pivotTable tabId="5" name="revenue"/>
    <pivotTable tabId="1" name="heatmap_abs"/>
    <pivotTable tabId="1" name="monthly_trend"/>
    <pivotTable tabId="1" name="region_tax"/>
    <pivotTable tabId="5" name="years"/>
  </pivotTables>
  <data>
    <tabular pivotCacheId="1538993330" customListSort="0">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5657EE1-F932-4786-86C2-ADBDA1F1A3D4}" cache="Slicer_Code" caption="Region" columnCount="3" style="SlicerStyleLight1 2" rowHeight="270000"/>
  <slicer name="Year" xr10:uid="{997ECFDF-8D21-4AFE-8DF8-8BC47EF63AEF}" cache="Slicer_Years__Date" caption="Year" columnCount="5" style="SlicerStyleLight1 2" rowHeight="23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B0605E-AB2E-46C5-9CAB-D0E373279BC1}" name="tax_data" displayName="tax_data" ref="A1:H6001" tableType="queryTable" totalsRowShown="0">
  <autoFilter ref="A1:H6001" xr:uid="{E5B0605E-AB2E-46C5-9CAB-D0E373279BC1}"/>
  <tableColumns count="8">
    <tableColumn id="1" xr3:uid="{5CDD346D-6895-4120-B40E-E5DCF4D616A5}" uniqueName="1" name="Index" queryTableFieldId="1"/>
    <tableColumn id="2" xr3:uid="{B499DDE9-E498-4E30-B89A-45809030FD8A}" uniqueName="2" name="Date" queryTableFieldId="2" dataDxfId="0"/>
    <tableColumn id="8" xr3:uid="{2FB7A2D9-B3F1-4DF6-BDAA-97BCB99E6C12}" uniqueName="8" name="Year" queryTableFieldId="8"/>
    <tableColumn id="3" xr3:uid="{3E8D9ABC-CBEB-4447-BB0B-3518757DF95A}" uniqueName="3" name="Month" queryTableFieldId="3" dataDxfId="30"/>
    <tableColumn id="4" xr3:uid="{00294D8C-A4D4-4EA6-BF4C-16EE5C423DB4}" uniqueName="4" name="Code" queryTableFieldId="4" dataDxfId="29"/>
    <tableColumn id="5" xr3:uid="{40D6AACD-503D-4EF4-8DE6-A501E491AE2A}" uniqueName="5" name="Region Div" queryTableFieldId="5" dataDxfId="28"/>
    <tableColumn id="6" xr3:uid="{8FCFC830-94BF-40FE-A52B-5E8D4917E19D}" uniqueName="6" name="Island" queryTableFieldId="6" dataDxfId="27"/>
    <tableColumn id="7" xr3:uid="{A20EA13B-BDB9-43A1-B5E6-E8C6A3BE5A8F}" uniqueName="7" name="Tax Collecte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5236-7845-41A1-A231-4C4F1237E135}">
  <sheetPr>
    <tabColor theme="3" tint="-0.249977111117893"/>
  </sheetPr>
  <dimension ref="A1:H6001"/>
  <sheetViews>
    <sheetView workbookViewId="0">
      <selection activeCell="B5973" sqref="B5973"/>
    </sheetView>
  </sheetViews>
  <sheetFormatPr defaultRowHeight="14.4" x14ac:dyDescent="0.3"/>
  <cols>
    <col min="1" max="1" width="7.88671875" bestFit="1" customWidth="1"/>
    <col min="2" max="2" width="10.5546875" bestFit="1" customWidth="1"/>
    <col min="3" max="3" width="6.88671875" bestFit="1" customWidth="1"/>
    <col min="4" max="4" width="10.6640625" bestFit="1" customWidth="1"/>
    <col min="5" max="5" width="7.6640625" bestFit="1" customWidth="1"/>
    <col min="6" max="6" width="12.109375" bestFit="1" customWidth="1"/>
    <col min="7" max="7" width="9.21875" bestFit="1" customWidth="1"/>
    <col min="8" max="8" width="14.33203125" customWidth="1"/>
  </cols>
  <sheetData>
    <row r="1" spans="1:8" x14ac:dyDescent="0.3">
      <c r="A1" t="s">
        <v>0</v>
      </c>
      <c r="B1" t="s">
        <v>1</v>
      </c>
      <c r="C1" t="s">
        <v>2</v>
      </c>
      <c r="D1" t="s">
        <v>3</v>
      </c>
      <c r="E1" t="s">
        <v>4</v>
      </c>
      <c r="F1" t="s">
        <v>39</v>
      </c>
      <c r="G1" t="s">
        <v>5</v>
      </c>
      <c r="H1" t="s">
        <v>59</v>
      </c>
    </row>
    <row r="2" spans="1:8" x14ac:dyDescent="0.3">
      <c r="A2">
        <v>202001</v>
      </c>
      <c r="B2" s="1">
        <v>43831</v>
      </c>
      <c r="C2">
        <v>2020</v>
      </c>
      <c r="D2" t="s">
        <v>6</v>
      </c>
      <c r="E2" t="s">
        <v>7</v>
      </c>
      <c r="F2" t="s">
        <v>7</v>
      </c>
      <c r="G2" t="s">
        <v>8</v>
      </c>
      <c r="H2">
        <v>600.79</v>
      </c>
    </row>
    <row r="3" spans="1:8" x14ac:dyDescent="0.3">
      <c r="A3">
        <v>202002</v>
      </c>
      <c r="B3" s="1">
        <v>43862</v>
      </c>
      <c r="C3">
        <v>2020</v>
      </c>
      <c r="D3" t="s">
        <v>9</v>
      </c>
      <c r="E3" t="s">
        <v>7</v>
      </c>
      <c r="F3" t="s">
        <v>7</v>
      </c>
      <c r="G3" t="s">
        <v>8</v>
      </c>
      <c r="H3">
        <v>435.53</v>
      </c>
    </row>
    <row r="4" spans="1:8" x14ac:dyDescent="0.3">
      <c r="A4">
        <v>202003</v>
      </c>
      <c r="B4" s="1">
        <v>43891</v>
      </c>
      <c r="C4">
        <v>2020</v>
      </c>
      <c r="D4" t="s">
        <v>10</v>
      </c>
      <c r="E4" t="s">
        <v>7</v>
      </c>
      <c r="F4" t="s">
        <v>7</v>
      </c>
      <c r="G4" t="s">
        <v>8</v>
      </c>
      <c r="H4">
        <v>336.78</v>
      </c>
    </row>
    <row r="5" spans="1:8" x14ac:dyDescent="0.3">
      <c r="A5">
        <v>202004</v>
      </c>
      <c r="B5" s="1">
        <v>43922</v>
      </c>
      <c r="C5">
        <v>2020</v>
      </c>
      <c r="D5" t="s">
        <v>11</v>
      </c>
      <c r="E5" t="s">
        <v>7</v>
      </c>
      <c r="F5" t="s">
        <v>7</v>
      </c>
      <c r="G5" t="s">
        <v>8</v>
      </c>
      <c r="H5">
        <v>78.150000000000006</v>
      </c>
    </row>
    <row r="6" spans="1:8" x14ac:dyDescent="0.3">
      <c r="A6">
        <v>202005</v>
      </c>
      <c r="B6" s="1">
        <v>43952</v>
      </c>
      <c r="C6">
        <v>2020</v>
      </c>
      <c r="D6" t="s">
        <v>12</v>
      </c>
      <c r="E6" t="s">
        <v>7</v>
      </c>
      <c r="F6" t="s">
        <v>7</v>
      </c>
      <c r="G6" t="s">
        <v>8</v>
      </c>
      <c r="H6">
        <v>125.8</v>
      </c>
    </row>
    <row r="7" spans="1:8" x14ac:dyDescent="0.3">
      <c r="A7">
        <v>202006</v>
      </c>
      <c r="B7" s="1">
        <v>43983</v>
      </c>
      <c r="C7">
        <v>2020</v>
      </c>
      <c r="D7" t="s">
        <v>13</v>
      </c>
      <c r="E7" t="s">
        <v>7</v>
      </c>
      <c r="F7" t="s">
        <v>7</v>
      </c>
      <c r="G7" t="s">
        <v>8</v>
      </c>
      <c r="H7">
        <v>804.85</v>
      </c>
    </row>
    <row r="8" spans="1:8" x14ac:dyDescent="0.3">
      <c r="A8">
        <v>202007</v>
      </c>
      <c r="B8" s="1">
        <v>44013</v>
      </c>
      <c r="C8">
        <v>2020</v>
      </c>
      <c r="D8" t="s">
        <v>14</v>
      </c>
      <c r="E8" t="s">
        <v>7</v>
      </c>
      <c r="F8" t="s">
        <v>7</v>
      </c>
      <c r="G8" t="s">
        <v>8</v>
      </c>
      <c r="H8">
        <v>362.37</v>
      </c>
    </row>
    <row r="9" spans="1:8" x14ac:dyDescent="0.3">
      <c r="A9">
        <v>202008</v>
      </c>
      <c r="B9" s="1">
        <v>44044</v>
      </c>
      <c r="C9">
        <v>2020</v>
      </c>
      <c r="D9" t="s">
        <v>15</v>
      </c>
      <c r="E9" t="s">
        <v>7</v>
      </c>
      <c r="F9" t="s">
        <v>7</v>
      </c>
      <c r="G9" t="s">
        <v>8</v>
      </c>
      <c r="H9">
        <v>375.56</v>
      </c>
    </row>
    <row r="10" spans="1:8" x14ac:dyDescent="0.3">
      <c r="A10">
        <v>202009</v>
      </c>
      <c r="B10" s="1">
        <v>44075</v>
      </c>
      <c r="C10">
        <v>2020</v>
      </c>
      <c r="D10" t="s">
        <v>16</v>
      </c>
      <c r="E10" t="s">
        <v>7</v>
      </c>
      <c r="F10" t="s">
        <v>7</v>
      </c>
      <c r="G10" t="s">
        <v>8</v>
      </c>
      <c r="H10">
        <v>351.8</v>
      </c>
    </row>
    <row r="11" spans="1:8" x14ac:dyDescent="0.3">
      <c r="A11">
        <v>202010</v>
      </c>
      <c r="B11" s="1">
        <v>44105</v>
      </c>
      <c r="C11">
        <v>2020</v>
      </c>
      <c r="D11" t="s">
        <v>17</v>
      </c>
      <c r="E11" t="s">
        <v>7</v>
      </c>
      <c r="F11" t="s">
        <v>7</v>
      </c>
      <c r="G11" t="s">
        <v>8</v>
      </c>
      <c r="H11">
        <v>415.26</v>
      </c>
    </row>
    <row r="12" spans="1:8" x14ac:dyDescent="0.3">
      <c r="A12">
        <v>202011</v>
      </c>
      <c r="B12" s="1">
        <v>44136</v>
      </c>
      <c r="C12">
        <v>2020</v>
      </c>
      <c r="D12" t="s">
        <v>18</v>
      </c>
      <c r="E12" t="s">
        <v>7</v>
      </c>
      <c r="F12" t="s">
        <v>7</v>
      </c>
      <c r="G12" t="s">
        <v>8</v>
      </c>
      <c r="H12">
        <v>507.85</v>
      </c>
    </row>
    <row r="13" spans="1:8" x14ac:dyDescent="0.3">
      <c r="A13">
        <v>202012</v>
      </c>
      <c r="B13" s="1">
        <v>44166</v>
      </c>
      <c r="C13">
        <v>2020</v>
      </c>
      <c r="D13" t="s">
        <v>19</v>
      </c>
      <c r="E13" t="s">
        <v>7</v>
      </c>
      <c r="F13" t="s">
        <v>7</v>
      </c>
      <c r="G13" t="s">
        <v>8</v>
      </c>
      <c r="H13">
        <v>455.26</v>
      </c>
    </row>
    <row r="14" spans="1:8" x14ac:dyDescent="0.3">
      <c r="A14">
        <v>202001</v>
      </c>
      <c r="B14" s="1">
        <v>43831</v>
      </c>
      <c r="C14">
        <v>2020</v>
      </c>
      <c r="D14" t="s">
        <v>6</v>
      </c>
      <c r="E14" t="s">
        <v>7</v>
      </c>
      <c r="F14" t="s">
        <v>7</v>
      </c>
      <c r="G14" t="s">
        <v>8</v>
      </c>
      <c r="H14">
        <v>668.95</v>
      </c>
    </row>
    <row r="15" spans="1:8" x14ac:dyDescent="0.3">
      <c r="A15">
        <v>202002</v>
      </c>
      <c r="B15" s="1">
        <v>43862</v>
      </c>
      <c r="C15">
        <v>2020</v>
      </c>
      <c r="D15" t="s">
        <v>9</v>
      </c>
      <c r="E15" t="s">
        <v>7</v>
      </c>
      <c r="F15" t="s">
        <v>7</v>
      </c>
      <c r="G15" t="s">
        <v>8</v>
      </c>
      <c r="H15">
        <v>465.9</v>
      </c>
    </row>
    <row r="16" spans="1:8" x14ac:dyDescent="0.3">
      <c r="A16">
        <v>202003</v>
      </c>
      <c r="B16" s="1">
        <v>43891</v>
      </c>
      <c r="C16">
        <v>2020</v>
      </c>
      <c r="D16" t="s">
        <v>10</v>
      </c>
      <c r="E16" t="s">
        <v>7</v>
      </c>
      <c r="F16" t="s">
        <v>7</v>
      </c>
      <c r="G16" t="s">
        <v>8</v>
      </c>
      <c r="H16">
        <v>392.34</v>
      </c>
    </row>
    <row r="17" spans="1:8" x14ac:dyDescent="0.3">
      <c r="A17">
        <v>202004</v>
      </c>
      <c r="B17" s="1">
        <v>43922</v>
      </c>
      <c r="C17">
        <v>2020</v>
      </c>
      <c r="D17" t="s">
        <v>11</v>
      </c>
      <c r="E17" t="s">
        <v>7</v>
      </c>
      <c r="F17" t="s">
        <v>7</v>
      </c>
      <c r="G17" t="s">
        <v>8</v>
      </c>
      <c r="H17">
        <v>98.97</v>
      </c>
    </row>
    <row r="18" spans="1:8" x14ac:dyDescent="0.3">
      <c r="A18">
        <v>202005</v>
      </c>
      <c r="B18" s="1">
        <v>43952</v>
      </c>
      <c r="C18">
        <v>2020</v>
      </c>
      <c r="D18" t="s">
        <v>12</v>
      </c>
      <c r="E18" t="s">
        <v>7</v>
      </c>
      <c r="F18" t="s">
        <v>7</v>
      </c>
      <c r="G18" t="s">
        <v>8</v>
      </c>
      <c r="H18">
        <v>189.8</v>
      </c>
    </row>
    <row r="19" spans="1:8" x14ac:dyDescent="0.3">
      <c r="A19">
        <v>202006</v>
      </c>
      <c r="B19" s="1">
        <v>43983</v>
      </c>
      <c r="C19">
        <v>2020</v>
      </c>
      <c r="D19" t="s">
        <v>13</v>
      </c>
      <c r="E19" t="s">
        <v>7</v>
      </c>
      <c r="F19" t="s">
        <v>7</v>
      </c>
      <c r="G19" t="s">
        <v>8</v>
      </c>
      <c r="H19">
        <v>1100.24</v>
      </c>
    </row>
    <row r="20" spans="1:8" x14ac:dyDescent="0.3">
      <c r="A20">
        <v>202007</v>
      </c>
      <c r="B20" s="1">
        <v>44013</v>
      </c>
      <c r="C20">
        <v>2020</v>
      </c>
      <c r="D20" t="s">
        <v>14</v>
      </c>
      <c r="E20" t="s">
        <v>7</v>
      </c>
      <c r="F20" t="s">
        <v>7</v>
      </c>
      <c r="G20" t="s">
        <v>8</v>
      </c>
      <c r="H20">
        <v>442.18</v>
      </c>
    </row>
    <row r="21" spans="1:8" x14ac:dyDescent="0.3">
      <c r="A21">
        <v>202008</v>
      </c>
      <c r="B21" s="1">
        <v>44044</v>
      </c>
      <c r="C21">
        <v>2020</v>
      </c>
      <c r="D21" t="s">
        <v>15</v>
      </c>
      <c r="E21" t="s">
        <v>7</v>
      </c>
      <c r="F21" t="s">
        <v>7</v>
      </c>
      <c r="G21" t="s">
        <v>8</v>
      </c>
      <c r="H21">
        <v>433.19</v>
      </c>
    </row>
    <row r="22" spans="1:8" x14ac:dyDescent="0.3">
      <c r="A22">
        <v>202009</v>
      </c>
      <c r="B22" s="1">
        <v>44075</v>
      </c>
      <c r="C22">
        <v>2020</v>
      </c>
      <c r="D22" t="s">
        <v>16</v>
      </c>
      <c r="E22" t="s">
        <v>7</v>
      </c>
      <c r="F22" t="s">
        <v>7</v>
      </c>
      <c r="G22" t="s">
        <v>8</v>
      </c>
      <c r="H22">
        <v>416.8</v>
      </c>
    </row>
    <row r="23" spans="1:8" x14ac:dyDescent="0.3">
      <c r="A23">
        <v>202010</v>
      </c>
      <c r="B23" s="1">
        <v>44105</v>
      </c>
      <c r="C23">
        <v>2020</v>
      </c>
      <c r="D23" t="s">
        <v>17</v>
      </c>
      <c r="E23" t="s">
        <v>7</v>
      </c>
      <c r="F23" t="s">
        <v>7</v>
      </c>
      <c r="G23" t="s">
        <v>8</v>
      </c>
      <c r="H23">
        <v>499.72</v>
      </c>
    </row>
    <row r="24" spans="1:8" x14ac:dyDescent="0.3">
      <c r="A24">
        <v>202011</v>
      </c>
      <c r="B24" s="1">
        <v>44136</v>
      </c>
      <c r="C24">
        <v>2020</v>
      </c>
      <c r="D24" t="s">
        <v>18</v>
      </c>
      <c r="E24" t="s">
        <v>7</v>
      </c>
      <c r="F24" t="s">
        <v>7</v>
      </c>
      <c r="G24" t="s">
        <v>8</v>
      </c>
      <c r="H24">
        <v>601.09</v>
      </c>
    </row>
    <row r="25" spans="1:8" x14ac:dyDescent="0.3">
      <c r="A25">
        <v>202012</v>
      </c>
      <c r="B25" s="1">
        <v>44166</v>
      </c>
      <c r="C25">
        <v>2020</v>
      </c>
      <c r="D25" t="s">
        <v>19</v>
      </c>
      <c r="E25" t="s">
        <v>7</v>
      </c>
      <c r="F25" t="s">
        <v>7</v>
      </c>
      <c r="G25" t="s">
        <v>8</v>
      </c>
      <c r="H25">
        <v>473.99</v>
      </c>
    </row>
    <row r="26" spans="1:8" x14ac:dyDescent="0.3">
      <c r="A26">
        <v>202001</v>
      </c>
      <c r="B26" s="1">
        <v>43831</v>
      </c>
      <c r="C26">
        <v>2020</v>
      </c>
      <c r="D26" t="s">
        <v>6</v>
      </c>
      <c r="E26" t="s">
        <v>7</v>
      </c>
      <c r="F26" t="s">
        <v>7</v>
      </c>
      <c r="G26" t="s">
        <v>8</v>
      </c>
      <c r="H26">
        <v>10693.43</v>
      </c>
    </row>
    <row r="27" spans="1:8" x14ac:dyDescent="0.3">
      <c r="A27">
        <v>202002</v>
      </c>
      <c r="B27" s="1">
        <v>43862</v>
      </c>
      <c r="C27">
        <v>2020</v>
      </c>
      <c r="D27" t="s">
        <v>9</v>
      </c>
      <c r="E27" t="s">
        <v>7</v>
      </c>
      <c r="F27" t="s">
        <v>7</v>
      </c>
      <c r="G27" t="s">
        <v>8</v>
      </c>
      <c r="H27">
        <v>8109.89</v>
      </c>
    </row>
    <row r="28" spans="1:8" x14ac:dyDescent="0.3">
      <c r="A28">
        <v>202003</v>
      </c>
      <c r="B28" s="1">
        <v>43891</v>
      </c>
      <c r="C28">
        <v>2020</v>
      </c>
      <c r="D28" t="s">
        <v>10</v>
      </c>
      <c r="E28" t="s">
        <v>7</v>
      </c>
      <c r="F28" t="s">
        <v>7</v>
      </c>
      <c r="G28" t="s">
        <v>8</v>
      </c>
      <c r="H28">
        <v>7344.66</v>
      </c>
    </row>
    <row r="29" spans="1:8" x14ac:dyDescent="0.3">
      <c r="A29">
        <v>202004</v>
      </c>
      <c r="B29" s="1">
        <v>43922</v>
      </c>
      <c r="C29">
        <v>2020</v>
      </c>
      <c r="D29" t="s">
        <v>11</v>
      </c>
      <c r="E29" t="s">
        <v>7</v>
      </c>
      <c r="F29" t="s">
        <v>7</v>
      </c>
      <c r="G29" t="s">
        <v>8</v>
      </c>
      <c r="H29">
        <v>3104.96</v>
      </c>
    </row>
    <row r="30" spans="1:8" x14ac:dyDescent="0.3">
      <c r="A30">
        <v>202005</v>
      </c>
      <c r="B30" s="1">
        <v>43952</v>
      </c>
      <c r="C30">
        <v>2020</v>
      </c>
      <c r="D30" t="s">
        <v>12</v>
      </c>
      <c r="E30" t="s">
        <v>7</v>
      </c>
      <c r="F30" t="s">
        <v>7</v>
      </c>
      <c r="G30" t="s">
        <v>8</v>
      </c>
      <c r="H30">
        <v>4748.8500000000004</v>
      </c>
    </row>
    <row r="31" spans="1:8" x14ac:dyDescent="0.3">
      <c r="A31">
        <v>202006</v>
      </c>
      <c r="B31" s="1">
        <v>43983</v>
      </c>
      <c r="C31">
        <v>2020</v>
      </c>
      <c r="D31" t="s">
        <v>13</v>
      </c>
      <c r="E31" t="s">
        <v>7</v>
      </c>
      <c r="F31" t="s">
        <v>7</v>
      </c>
      <c r="G31" t="s">
        <v>8</v>
      </c>
      <c r="H31">
        <v>15895.86</v>
      </c>
    </row>
    <row r="32" spans="1:8" x14ac:dyDescent="0.3">
      <c r="A32">
        <v>202007</v>
      </c>
      <c r="B32" s="1">
        <v>44013</v>
      </c>
      <c r="C32">
        <v>2020</v>
      </c>
      <c r="D32" t="s">
        <v>14</v>
      </c>
      <c r="E32" t="s">
        <v>7</v>
      </c>
      <c r="F32" t="s">
        <v>7</v>
      </c>
      <c r="G32" t="s">
        <v>8</v>
      </c>
      <c r="H32">
        <v>7149.31</v>
      </c>
    </row>
    <row r="33" spans="1:8" x14ac:dyDescent="0.3">
      <c r="A33">
        <v>202008</v>
      </c>
      <c r="B33" s="1">
        <v>44044</v>
      </c>
      <c r="C33">
        <v>2020</v>
      </c>
      <c r="D33" t="s">
        <v>15</v>
      </c>
      <c r="E33" t="s">
        <v>7</v>
      </c>
      <c r="F33" t="s">
        <v>7</v>
      </c>
      <c r="G33" t="s">
        <v>8</v>
      </c>
      <c r="H33">
        <v>7609.07</v>
      </c>
    </row>
    <row r="34" spans="1:8" x14ac:dyDescent="0.3">
      <c r="A34">
        <v>202009</v>
      </c>
      <c r="B34" s="1">
        <v>44075</v>
      </c>
      <c r="C34">
        <v>2020</v>
      </c>
      <c r="D34" t="s">
        <v>16</v>
      </c>
      <c r="E34" t="s">
        <v>7</v>
      </c>
      <c r="F34" t="s">
        <v>7</v>
      </c>
      <c r="G34" t="s">
        <v>8</v>
      </c>
      <c r="H34">
        <v>9635.26</v>
      </c>
    </row>
    <row r="35" spans="1:8" x14ac:dyDescent="0.3">
      <c r="A35">
        <v>202010</v>
      </c>
      <c r="B35" s="1">
        <v>44105</v>
      </c>
      <c r="C35">
        <v>2020</v>
      </c>
      <c r="D35" t="s">
        <v>17</v>
      </c>
      <c r="E35" t="s">
        <v>7</v>
      </c>
      <c r="F35" t="s">
        <v>7</v>
      </c>
      <c r="G35" t="s">
        <v>8</v>
      </c>
      <c r="H35">
        <v>9006.44</v>
      </c>
    </row>
    <row r="36" spans="1:8" x14ac:dyDescent="0.3">
      <c r="A36">
        <v>202011</v>
      </c>
      <c r="B36" s="1">
        <v>44136</v>
      </c>
      <c r="C36">
        <v>2020</v>
      </c>
      <c r="D36" t="s">
        <v>18</v>
      </c>
      <c r="E36" t="s">
        <v>7</v>
      </c>
      <c r="F36" t="s">
        <v>7</v>
      </c>
      <c r="G36" t="s">
        <v>8</v>
      </c>
      <c r="H36">
        <v>8988.52</v>
      </c>
    </row>
    <row r="37" spans="1:8" x14ac:dyDescent="0.3">
      <c r="A37">
        <v>202012</v>
      </c>
      <c r="B37" s="1">
        <v>44166</v>
      </c>
      <c r="C37">
        <v>2020</v>
      </c>
      <c r="D37" t="s">
        <v>19</v>
      </c>
      <c r="E37" t="s">
        <v>7</v>
      </c>
      <c r="F37" t="s">
        <v>7</v>
      </c>
      <c r="G37" t="s">
        <v>8</v>
      </c>
      <c r="H37">
        <v>8440.7999999999993</v>
      </c>
    </row>
    <row r="38" spans="1:8" x14ac:dyDescent="0.3">
      <c r="A38">
        <v>202001</v>
      </c>
      <c r="B38" s="1">
        <v>43831</v>
      </c>
      <c r="C38">
        <v>2020</v>
      </c>
      <c r="D38" t="s">
        <v>6</v>
      </c>
      <c r="E38" t="s">
        <v>7</v>
      </c>
      <c r="F38" t="s">
        <v>7</v>
      </c>
      <c r="G38" t="s">
        <v>8</v>
      </c>
      <c r="H38">
        <v>292.07</v>
      </c>
    </row>
    <row r="39" spans="1:8" x14ac:dyDescent="0.3">
      <c r="A39">
        <v>202002</v>
      </c>
      <c r="B39" s="1">
        <v>43862</v>
      </c>
      <c r="C39">
        <v>2020</v>
      </c>
      <c r="D39" t="s">
        <v>9</v>
      </c>
      <c r="E39" t="s">
        <v>7</v>
      </c>
      <c r="F39" t="s">
        <v>7</v>
      </c>
      <c r="G39" t="s">
        <v>8</v>
      </c>
      <c r="H39">
        <v>249.84</v>
      </c>
    </row>
    <row r="40" spans="1:8" x14ac:dyDescent="0.3">
      <c r="A40">
        <v>202003</v>
      </c>
      <c r="B40" s="1">
        <v>43891</v>
      </c>
      <c r="C40">
        <v>2020</v>
      </c>
      <c r="D40" t="s">
        <v>10</v>
      </c>
      <c r="E40" t="s">
        <v>7</v>
      </c>
      <c r="F40" t="s">
        <v>7</v>
      </c>
      <c r="G40" t="s">
        <v>8</v>
      </c>
      <c r="H40">
        <v>204.43</v>
      </c>
    </row>
    <row r="41" spans="1:8" x14ac:dyDescent="0.3">
      <c r="A41">
        <v>202004</v>
      </c>
      <c r="B41" s="1">
        <v>43922</v>
      </c>
      <c r="C41">
        <v>2020</v>
      </c>
      <c r="D41" t="s">
        <v>11</v>
      </c>
      <c r="E41" t="s">
        <v>7</v>
      </c>
      <c r="F41" t="s">
        <v>7</v>
      </c>
      <c r="G41" t="s">
        <v>8</v>
      </c>
      <c r="H41">
        <v>50.94</v>
      </c>
    </row>
    <row r="42" spans="1:8" x14ac:dyDescent="0.3">
      <c r="A42">
        <v>202005</v>
      </c>
      <c r="B42" s="1">
        <v>43952</v>
      </c>
      <c r="C42">
        <v>2020</v>
      </c>
      <c r="D42" t="s">
        <v>12</v>
      </c>
      <c r="E42" t="s">
        <v>7</v>
      </c>
      <c r="F42" t="s">
        <v>7</v>
      </c>
      <c r="G42" t="s">
        <v>8</v>
      </c>
      <c r="H42">
        <v>83.01</v>
      </c>
    </row>
    <row r="43" spans="1:8" x14ac:dyDescent="0.3">
      <c r="A43">
        <v>202006</v>
      </c>
      <c r="B43" s="1">
        <v>43983</v>
      </c>
      <c r="C43">
        <v>2020</v>
      </c>
      <c r="D43" t="s">
        <v>13</v>
      </c>
      <c r="E43" t="s">
        <v>7</v>
      </c>
      <c r="F43" t="s">
        <v>7</v>
      </c>
      <c r="G43" t="s">
        <v>8</v>
      </c>
      <c r="H43">
        <v>505.92</v>
      </c>
    </row>
    <row r="44" spans="1:8" x14ac:dyDescent="0.3">
      <c r="A44">
        <v>202007</v>
      </c>
      <c r="B44" s="1">
        <v>44013</v>
      </c>
      <c r="C44">
        <v>2020</v>
      </c>
      <c r="D44" t="s">
        <v>14</v>
      </c>
      <c r="E44" t="s">
        <v>7</v>
      </c>
      <c r="F44" t="s">
        <v>7</v>
      </c>
      <c r="G44" t="s">
        <v>8</v>
      </c>
      <c r="H44">
        <v>177.09</v>
      </c>
    </row>
    <row r="45" spans="1:8" x14ac:dyDescent="0.3">
      <c r="A45">
        <v>202008</v>
      </c>
      <c r="B45" s="1">
        <v>44044</v>
      </c>
      <c r="C45">
        <v>2020</v>
      </c>
      <c r="D45" t="s">
        <v>15</v>
      </c>
      <c r="E45" t="s">
        <v>7</v>
      </c>
      <c r="F45" t="s">
        <v>7</v>
      </c>
      <c r="G45" t="s">
        <v>8</v>
      </c>
      <c r="H45">
        <v>214.58</v>
      </c>
    </row>
    <row r="46" spans="1:8" x14ac:dyDescent="0.3">
      <c r="A46">
        <v>202009</v>
      </c>
      <c r="B46" s="1">
        <v>44075</v>
      </c>
      <c r="C46">
        <v>2020</v>
      </c>
      <c r="D46" t="s">
        <v>16</v>
      </c>
      <c r="E46" t="s">
        <v>7</v>
      </c>
      <c r="F46" t="s">
        <v>7</v>
      </c>
      <c r="G46" t="s">
        <v>8</v>
      </c>
      <c r="H46">
        <v>198.62</v>
      </c>
    </row>
    <row r="47" spans="1:8" x14ac:dyDescent="0.3">
      <c r="A47">
        <v>202010</v>
      </c>
      <c r="B47" s="1">
        <v>44105</v>
      </c>
      <c r="C47">
        <v>2020</v>
      </c>
      <c r="D47" t="s">
        <v>17</v>
      </c>
      <c r="E47" t="s">
        <v>7</v>
      </c>
      <c r="F47" t="s">
        <v>7</v>
      </c>
      <c r="G47" t="s">
        <v>8</v>
      </c>
      <c r="H47">
        <v>246.25</v>
      </c>
    </row>
    <row r="48" spans="1:8" x14ac:dyDescent="0.3">
      <c r="A48">
        <v>202011</v>
      </c>
      <c r="B48" s="1">
        <v>44136</v>
      </c>
      <c r="C48">
        <v>2020</v>
      </c>
      <c r="D48" t="s">
        <v>18</v>
      </c>
      <c r="E48" t="s">
        <v>7</v>
      </c>
      <c r="F48" t="s">
        <v>7</v>
      </c>
      <c r="G48" t="s">
        <v>8</v>
      </c>
      <c r="H48">
        <v>272.14999999999998</v>
      </c>
    </row>
    <row r="49" spans="1:8" x14ac:dyDescent="0.3">
      <c r="A49">
        <v>202012</v>
      </c>
      <c r="B49" s="1">
        <v>44166</v>
      </c>
      <c r="C49">
        <v>2020</v>
      </c>
      <c r="D49" t="s">
        <v>19</v>
      </c>
      <c r="E49" t="s">
        <v>7</v>
      </c>
      <c r="F49" t="s">
        <v>7</v>
      </c>
      <c r="G49" t="s">
        <v>8</v>
      </c>
      <c r="H49">
        <v>261.19</v>
      </c>
    </row>
    <row r="50" spans="1:8" x14ac:dyDescent="0.3">
      <c r="A50">
        <v>202001</v>
      </c>
      <c r="B50" s="1">
        <v>43831</v>
      </c>
      <c r="C50">
        <v>2020</v>
      </c>
      <c r="D50" t="s">
        <v>6</v>
      </c>
      <c r="E50" t="s">
        <v>7</v>
      </c>
      <c r="F50" t="s">
        <v>7</v>
      </c>
      <c r="G50" t="s">
        <v>8</v>
      </c>
      <c r="H50">
        <v>2566.0100000000002</v>
      </c>
    </row>
    <row r="51" spans="1:8" x14ac:dyDescent="0.3">
      <c r="A51">
        <v>202002</v>
      </c>
      <c r="B51" s="1">
        <v>43862</v>
      </c>
      <c r="C51">
        <v>2020</v>
      </c>
      <c r="D51" t="s">
        <v>9</v>
      </c>
      <c r="E51" t="s">
        <v>7</v>
      </c>
      <c r="F51" t="s">
        <v>7</v>
      </c>
      <c r="G51" t="s">
        <v>8</v>
      </c>
      <c r="H51">
        <v>1467.69</v>
      </c>
    </row>
    <row r="52" spans="1:8" x14ac:dyDescent="0.3">
      <c r="A52">
        <v>202003</v>
      </c>
      <c r="B52" s="1">
        <v>43891</v>
      </c>
      <c r="C52">
        <v>2020</v>
      </c>
      <c r="D52" t="s">
        <v>10</v>
      </c>
      <c r="E52" t="s">
        <v>7</v>
      </c>
      <c r="F52" t="s">
        <v>7</v>
      </c>
      <c r="G52" t="s">
        <v>8</v>
      </c>
      <c r="H52">
        <v>1298.95</v>
      </c>
    </row>
    <row r="53" spans="1:8" x14ac:dyDescent="0.3">
      <c r="A53">
        <v>202004</v>
      </c>
      <c r="B53" s="1">
        <v>43922</v>
      </c>
      <c r="C53">
        <v>2020</v>
      </c>
      <c r="D53" t="s">
        <v>11</v>
      </c>
      <c r="E53" t="s">
        <v>7</v>
      </c>
      <c r="F53" t="s">
        <v>7</v>
      </c>
      <c r="G53" t="s">
        <v>8</v>
      </c>
      <c r="H53">
        <v>766.44</v>
      </c>
    </row>
    <row r="54" spans="1:8" x14ac:dyDescent="0.3">
      <c r="A54">
        <v>202005</v>
      </c>
      <c r="B54" s="1">
        <v>43952</v>
      </c>
      <c r="C54">
        <v>2020</v>
      </c>
      <c r="D54" t="s">
        <v>12</v>
      </c>
      <c r="E54" t="s">
        <v>7</v>
      </c>
      <c r="F54" t="s">
        <v>7</v>
      </c>
      <c r="G54" t="s">
        <v>8</v>
      </c>
      <c r="H54">
        <v>729.84</v>
      </c>
    </row>
    <row r="55" spans="1:8" x14ac:dyDescent="0.3">
      <c r="A55">
        <v>202006</v>
      </c>
      <c r="B55" s="1">
        <v>43983</v>
      </c>
      <c r="C55">
        <v>2020</v>
      </c>
      <c r="D55" t="s">
        <v>13</v>
      </c>
      <c r="E55" t="s">
        <v>7</v>
      </c>
      <c r="F55" t="s">
        <v>7</v>
      </c>
      <c r="G55" t="s">
        <v>8</v>
      </c>
      <c r="H55">
        <v>3009.94</v>
      </c>
    </row>
    <row r="56" spans="1:8" x14ac:dyDescent="0.3">
      <c r="A56">
        <v>202007</v>
      </c>
      <c r="B56" s="1">
        <v>44013</v>
      </c>
      <c r="C56">
        <v>2020</v>
      </c>
      <c r="D56" t="s">
        <v>14</v>
      </c>
      <c r="E56" t="s">
        <v>7</v>
      </c>
      <c r="F56" t="s">
        <v>7</v>
      </c>
      <c r="G56" t="s">
        <v>8</v>
      </c>
      <c r="H56">
        <v>1198.54</v>
      </c>
    </row>
    <row r="57" spans="1:8" x14ac:dyDescent="0.3">
      <c r="A57">
        <v>202008</v>
      </c>
      <c r="B57" s="1">
        <v>44044</v>
      </c>
      <c r="C57">
        <v>2020</v>
      </c>
      <c r="D57" t="s">
        <v>15</v>
      </c>
      <c r="E57" t="s">
        <v>7</v>
      </c>
      <c r="F57" t="s">
        <v>7</v>
      </c>
      <c r="G57" t="s">
        <v>8</v>
      </c>
      <c r="H57">
        <v>1880.42</v>
      </c>
    </row>
    <row r="58" spans="1:8" x14ac:dyDescent="0.3">
      <c r="A58">
        <v>202009</v>
      </c>
      <c r="B58" s="1">
        <v>44075</v>
      </c>
      <c r="C58">
        <v>2020</v>
      </c>
      <c r="D58" t="s">
        <v>16</v>
      </c>
      <c r="E58" t="s">
        <v>7</v>
      </c>
      <c r="F58" t="s">
        <v>7</v>
      </c>
      <c r="G58" t="s">
        <v>8</v>
      </c>
      <c r="H58">
        <v>1081.8800000000001</v>
      </c>
    </row>
    <row r="59" spans="1:8" x14ac:dyDescent="0.3">
      <c r="A59">
        <v>202010</v>
      </c>
      <c r="B59" s="1">
        <v>44105</v>
      </c>
      <c r="C59">
        <v>2020</v>
      </c>
      <c r="D59" t="s">
        <v>17</v>
      </c>
      <c r="E59" t="s">
        <v>7</v>
      </c>
      <c r="F59" t="s">
        <v>7</v>
      </c>
      <c r="G59" t="s">
        <v>8</v>
      </c>
      <c r="H59">
        <v>1355.87</v>
      </c>
    </row>
    <row r="60" spans="1:8" x14ac:dyDescent="0.3">
      <c r="A60">
        <v>202011</v>
      </c>
      <c r="B60" s="1">
        <v>44136</v>
      </c>
      <c r="C60">
        <v>2020</v>
      </c>
      <c r="D60" t="s">
        <v>18</v>
      </c>
      <c r="E60" t="s">
        <v>7</v>
      </c>
      <c r="F60" t="s">
        <v>7</v>
      </c>
      <c r="G60" t="s">
        <v>8</v>
      </c>
      <c r="H60">
        <v>1704.07</v>
      </c>
    </row>
    <row r="61" spans="1:8" x14ac:dyDescent="0.3">
      <c r="A61">
        <v>202012</v>
      </c>
      <c r="B61" s="1">
        <v>44166</v>
      </c>
      <c r="C61">
        <v>2020</v>
      </c>
      <c r="D61" t="s">
        <v>19</v>
      </c>
      <c r="E61" t="s">
        <v>7</v>
      </c>
      <c r="F61" t="s">
        <v>7</v>
      </c>
      <c r="G61" t="s">
        <v>8</v>
      </c>
      <c r="H61">
        <v>1614.24</v>
      </c>
    </row>
    <row r="62" spans="1:8" x14ac:dyDescent="0.3">
      <c r="A62">
        <v>202001</v>
      </c>
      <c r="B62" s="1">
        <v>43831</v>
      </c>
      <c r="C62">
        <v>2020</v>
      </c>
      <c r="D62" t="s">
        <v>6</v>
      </c>
      <c r="E62" t="s">
        <v>7</v>
      </c>
      <c r="F62" t="s">
        <v>7</v>
      </c>
      <c r="G62" t="s">
        <v>8</v>
      </c>
      <c r="H62">
        <v>4596.33</v>
      </c>
    </row>
    <row r="63" spans="1:8" x14ac:dyDescent="0.3">
      <c r="A63">
        <v>202002</v>
      </c>
      <c r="B63" s="1">
        <v>43862</v>
      </c>
      <c r="C63">
        <v>2020</v>
      </c>
      <c r="D63" t="s">
        <v>9</v>
      </c>
      <c r="E63" t="s">
        <v>7</v>
      </c>
      <c r="F63" t="s">
        <v>7</v>
      </c>
      <c r="G63" t="s">
        <v>8</v>
      </c>
      <c r="H63">
        <v>2881.31</v>
      </c>
    </row>
    <row r="64" spans="1:8" x14ac:dyDescent="0.3">
      <c r="A64">
        <v>202003</v>
      </c>
      <c r="B64" s="1">
        <v>43891</v>
      </c>
      <c r="C64">
        <v>2020</v>
      </c>
      <c r="D64" t="s">
        <v>10</v>
      </c>
      <c r="E64" t="s">
        <v>7</v>
      </c>
      <c r="F64" t="s">
        <v>7</v>
      </c>
      <c r="G64" t="s">
        <v>8</v>
      </c>
      <c r="H64">
        <v>2625.2</v>
      </c>
    </row>
    <row r="65" spans="1:8" x14ac:dyDescent="0.3">
      <c r="A65">
        <v>202004</v>
      </c>
      <c r="B65" s="1">
        <v>43922</v>
      </c>
      <c r="C65">
        <v>2020</v>
      </c>
      <c r="D65" t="s">
        <v>11</v>
      </c>
      <c r="E65" t="s">
        <v>7</v>
      </c>
      <c r="F65" t="s">
        <v>7</v>
      </c>
      <c r="G65" t="s">
        <v>8</v>
      </c>
      <c r="H65">
        <v>993.57</v>
      </c>
    </row>
    <row r="66" spans="1:8" x14ac:dyDescent="0.3">
      <c r="A66">
        <v>202005</v>
      </c>
      <c r="B66" s="1">
        <v>43952</v>
      </c>
      <c r="C66">
        <v>2020</v>
      </c>
      <c r="D66" t="s">
        <v>12</v>
      </c>
      <c r="E66" t="s">
        <v>7</v>
      </c>
      <c r="F66" t="s">
        <v>7</v>
      </c>
      <c r="G66" t="s">
        <v>8</v>
      </c>
      <c r="H66">
        <v>1856.89</v>
      </c>
    </row>
    <row r="67" spans="1:8" x14ac:dyDescent="0.3">
      <c r="A67">
        <v>202006</v>
      </c>
      <c r="B67" s="1">
        <v>43983</v>
      </c>
      <c r="C67">
        <v>2020</v>
      </c>
      <c r="D67" t="s">
        <v>13</v>
      </c>
      <c r="E67" t="s">
        <v>7</v>
      </c>
      <c r="F67" t="s">
        <v>7</v>
      </c>
      <c r="G67" t="s">
        <v>8</v>
      </c>
      <c r="H67">
        <v>5618.57</v>
      </c>
    </row>
    <row r="68" spans="1:8" x14ac:dyDescent="0.3">
      <c r="A68">
        <v>202007</v>
      </c>
      <c r="B68" s="1">
        <v>44013</v>
      </c>
      <c r="C68">
        <v>2020</v>
      </c>
      <c r="D68" t="s">
        <v>14</v>
      </c>
      <c r="E68" t="s">
        <v>7</v>
      </c>
      <c r="F68" t="s">
        <v>7</v>
      </c>
      <c r="G68" t="s">
        <v>8</v>
      </c>
      <c r="H68">
        <v>2815.09</v>
      </c>
    </row>
    <row r="69" spans="1:8" x14ac:dyDescent="0.3">
      <c r="A69">
        <v>202008</v>
      </c>
      <c r="B69" s="1">
        <v>44044</v>
      </c>
      <c r="C69">
        <v>2020</v>
      </c>
      <c r="D69" t="s">
        <v>15</v>
      </c>
      <c r="E69" t="s">
        <v>7</v>
      </c>
      <c r="F69" t="s">
        <v>7</v>
      </c>
      <c r="G69" t="s">
        <v>8</v>
      </c>
      <c r="H69">
        <v>3003.45</v>
      </c>
    </row>
    <row r="70" spans="1:8" x14ac:dyDescent="0.3">
      <c r="A70">
        <v>202009</v>
      </c>
      <c r="B70" s="1">
        <v>44075</v>
      </c>
      <c r="C70">
        <v>2020</v>
      </c>
      <c r="D70" t="s">
        <v>16</v>
      </c>
      <c r="E70" t="s">
        <v>7</v>
      </c>
      <c r="F70" t="s">
        <v>7</v>
      </c>
      <c r="G70" t="s">
        <v>8</v>
      </c>
      <c r="H70">
        <v>2870.5</v>
      </c>
    </row>
    <row r="71" spans="1:8" x14ac:dyDescent="0.3">
      <c r="A71">
        <v>202010</v>
      </c>
      <c r="B71" s="1">
        <v>44105</v>
      </c>
      <c r="C71">
        <v>2020</v>
      </c>
      <c r="D71" t="s">
        <v>17</v>
      </c>
      <c r="E71" t="s">
        <v>7</v>
      </c>
      <c r="F71" t="s">
        <v>7</v>
      </c>
      <c r="G71" t="s">
        <v>8</v>
      </c>
      <c r="H71">
        <v>3182.13</v>
      </c>
    </row>
    <row r="72" spans="1:8" x14ac:dyDescent="0.3">
      <c r="A72">
        <v>202011</v>
      </c>
      <c r="B72" s="1">
        <v>44136</v>
      </c>
      <c r="C72">
        <v>2020</v>
      </c>
      <c r="D72" t="s">
        <v>18</v>
      </c>
      <c r="E72" t="s">
        <v>7</v>
      </c>
      <c r="F72" t="s">
        <v>7</v>
      </c>
      <c r="G72" t="s">
        <v>8</v>
      </c>
      <c r="H72">
        <v>3980.08</v>
      </c>
    </row>
    <row r="73" spans="1:8" x14ac:dyDescent="0.3">
      <c r="A73">
        <v>202012</v>
      </c>
      <c r="B73" s="1">
        <v>44166</v>
      </c>
      <c r="C73">
        <v>2020</v>
      </c>
      <c r="D73" t="s">
        <v>19</v>
      </c>
      <c r="E73" t="s">
        <v>7</v>
      </c>
      <c r="F73" t="s">
        <v>7</v>
      </c>
      <c r="G73" t="s">
        <v>8</v>
      </c>
      <c r="H73">
        <v>5903.42</v>
      </c>
    </row>
    <row r="74" spans="1:8" x14ac:dyDescent="0.3">
      <c r="A74">
        <v>202001</v>
      </c>
      <c r="B74" s="1">
        <v>43831</v>
      </c>
      <c r="C74">
        <v>2020</v>
      </c>
      <c r="D74" t="s">
        <v>6</v>
      </c>
      <c r="E74" t="s">
        <v>7</v>
      </c>
      <c r="F74" t="s">
        <v>7</v>
      </c>
      <c r="G74" t="s">
        <v>8</v>
      </c>
      <c r="H74">
        <v>732.75</v>
      </c>
    </row>
    <row r="75" spans="1:8" x14ac:dyDescent="0.3">
      <c r="A75">
        <v>202002</v>
      </c>
      <c r="B75" s="1">
        <v>43862</v>
      </c>
      <c r="C75">
        <v>2020</v>
      </c>
      <c r="D75" t="s">
        <v>9</v>
      </c>
      <c r="E75" t="s">
        <v>7</v>
      </c>
      <c r="F75" t="s">
        <v>7</v>
      </c>
      <c r="G75" t="s">
        <v>8</v>
      </c>
      <c r="H75">
        <v>533.85</v>
      </c>
    </row>
    <row r="76" spans="1:8" x14ac:dyDescent="0.3">
      <c r="A76">
        <v>202003</v>
      </c>
      <c r="B76" s="1">
        <v>43891</v>
      </c>
      <c r="C76">
        <v>2020</v>
      </c>
      <c r="D76" t="s">
        <v>10</v>
      </c>
      <c r="E76" t="s">
        <v>7</v>
      </c>
      <c r="F76" t="s">
        <v>7</v>
      </c>
      <c r="G76" t="s">
        <v>8</v>
      </c>
      <c r="H76">
        <v>412.84</v>
      </c>
    </row>
    <row r="77" spans="1:8" x14ac:dyDescent="0.3">
      <c r="A77">
        <v>202004</v>
      </c>
      <c r="B77" s="1">
        <v>43922</v>
      </c>
      <c r="C77">
        <v>2020</v>
      </c>
      <c r="D77" t="s">
        <v>11</v>
      </c>
      <c r="E77" t="s">
        <v>7</v>
      </c>
      <c r="F77" t="s">
        <v>7</v>
      </c>
      <c r="G77" t="s">
        <v>8</v>
      </c>
      <c r="H77">
        <v>136.12</v>
      </c>
    </row>
    <row r="78" spans="1:8" x14ac:dyDescent="0.3">
      <c r="A78">
        <v>202005</v>
      </c>
      <c r="B78" s="1">
        <v>43952</v>
      </c>
      <c r="C78">
        <v>2020</v>
      </c>
      <c r="D78" t="s">
        <v>12</v>
      </c>
      <c r="E78" t="s">
        <v>7</v>
      </c>
      <c r="F78" t="s">
        <v>7</v>
      </c>
      <c r="G78" t="s">
        <v>8</v>
      </c>
      <c r="H78">
        <v>249.48</v>
      </c>
    </row>
    <row r="79" spans="1:8" x14ac:dyDescent="0.3">
      <c r="A79">
        <v>202006</v>
      </c>
      <c r="B79" s="1">
        <v>43983</v>
      </c>
      <c r="C79">
        <v>2020</v>
      </c>
      <c r="D79" t="s">
        <v>13</v>
      </c>
      <c r="E79" t="s">
        <v>7</v>
      </c>
      <c r="F79" t="s">
        <v>7</v>
      </c>
      <c r="G79" t="s">
        <v>8</v>
      </c>
      <c r="H79">
        <v>997.45</v>
      </c>
    </row>
    <row r="80" spans="1:8" x14ac:dyDescent="0.3">
      <c r="A80">
        <v>202007</v>
      </c>
      <c r="B80" s="1">
        <v>44013</v>
      </c>
      <c r="C80">
        <v>2020</v>
      </c>
      <c r="D80" t="s">
        <v>14</v>
      </c>
      <c r="E80" t="s">
        <v>7</v>
      </c>
      <c r="F80" t="s">
        <v>7</v>
      </c>
      <c r="G80" t="s">
        <v>8</v>
      </c>
      <c r="H80">
        <v>466.08</v>
      </c>
    </row>
    <row r="81" spans="1:8" x14ac:dyDescent="0.3">
      <c r="A81">
        <v>202008</v>
      </c>
      <c r="B81" s="1">
        <v>44044</v>
      </c>
      <c r="C81">
        <v>2020</v>
      </c>
      <c r="D81" t="s">
        <v>15</v>
      </c>
      <c r="E81" t="s">
        <v>7</v>
      </c>
      <c r="F81" t="s">
        <v>7</v>
      </c>
      <c r="G81" t="s">
        <v>8</v>
      </c>
      <c r="H81">
        <v>434.29</v>
      </c>
    </row>
    <row r="82" spans="1:8" x14ac:dyDescent="0.3">
      <c r="A82">
        <v>202009</v>
      </c>
      <c r="B82" s="1">
        <v>44075</v>
      </c>
      <c r="C82">
        <v>2020</v>
      </c>
      <c r="D82" t="s">
        <v>16</v>
      </c>
      <c r="E82" t="s">
        <v>7</v>
      </c>
      <c r="F82" t="s">
        <v>7</v>
      </c>
      <c r="G82" t="s">
        <v>8</v>
      </c>
      <c r="H82">
        <v>448.42</v>
      </c>
    </row>
    <row r="83" spans="1:8" x14ac:dyDescent="0.3">
      <c r="A83">
        <v>202010</v>
      </c>
      <c r="B83" s="1">
        <v>44105</v>
      </c>
      <c r="C83">
        <v>2020</v>
      </c>
      <c r="D83" t="s">
        <v>17</v>
      </c>
      <c r="E83" t="s">
        <v>7</v>
      </c>
      <c r="F83" t="s">
        <v>7</v>
      </c>
      <c r="G83" t="s">
        <v>8</v>
      </c>
      <c r="H83">
        <v>507.13</v>
      </c>
    </row>
    <row r="84" spans="1:8" x14ac:dyDescent="0.3">
      <c r="A84">
        <v>202011</v>
      </c>
      <c r="B84" s="1">
        <v>44136</v>
      </c>
      <c r="C84">
        <v>2020</v>
      </c>
      <c r="D84" t="s">
        <v>18</v>
      </c>
      <c r="E84" t="s">
        <v>7</v>
      </c>
      <c r="F84" t="s">
        <v>7</v>
      </c>
      <c r="G84" t="s">
        <v>8</v>
      </c>
      <c r="H84">
        <v>568.83000000000004</v>
      </c>
    </row>
    <row r="85" spans="1:8" x14ac:dyDescent="0.3">
      <c r="A85">
        <v>202012</v>
      </c>
      <c r="B85" s="1">
        <v>44166</v>
      </c>
      <c r="C85">
        <v>2020</v>
      </c>
      <c r="D85" t="s">
        <v>19</v>
      </c>
      <c r="E85" t="s">
        <v>7</v>
      </c>
      <c r="F85" t="s">
        <v>7</v>
      </c>
      <c r="G85" t="s">
        <v>8</v>
      </c>
      <c r="H85">
        <v>522.42999999999995</v>
      </c>
    </row>
    <row r="86" spans="1:8" x14ac:dyDescent="0.3">
      <c r="A86">
        <v>202001</v>
      </c>
      <c r="B86" s="1">
        <v>43831</v>
      </c>
      <c r="C86">
        <v>2020</v>
      </c>
      <c r="D86" t="s">
        <v>6</v>
      </c>
      <c r="E86" t="s">
        <v>7</v>
      </c>
      <c r="F86" t="s">
        <v>7</v>
      </c>
      <c r="G86" t="s">
        <v>8</v>
      </c>
      <c r="H86">
        <v>1251.1600000000001</v>
      </c>
    </row>
    <row r="87" spans="1:8" x14ac:dyDescent="0.3">
      <c r="A87">
        <v>202002</v>
      </c>
      <c r="B87" s="1">
        <v>43862</v>
      </c>
      <c r="C87">
        <v>2020</v>
      </c>
      <c r="D87" t="s">
        <v>9</v>
      </c>
      <c r="E87" t="s">
        <v>7</v>
      </c>
      <c r="F87" t="s">
        <v>7</v>
      </c>
      <c r="G87" t="s">
        <v>8</v>
      </c>
      <c r="H87">
        <v>906.64</v>
      </c>
    </row>
    <row r="88" spans="1:8" x14ac:dyDescent="0.3">
      <c r="A88">
        <v>202003</v>
      </c>
      <c r="B88" s="1">
        <v>43891</v>
      </c>
      <c r="C88">
        <v>2020</v>
      </c>
      <c r="D88" t="s">
        <v>10</v>
      </c>
      <c r="E88" t="s">
        <v>7</v>
      </c>
      <c r="F88" t="s">
        <v>7</v>
      </c>
      <c r="G88" t="s">
        <v>8</v>
      </c>
      <c r="H88">
        <v>816.82</v>
      </c>
    </row>
    <row r="89" spans="1:8" x14ac:dyDescent="0.3">
      <c r="A89">
        <v>202004</v>
      </c>
      <c r="B89" s="1">
        <v>43922</v>
      </c>
      <c r="C89">
        <v>2020</v>
      </c>
      <c r="D89" t="s">
        <v>11</v>
      </c>
      <c r="E89" t="s">
        <v>7</v>
      </c>
      <c r="F89" t="s">
        <v>7</v>
      </c>
      <c r="G89" t="s">
        <v>8</v>
      </c>
      <c r="H89">
        <v>401.05</v>
      </c>
    </row>
    <row r="90" spans="1:8" x14ac:dyDescent="0.3">
      <c r="A90">
        <v>202005</v>
      </c>
      <c r="B90" s="1">
        <v>43952</v>
      </c>
      <c r="C90">
        <v>2020</v>
      </c>
      <c r="D90" t="s">
        <v>12</v>
      </c>
      <c r="E90" t="s">
        <v>7</v>
      </c>
      <c r="F90" t="s">
        <v>7</v>
      </c>
      <c r="G90" t="s">
        <v>8</v>
      </c>
      <c r="H90">
        <v>619.71</v>
      </c>
    </row>
    <row r="91" spans="1:8" x14ac:dyDescent="0.3">
      <c r="A91">
        <v>202006</v>
      </c>
      <c r="B91" s="1">
        <v>43983</v>
      </c>
      <c r="C91">
        <v>2020</v>
      </c>
      <c r="D91" t="s">
        <v>13</v>
      </c>
      <c r="E91" t="s">
        <v>7</v>
      </c>
      <c r="F91" t="s">
        <v>7</v>
      </c>
      <c r="G91" t="s">
        <v>8</v>
      </c>
      <c r="H91">
        <v>2176.58</v>
      </c>
    </row>
    <row r="92" spans="1:8" x14ac:dyDescent="0.3">
      <c r="A92">
        <v>202007</v>
      </c>
      <c r="B92" s="1">
        <v>44013</v>
      </c>
      <c r="C92">
        <v>2020</v>
      </c>
      <c r="D92" t="s">
        <v>14</v>
      </c>
      <c r="E92" t="s">
        <v>7</v>
      </c>
      <c r="F92" t="s">
        <v>7</v>
      </c>
      <c r="G92" t="s">
        <v>8</v>
      </c>
      <c r="H92">
        <v>955.8</v>
      </c>
    </row>
    <row r="93" spans="1:8" x14ac:dyDescent="0.3">
      <c r="A93">
        <v>202008</v>
      </c>
      <c r="B93" s="1">
        <v>44044</v>
      </c>
      <c r="C93">
        <v>2020</v>
      </c>
      <c r="D93" t="s">
        <v>15</v>
      </c>
      <c r="E93" t="s">
        <v>7</v>
      </c>
      <c r="F93" t="s">
        <v>7</v>
      </c>
      <c r="G93" t="s">
        <v>8</v>
      </c>
      <c r="H93">
        <v>989.43</v>
      </c>
    </row>
    <row r="94" spans="1:8" x14ac:dyDescent="0.3">
      <c r="A94">
        <v>202009</v>
      </c>
      <c r="B94" s="1">
        <v>44075</v>
      </c>
      <c r="C94">
        <v>2020</v>
      </c>
      <c r="D94" t="s">
        <v>16</v>
      </c>
      <c r="E94" t="s">
        <v>7</v>
      </c>
      <c r="F94" t="s">
        <v>7</v>
      </c>
      <c r="G94" t="s">
        <v>8</v>
      </c>
      <c r="H94">
        <v>813.45</v>
      </c>
    </row>
    <row r="95" spans="1:8" x14ac:dyDescent="0.3">
      <c r="A95">
        <v>202010</v>
      </c>
      <c r="B95" s="1">
        <v>44105</v>
      </c>
      <c r="C95">
        <v>2020</v>
      </c>
      <c r="D95" t="s">
        <v>17</v>
      </c>
      <c r="E95" t="s">
        <v>7</v>
      </c>
      <c r="F95" t="s">
        <v>7</v>
      </c>
      <c r="G95" t="s">
        <v>8</v>
      </c>
      <c r="H95">
        <v>859.56</v>
      </c>
    </row>
    <row r="96" spans="1:8" x14ac:dyDescent="0.3">
      <c r="A96">
        <v>202011</v>
      </c>
      <c r="B96" s="1">
        <v>44136</v>
      </c>
      <c r="C96">
        <v>2020</v>
      </c>
      <c r="D96" t="s">
        <v>18</v>
      </c>
      <c r="E96" t="s">
        <v>7</v>
      </c>
      <c r="F96" t="s">
        <v>7</v>
      </c>
      <c r="G96" t="s">
        <v>8</v>
      </c>
      <c r="H96">
        <v>1134.96</v>
      </c>
    </row>
    <row r="97" spans="1:8" x14ac:dyDescent="0.3">
      <c r="A97">
        <v>202012</v>
      </c>
      <c r="B97" s="1">
        <v>44166</v>
      </c>
      <c r="C97">
        <v>2020</v>
      </c>
      <c r="D97" t="s">
        <v>19</v>
      </c>
      <c r="E97" t="s">
        <v>7</v>
      </c>
      <c r="F97" t="s">
        <v>7</v>
      </c>
      <c r="G97" t="s">
        <v>8</v>
      </c>
      <c r="H97">
        <v>1120.01</v>
      </c>
    </row>
    <row r="98" spans="1:8" x14ac:dyDescent="0.3">
      <c r="A98">
        <v>202001</v>
      </c>
      <c r="B98" s="1">
        <v>43831</v>
      </c>
      <c r="C98">
        <v>2020</v>
      </c>
      <c r="D98" t="s">
        <v>6</v>
      </c>
      <c r="E98" t="s">
        <v>7</v>
      </c>
      <c r="F98" t="s">
        <v>7</v>
      </c>
      <c r="G98" t="s">
        <v>8</v>
      </c>
      <c r="H98">
        <v>1804.03</v>
      </c>
    </row>
    <row r="99" spans="1:8" x14ac:dyDescent="0.3">
      <c r="A99">
        <v>202002</v>
      </c>
      <c r="B99" s="1">
        <v>43862</v>
      </c>
      <c r="C99">
        <v>2020</v>
      </c>
      <c r="D99" t="s">
        <v>9</v>
      </c>
      <c r="E99" t="s">
        <v>7</v>
      </c>
      <c r="F99" t="s">
        <v>7</v>
      </c>
      <c r="G99" t="s">
        <v>8</v>
      </c>
      <c r="H99">
        <v>1136.99</v>
      </c>
    </row>
    <row r="100" spans="1:8" x14ac:dyDescent="0.3">
      <c r="A100">
        <v>202003</v>
      </c>
      <c r="B100" s="1">
        <v>43891</v>
      </c>
      <c r="C100">
        <v>2020</v>
      </c>
      <c r="D100" t="s">
        <v>10</v>
      </c>
      <c r="E100" t="s">
        <v>7</v>
      </c>
      <c r="F100" t="s">
        <v>7</v>
      </c>
      <c r="G100" t="s">
        <v>8</v>
      </c>
      <c r="H100">
        <v>849.54</v>
      </c>
    </row>
    <row r="101" spans="1:8" x14ac:dyDescent="0.3">
      <c r="A101">
        <v>202004</v>
      </c>
      <c r="B101" s="1">
        <v>43922</v>
      </c>
      <c r="C101">
        <v>2020</v>
      </c>
      <c r="D101" t="s">
        <v>11</v>
      </c>
      <c r="E101" t="s">
        <v>7</v>
      </c>
      <c r="F101" t="s">
        <v>7</v>
      </c>
      <c r="G101" t="s">
        <v>8</v>
      </c>
      <c r="H101">
        <v>212.74</v>
      </c>
    </row>
    <row r="102" spans="1:8" x14ac:dyDescent="0.3">
      <c r="A102">
        <v>202005</v>
      </c>
      <c r="B102" s="1">
        <v>43952</v>
      </c>
      <c r="C102">
        <v>2020</v>
      </c>
      <c r="D102" t="s">
        <v>12</v>
      </c>
      <c r="E102" t="s">
        <v>7</v>
      </c>
      <c r="F102" t="s">
        <v>7</v>
      </c>
      <c r="G102" t="s">
        <v>8</v>
      </c>
      <c r="H102">
        <v>588.91</v>
      </c>
    </row>
    <row r="103" spans="1:8" x14ac:dyDescent="0.3">
      <c r="A103">
        <v>202006</v>
      </c>
      <c r="B103" s="1">
        <v>43983</v>
      </c>
      <c r="C103">
        <v>2020</v>
      </c>
      <c r="D103" t="s">
        <v>13</v>
      </c>
      <c r="E103" t="s">
        <v>7</v>
      </c>
      <c r="F103" t="s">
        <v>7</v>
      </c>
      <c r="G103" t="s">
        <v>8</v>
      </c>
      <c r="H103">
        <v>2209.0100000000002</v>
      </c>
    </row>
    <row r="104" spans="1:8" x14ac:dyDescent="0.3">
      <c r="A104">
        <v>202007</v>
      </c>
      <c r="B104" s="1">
        <v>44013</v>
      </c>
      <c r="C104">
        <v>2020</v>
      </c>
      <c r="D104" t="s">
        <v>14</v>
      </c>
      <c r="E104" t="s">
        <v>7</v>
      </c>
      <c r="F104" t="s">
        <v>7</v>
      </c>
      <c r="G104" t="s">
        <v>8</v>
      </c>
      <c r="H104">
        <v>825.28</v>
      </c>
    </row>
    <row r="105" spans="1:8" x14ac:dyDescent="0.3">
      <c r="A105">
        <v>202008</v>
      </c>
      <c r="B105" s="1">
        <v>44044</v>
      </c>
      <c r="C105">
        <v>2020</v>
      </c>
      <c r="D105" t="s">
        <v>15</v>
      </c>
      <c r="E105" t="s">
        <v>7</v>
      </c>
      <c r="F105" t="s">
        <v>7</v>
      </c>
      <c r="G105" t="s">
        <v>8</v>
      </c>
      <c r="H105">
        <v>947.73</v>
      </c>
    </row>
    <row r="106" spans="1:8" x14ac:dyDescent="0.3">
      <c r="A106">
        <v>202009</v>
      </c>
      <c r="B106" s="1">
        <v>44075</v>
      </c>
      <c r="C106">
        <v>2020</v>
      </c>
      <c r="D106" t="s">
        <v>16</v>
      </c>
      <c r="E106" t="s">
        <v>7</v>
      </c>
      <c r="F106" t="s">
        <v>7</v>
      </c>
      <c r="G106" t="s">
        <v>8</v>
      </c>
      <c r="H106">
        <v>1012.98</v>
      </c>
    </row>
    <row r="107" spans="1:8" x14ac:dyDescent="0.3">
      <c r="A107">
        <v>202010</v>
      </c>
      <c r="B107" s="1">
        <v>44105</v>
      </c>
      <c r="C107">
        <v>2020</v>
      </c>
      <c r="D107" t="s">
        <v>17</v>
      </c>
      <c r="E107" t="s">
        <v>7</v>
      </c>
      <c r="F107" t="s">
        <v>7</v>
      </c>
      <c r="G107" t="s">
        <v>8</v>
      </c>
      <c r="H107">
        <v>1137.27</v>
      </c>
    </row>
    <row r="108" spans="1:8" x14ac:dyDescent="0.3">
      <c r="A108">
        <v>202011</v>
      </c>
      <c r="B108" s="1">
        <v>44136</v>
      </c>
      <c r="C108">
        <v>2020</v>
      </c>
      <c r="D108" t="s">
        <v>18</v>
      </c>
      <c r="E108" t="s">
        <v>7</v>
      </c>
      <c r="F108" t="s">
        <v>7</v>
      </c>
      <c r="G108" t="s">
        <v>8</v>
      </c>
      <c r="H108">
        <v>1210.4000000000001</v>
      </c>
    </row>
    <row r="109" spans="1:8" x14ac:dyDescent="0.3">
      <c r="A109">
        <v>202012</v>
      </c>
      <c r="B109" s="1">
        <v>44166</v>
      </c>
      <c r="C109">
        <v>2020</v>
      </c>
      <c r="D109" t="s">
        <v>19</v>
      </c>
      <c r="E109" t="s">
        <v>7</v>
      </c>
      <c r="F109" t="s">
        <v>7</v>
      </c>
      <c r="G109" t="s">
        <v>8</v>
      </c>
      <c r="H109">
        <v>1514.68</v>
      </c>
    </row>
    <row r="110" spans="1:8" x14ac:dyDescent="0.3">
      <c r="A110">
        <v>202001</v>
      </c>
      <c r="B110" s="1">
        <v>43831</v>
      </c>
      <c r="C110">
        <v>2020</v>
      </c>
      <c r="D110" t="s">
        <v>6</v>
      </c>
      <c r="E110" t="s">
        <v>7</v>
      </c>
      <c r="F110" t="s">
        <v>7</v>
      </c>
      <c r="G110" t="s">
        <v>8</v>
      </c>
      <c r="H110">
        <v>1798.91</v>
      </c>
    </row>
    <row r="111" spans="1:8" x14ac:dyDescent="0.3">
      <c r="A111">
        <v>202002</v>
      </c>
      <c r="B111" s="1">
        <v>43862</v>
      </c>
      <c r="C111">
        <v>2020</v>
      </c>
      <c r="D111" t="s">
        <v>9</v>
      </c>
      <c r="E111" t="s">
        <v>7</v>
      </c>
      <c r="F111" t="s">
        <v>7</v>
      </c>
      <c r="G111" t="s">
        <v>8</v>
      </c>
      <c r="H111">
        <v>1375.6</v>
      </c>
    </row>
    <row r="112" spans="1:8" x14ac:dyDescent="0.3">
      <c r="A112">
        <v>202003</v>
      </c>
      <c r="B112" s="1">
        <v>43891</v>
      </c>
      <c r="C112">
        <v>2020</v>
      </c>
      <c r="D112" t="s">
        <v>10</v>
      </c>
      <c r="E112" t="s">
        <v>7</v>
      </c>
      <c r="F112" t="s">
        <v>7</v>
      </c>
      <c r="G112" t="s">
        <v>8</v>
      </c>
      <c r="H112">
        <v>1056.27</v>
      </c>
    </row>
    <row r="113" spans="1:8" x14ac:dyDescent="0.3">
      <c r="A113">
        <v>202004</v>
      </c>
      <c r="B113" s="1">
        <v>43922</v>
      </c>
      <c r="C113">
        <v>2020</v>
      </c>
      <c r="D113" t="s">
        <v>11</v>
      </c>
      <c r="E113" t="s">
        <v>7</v>
      </c>
      <c r="F113" t="s">
        <v>7</v>
      </c>
      <c r="G113" t="s">
        <v>8</v>
      </c>
      <c r="H113">
        <v>304.82</v>
      </c>
    </row>
    <row r="114" spans="1:8" x14ac:dyDescent="0.3">
      <c r="A114">
        <v>202005</v>
      </c>
      <c r="B114" s="1">
        <v>43952</v>
      </c>
      <c r="C114">
        <v>2020</v>
      </c>
      <c r="D114" t="s">
        <v>12</v>
      </c>
      <c r="E114" t="s">
        <v>7</v>
      </c>
      <c r="F114" t="s">
        <v>7</v>
      </c>
      <c r="G114" t="s">
        <v>8</v>
      </c>
      <c r="H114">
        <v>791.71</v>
      </c>
    </row>
    <row r="115" spans="1:8" x14ac:dyDescent="0.3">
      <c r="A115">
        <v>202006</v>
      </c>
      <c r="B115" s="1">
        <v>43983</v>
      </c>
      <c r="C115">
        <v>2020</v>
      </c>
      <c r="D115" t="s">
        <v>13</v>
      </c>
      <c r="E115" t="s">
        <v>7</v>
      </c>
      <c r="F115" t="s">
        <v>7</v>
      </c>
      <c r="G115" t="s">
        <v>8</v>
      </c>
      <c r="H115">
        <v>3182.13</v>
      </c>
    </row>
    <row r="116" spans="1:8" x14ac:dyDescent="0.3">
      <c r="A116">
        <v>202007</v>
      </c>
      <c r="B116" s="1">
        <v>44013</v>
      </c>
      <c r="C116">
        <v>2020</v>
      </c>
      <c r="D116" t="s">
        <v>14</v>
      </c>
      <c r="E116" t="s">
        <v>7</v>
      </c>
      <c r="F116" t="s">
        <v>7</v>
      </c>
      <c r="G116" t="s">
        <v>8</v>
      </c>
      <c r="H116">
        <v>1123.6300000000001</v>
      </c>
    </row>
    <row r="117" spans="1:8" x14ac:dyDescent="0.3">
      <c r="A117">
        <v>202008</v>
      </c>
      <c r="B117" s="1">
        <v>44044</v>
      </c>
      <c r="C117">
        <v>2020</v>
      </c>
      <c r="D117" t="s">
        <v>15</v>
      </c>
      <c r="E117" t="s">
        <v>7</v>
      </c>
      <c r="F117" t="s">
        <v>7</v>
      </c>
      <c r="G117" t="s">
        <v>8</v>
      </c>
      <c r="H117">
        <v>980.83</v>
      </c>
    </row>
    <row r="118" spans="1:8" x14ac:dyDescent="0.3">
      <c r="A118">
        <v>202009</v>
      </c>
      <c r="B118" s="1">
        <v>44075</v>
      </c>
      <c r="C118">
        <v>2020</v>
      </c>
      <c r="D118" t="s">
        <v>16</v>
      </c>
      <c r="E118" t="s">
        <v>7</v>
      </c>
      <c r="F118" t="s">
        <v>7</v>
      </c>
      <c r="G118" t="s">
        <v>8</v>
      </c>
      <c r="H118">
        <v>1108.9100000000001</v>
      </c>
    </row>
    <row r="119" spans="1:8" x14ac:dyDescent="0.3">
      <c r="A119">
        <v>202010</v>
      </c>
      <c r="B119" s="1">
        <v>44105</v>
      </c>
      <c r="C119">
        <v>2020</v>
      </c>
      <c r="D119" t="s">
        <v>17</v>
      </c>
      <c r="E119" t="s">
        <v>7</v>
      </c>
      <c r="F119" t="s">
        <v>7</v>
      </c>
      <c r="G119" t="s">
        <v>8</v>
      </c>
      <c r="H119">
        <v>1065.4100000000001</v>
      </c>
    </row>
    <row r="120" spans="1:8" x14ac:dyDescent="0.3">
      <c r="A120">
        <v>202011</v>
      </c>
      <c r="B120" s="1">
        <v>44136</v>
      </c>
      <c r="C120">
        <v>2020</v>
      </c>
      <c r="D120" t="s">
        <v>18</v>
      </c>
      <c r="E120" t="s">
        <v>7</v>
      </c>
      <c r="F120" t="s">
        <v>7</v>
      </c>
      <c r="G120" t="s">
        <v>8</v>
      </c>
      <c r="H120">
        <v>1524.4</v>
      </c>
    </row>
    <row r="121" spans="1:8" x14ac:dyDescent="0.3">
      <c r="A121">
        <v>202012</v>
      </c>
      <c r="B121" s="1">
        <v>44166</v>
      </c>
      <c r="C121">
        <v>2020</v>
      </c>
      <c r="D121" t="s">
        <v>19</v>
      </c>
      <c r="E121" t="s">
        <v>7</v>
      </c>
      <c r="F121" t="s">
        <v>7</v>
      </c>
      <c r="G121" t="s">
        <v>8</v>
      </c>
      <c r="H121">
        <v>1324.25</v>
      </c>
    </row>
    <row r="122" spans="1:8" x14ac:dyDescent="0.3">
      <c r="A122">
        <v>202001</v>
      </c>
      <c r="B122" s="1">
        <v>43831</v>
      </c>
      <c r="C122">
        <v>2020</v>
      </c>
      <c r="D122" t="s">
        <v>6</v>
      </c>
      <c r="E122" t="s">
        <v>7</v>
      </c>
      <c r="F122" t="s">
        <v>7</v>
      </c>
      <c r="G122" t="s">
        <v>8</v>
      </c>
      <c r="H122">
        <v>4004.09</v>
      </c>
    </row>
    <row r="123" spans="1:8" x14ac:dyDescent="0.3">
      <c r="A123">
        <v>202002</v>
      </c>
      <c r="B123" s="1">
        <v>43862</v>
      </c>
      <c r="C123">
        <v>2020</v>
      </c>
      <c r="D123" t="s">
        <v>9</v>
      </c>
      <c r="E123" t="s">
        <v>7</v>
      </c>
      <c r="F123" t="s">
        <v>7</v>
      </c>
      <c r="G123" t="s">
        <v>8</v>
      </c>
      <c r="H123">
        <v>2771.35</v>
      </c>
    </row>
    <row r="124" spans="1:8" x14ac:dyDescent="0.3">
      <c r="A124">
        <v>202003</v>
      </c>
      <c r="B124" s="1">
        <v>43891</v>
      </c>
      <c r="C124">
        <v>2020</v>
      </c>
      <c r="D124" t="s">
        <v>10</v>
      </c>
      <c r="E124" t="s">
        <v>7</v>
      </c>
      <c r="F124" t="s">
        <v>7</v>
      </c>
      <c r="G124" t="s">
        <v>8</v>
      </c>
      <c r="H124">
        <v>2132.17</v>
      </c>
    </row>
    <row r="125" spans="1:8" x14ac:dyDescent="0.3">
      <c r="A125">
        <v>202004</v>
      </c>
      <c r="B125" s="1">
        <v>43922</v>
      </c>
      <c r="C125">
        <v>2020</v>
      </c>
      <c r="D125" t="s">
        <v>11</v>
      </c>
      <c r="E125" t="s">
        <v>7</v>
      </c>
      <c r="F125" t="s">
        <v>7</v>
      </c>
      <c r="G125" t="s">
        <v>8</v>
      </c>
      <c r="H125">
        <v>979.99</v>
      </c>
    </row>
    <row r="126" spans="1:8" x14ac:dyDescent="0.3">
      <c r="A126">
        <v>202005</v>
      </c>
      <c r="B126" s="1">
        <v>43952</v>
      </c>
      <c r="C126">
        <v>2020</v>
      </c>
      <c r="D126" t="s">
        <v>12</v>
      </c>
      <c r="E126" t="s">
        <v>7</v>
      </c>
      <c r="F126" t="s">
        <v>7</v>
      </c>
      <c r="G126" t="s">
        <v>8</v>
      </c>
      <c r="H126">
        <v>2039.28</v>
      </c>
    </row>
    <row r="127" spans="1:8" x14ac:dyDescent="0.3">
      <c r="A127">
        <v>202006</v>
      </c>
      <c r="B127" s="1">
        <v>43983</v>
      </c>
      <c r="C127">
        <v>2020</v>
      </c>
      <c r="D127" t="s">
        <v>13</v>
      </c>
      <c r="E127" t="s">
        <v>7</v>
      </c>
      <c r="F127" t="s">
        <v>7</v>
      </c>
      <c r="G127" t="s">
        <v>8</v>
      </c>
      <c r="H127">
        <v>5927.88</v>
      </c>
    </row>
    <row r="128" spans="1:8" x14ac:dyDescent="0.3">
      <c r="A128">
        <v>202007</v>
      </c>
      <c r="B128" s="1">
        <v>44013</v>
      </c>
      <c r="C128">
        <v>2020</v>
      </c>
      <c r="D128" t="s">
        <v>14</v>
      </c>
      <c r="E128" t="s">
        <v>7</v>
      </c>
      <c r="F128" t="s">
        <v>7</v>
      </c>
      <c r="G128" t="s">
        <v>8</v>
      </c>
      <c r="H128">
        <v>2553.9899999999998</v>
      </c>
    </row>
    <row r="129" spans="1:8" x14ac:dyDescent="0.3">
      <c r="A129">
        <v>202008</v>
      </c>
      <c r="B129" s="1">
        <v>44044</v>
      </c>
      <c r="C129">
        <v>2020</v>
      </c>
      <c r="D129" t="s">
        <v>15</v>
      </c>
      <c r="E129" t="s">
        <v>7</v>
      </c>
      <c r="F129" t="s">
        <v>7</v>
      </c>
      <c r="G129" t="s">
        <v>8</v>
      </c>
      <c r="H129">
        <v>3056.65</v>
      </c>
    </row>
    <row r="130" spans="1:8" x14ac:dyDescent="0.3">
      <c r="A130">
        <v>202009</v>
      </c>
      <c r="B130" s="1">
        <v>44075</v>
      </c>
      <c r="C130">
        <v>2020</v>
      </c>
      <c r="D130" t="s">
        <v>16</v>
      </c>
      <c r="E130" t="s">
        <v>7</v>
      </c>
      <c r="F130" t="s">
        <v>7</v>
      </c>
      <c r="G130" t="s">
        <v>8</v>
      </c>
      <c r="H130">
        <v>2249.4499999999998</v>
      </c>
    </row>
    <row r="131" spans="1:8" x14ac:dyDescent="0.3">
      <c r="A131">
        <v>202010</v>
      </c>
      <c r="B131" s="1">
        <v>44105</v>
      </c>
      <c r="C131">
        <v>2020</v>
      </c>
      <c r="D131" t="s">
        <v>17</v>
      </c>
      <c r="E131" t="s">
        <v>7</v>
      </c>
      <c r="F131" t="s">
        <v>7</v>
      </c>
      <c r="G131" t="s">
        <v>8</v>
      </c>
      <c r="H131">
        <v>2730.19</v>
      </c>
    </row>
    <row r="132" spans="1:8" x14ac:dyDescent="0.3">
      <c r="A132">
        <v>202011</v>
      </c>
      <c r="B132" s="1">
        <v>44136</v>
      </c>
      <c r="C132">
        <v>2020</v>
      </c>
      <c r="D132" t="s">
        <v>18</v>
      </c>
      <c r="E132" t="s">
        <v>7</v>
      </c>
      <c r="F132" t="s">
        <v>7</v>
      </c>
      <c r="G132" t="s">
        <v>8</v>
      </c>
      <c r="H132">
        <v>3283.24</v>
      </c>
    </row>
    <row r="133" spans="1:8" x14ac:dyDescent="0.3">
      <c r="A133">
        <v>202012</v>
      </c>
      <c r="B133" s="1">
        <v>44166</v>
      </c>
      <c r="C133">
        <v>2020</v>
      </c>
      <c r="D133" t="s">
        <v>19</v>
      </c>
      <c r="E133" t="s">
        <v>7</v>
      </c>
      <c r="F133" t="s">
        <v>7</v>
      </c>
      <c r="G133" t="s">
        <v>8</v>
      </c>
      <c r="H133">
        <v>2975.08</v>
      </c>
    </row>
    <row r="134" spans="1:8" x14ac:dyDescent="0.3">
      <c r="A134">
        <v>202001</v>
      </c>
      <c r="B134" s="1">
        <v>43831</v>
      </c>
      <c r="C134">
        <v>2020</v>
      </c>
      <c r="D134" t="s">
        <v>6</v>
      </c>
      <c r="E134" t="s">
        <v>7</v>
      </c>
      <c r="F134" t="s">
        <v>7</v>
      </c>
      <c r="G134" t="s">
        <v>8</v>
      </c>
      <c r="H134">
        <v>7264.87</v>
      </c>
    </row>
    <row r="135" spans="1:8" x14ac:dyDescent="0.3">
      <c r="A135">
        <v>202002</v>
      </c>
      <c r="B135" s="1">
        <v>43862</v>
      </c>
      <c r="C135">
        <v>2020</v>
      </c>
      <c r="D135" t="s">
        <v>9</v>
      </c>
      <c r="E135" t="s">
        <v>7</v>
      </c>
      <c r="F135" t="s">
        <v>7</v>
      </c>
      <c r="G135" t="s">
        <v>8</v>
      </c>
      <c r="H135">
        <v>6011.83</v>
      </c>
    </row>
    <row r="136" spans="1:8" x14ac:dyDescent="0.3">
      <c r="A136">
        <v>202003</v>
      </c>
      <c r="B136" s="1">
        <v>43891</v>
      </c>
      <c r="C136">
        <v>2020</v>
      </c>
      <c r="D136" t="s">
        <v>10</v>
      </c>
      <c r="E136" t="s">
        <v>7</v>
      </c>
      <c r="F136" t="s">
        <v>7</v>
      </c>
      <c r="G136" t="s">
        <v>8</v>
      </c>
      <c r="H136">
        <v>4615.92</v>
      </c>
    </row>
    <row r="137" spans="1:8" x14ac:dyDescent="0.3">
      <c r="A137">
        <v>202004</v>
      </c>
      <c r="B137" s="1">
        <v>43922</v>
      </c>
      <c r="C137">
        <v>2020</v>
      </c>
      <c r="D137" t="s">
        <v>11</v>
      </c>
      <c r="E137" t="s">
        <v>7</v>
      </c>
      <c r="F137" t="s">
        <v>7</v>
      </c>
      <c r="G137" t="s">
        <v>8</v>
      </c>
      <c r="H137">
        <v>1899.42</v>
      </c>
    </row>
    <row r="138" spans="1:8" x14ac:dyDescent="0.3">
      <c r="A138">
        <v>202005</v>
      </c>
      <c r="B138" s="1">
        <v>43952</v>
      </c>
      <c r="C138">
        <v>2020</v>
      </c>
      <c r="D138" t="s">
        <v>12</v>
      </c>
      <c r="E138" t="s">
        <v>7</v>
      </c>
      <c r="F138" t="s">
        <v>7</v>
      </c>
      <c r="G138" t="s">
        <v>8</v>
      </c>
      <c r="H138">
        <v>3051.74</v>
      </c>
    </row>
    <row r="139" spans="1:8" x14ac:dyDescent="0.3">
      <c r="A139">
        <v>202006</v>
      </c>
      <c r="B139" s="1">
        <v>43983</v>
      </c>
      <c r="C139">
        <v>2020</v>
      </c>
      <c r="D139" t="s">
        <v>13</v>
      </c>
      <c r="E139" t="s">
        <v>7</v>
      </c>
      <c r="F139" t="s">
        <v>7</v>
      </c>
      <c r="G139" t="s">
        <v>8</v>
      </c>
      <c r="H139">
        <v>11729.24</v>
      </c>
    </row>
    <row r="140" spans="1:8" x14ac:dyDescent="0.3">
      <c r="A140">
        <v>202007</v>
      </c>
      <c r="B140" s="1">
        <v>44013</v>
      </c>
      <c r="C140">
        <v>2020</v>
      </c>
      <c r="D140" t="s">
        <v>14</v>
      </c>
      <c r="E140" t="s">
        <v>7</v>
      </c>
      <c r="F140" t="s">
        <v>7</v>
      </c>
      <c r="G140" t="s">
        <v>8</v>
      </c>
      <c r="H140">
        <v>5250.25</v>
      </c>
    </row>
    <row r="141" spans="1:8" x14ac:dyDescent="0.3">
      <c r="A141">
        <v>202008</v>
      </c>
      <c r="B141" s="1">
        <v>44044</v>
      </c>
      <c r="C141">
        <v>2020</v>
      </c>
      <c r="D141" t="s">
        <v>15</v>
      </c>
      <c r="E141" t="s">
        <v>7</v>
      </c>
      <c r="F141" t="s">
        <v>7</v>
      </c>
      <c r="G141" t="s">
        <v>8</v>
      </c>
      <c r="H141">
        <v>4814.66</v>
      </c>
    </row>
    <row r="142" spans="1:8" x14ac:dyDescent="0.3">
      <c r="A142">
        <v>202009</v>
      </c>
      <c r="B142" s="1">
        <v>44075</v>
      </c>
      <c r="C142">
        <v>2020</v>
      </c>
      <c r="D142" t="s">
        <v>16</v>
      </c>
      <c r="E142" t="s">
        <v>7</v>
      </c>
      <c r="F142" t="s">
        <v>7</v>
      </c>
      <c r="G142" t="s">
        <v>8</v>
      </c>
      <c r="H142">
        <v>4784</v>
      </c>
    </row>
    <row r="143" spans="1:8" x14ac:dyDescent="0.3">
      <c r="A143">
        <v>202010</v>
      </c>
      <c r="B143" s="1">
        <v>44105</v>
      </c>
      <c r="C143">
        <v>2020</v>
      </c>
      <c r="D143" t="s">
        <v>17</v>
      </c>
      <c r="E143" t="s">
        <v>7</v>
      </c>
      <c r="F143" t="s">
        <v>7</v>
      </c>
      <c r="G143" t="s">
        <v>8</v>
      </c>
      <c r="H143">
        <v>5426.91</v>
      </c>
    </row>
    <row r="144" spans="1:8" x14ac:dyDescent="0.3">
      <c r="A144">
        <v>202011</v>
      </c>
      <c r="B144" s="1">
        <v>44136</v>
      </c>
      <c r="C144">
        <v>2020</v>
      </c>
      <c r="D144" t="s">
        <v>18</v>
      </c>
      <c r="E144" t="s">
        <v>7</v>
      </c>
      <c r="F144" t="s">
        <v>7</v>
      </c>
      <c r="G144" t="s">
        <v>8</v>
      </c>
      <c r="H144">
        <v>7382.65</v>
      </c>
    </row>
    <row r="145" spans="1:8" x14ac:dyDescent="0.3">
      <c r="A145">
        <v>202012</v>
      </c>
      <c r="B145" s="1">
        <v>44166</v>
      </c>
      <c r="C145">
        <v>2020</v>
      </c>
      <c r="D145" t="s">
        <v>19</v>
      </c>
      <c r="E145" t="s">
        <v>7</v>
      </c>
      <c r="F145" t="s">
        <v>7</v>
      </c>
      <c r="G145" t="s">
        <v>8</v>
      </c>
      <c r="H145">
        <v>6153.82</v>
      </c>
    </row>
    <row r="146" spans="1:8" x14ac:dyDescent="0.3">
      <c r="A146">
        <v>202001</v>
      </c>
      <c r="B146" s="1">
        <v>43831</v>
      </c>
      <c r="C146">
        <v>2020</v>
      </c>
      <c r="D146" t="s">
        <v>6</v>
      </c>
      <c r="E146" t="s">
        <v>7</v>
      </c>
      <c r="F146" t="s">
        <v>7</v>
      </c>
      <c r="G146" t="s">
        <v>8</v>
      </c>
      <c r="H146">
        <v>756.13</v>
      </c>
    </row>
    <row r="147" spans="1:8" x14ac:dyDescent="0.3">
      <c r="A147">
        <v>202002</v>
      </c>
      <c r="B147" s="1">
        <v>43862</v>
      </c>
      <c r="C147">
        <v>2020</v>
      </c>
      <c r="D147" t="s">
        <v>9</v>
      </c>
      <c r="E147" t="s">
        <v>7</v>
      </c>
      <c r="F147" t="s">
        <v>7</v>
      </c>
      <c r="G147" t="s">
        <v>8</v>
      </c>
      <c r="H147">
        <v>511.45</v>
      </c>
    </row>
    <row r="148" spans="1:8" x14ac:dyDescent="0.3">
      <c r="A148">
        <v>202003</v>
      </c>
      <c r="B148" s="1">
        <v>43891</v>
      </c>
      <c r="C148">
        <v>2020</v>
      </c>
      <c r="D148" t="s">
        <v>10</v>
      </c>
      <c r="E148" t="s">
        <v>7</v>
      </c>
      <c r="F148" t="s">
        <v>7</v>
      </c>
      <c r="G148" t="s">
        <v>8</v>
      </c>
      <c r="H148">
        <v>346.93</v>
      </c>
    </row>
    <row r="149" spans="1:8" x14ac:dyDescent="0.3">
      <c r="A149">
        <v>202004</v>
      </c>
      <c r="B149" s="1">
        <v>43922</v>
      </c>
      <c r="C149">
        <v>2020</v>
      </c>
      <c r="D149" t="s">
        <v>11</v>
      </c>
      <c r="E149" t="s">
        <v>7</v>
      </c>
      <c r="F149" t="s">
        <v>7</v>
      </c>
      <c r="G149" t="s">
        <v>8</v>
      </c>
      <c r="H149">
        <v>71.34</v>
      </c>
    </row>
    <row r="150" spans="1:8" x14ac:dyDescent="0.3">
      <c r="A150">
        <v>202005</v>
      </c>
      <c r="B150" s="1">
        <v>43952</v>
      </c>
      <c r="C150">
        <v>2020</v>
      </c>
      <c r="D150" t="s">
        <v>12</v>
      </c>
      <c r="E150" t="s">
        <v>7</v>
      </c>
      <c r="F150" t="s">
        <v>7</v>
      </c>
      <c r="G150" t="s">
        <v>8</v>
      </c>
      <c r="H150">
        <v>129.44</v>
      </c>
    </row>
    <row r="151" spans="1:8" x14ac:dyDescent="0.3">
      <c r="A151">
        <v>202006</v>
      </c>
      <c r="B151" s="1">
        <v>43983</v>
      </c>
      <c r="C151">
        <v>2020</v>
      </c>
      <c r="D151" t="s">
        <v>13</v>
      </c>
      <c r="E151" t="s">
        <v>7</v>
      </c>
      <c r="F151" t="s">
        <v>7</v>
      </c>
      <c r="G151" t="s">
        <v>8</v>
      </c>
      <c r="H151">
        <v>896.49</v>
      </c>
    </row>
    <row r="152" spans="1:8" x14ac:dyDescent="0.3">
      <c r="A152">
        <v>202007</v>
      </c>
      <c r="B152" s="1">
        <v>44013</v>
      </c>
      <c r="C152">
        <v>2020</v>
      </c>
      <c r="D152" t="s">
        <v>14</v>
      </c>
      <c r="E152" t="s">
        <v>7</v>
      </c>
      <c r="F152" t="s">
        <v>7</v>
      </c>
      <c r="G152" t="s">
        <v>8</v>
      </c>
      <c r="H152">
        <v>315.39</v>
      </c>
    </row>
    <row r="153" spans="1:8" x14ac:dyDescent="0.3">
      <c r="A153">
        <v>202008</v>
      </c>
      <c r="B153" s="1">
        <v>44044</v>
      </c>
      <c r="C153">
        <v>2020</v>
      </c>
      <c r="D153" t="s">
        <v>15</v>
      </c>
      <c r="E153" t="s">
        <v>7</v>
      </c>
      <c r="F153" t="s">
        <v>7</v>
      </c>
      <c r="G153" t="s">
        <v>8</v>
      </c>
      <c r="H153">
        <v>330.35</v>
      </c>
    </row>
    <row r="154" spans="1:8" x14ac:dyDescent="0.3">
      <c r="A154">
        <v>202009</v>
      </c>
      <c r="B154" s="1">
        <v>44075</v>
      </c>
      <c r="C154">
        <v>2020</v>
      </c>
      <c r="D154" t="s">
        <v>16</v>
      </c>
      <c r="E154" t="s">
        <v>7</v>
      </c>
      <c r="F154" t="s">
        <v>7</v>
      </c>
      <c r="G154" t="s">
        <v>8</v>
      </c>
      <c r="H154">
        <v>500.4</v>
      </c>
    </row>
    <row r="155" spans="1:8" x14ac:dyDescent="0.3">
      <c r="A155">
        <v>202010</v>
      </c>
      <c r="B155" s="1">
        <v>44105</v>
      </c>
      <c r="C155">
        <v>2020</v>
      </c>
      <c r="D155" t="s">
        <v>17</v>
      </c>
      <c r="E155" t="s">
        <v>7</v>
      </c>
      <c r="F155" t="s">
        <v>7</v>
      </c>
      <c r="G155" t="s">
        <v>8</v>
      </c>
      <c r="H155">
        <v>391.38</v>
      </c>
    </row>
    <row r="156" spans="1:8" x14ac:dyDescent="0.3">
      <c r="A156">
        <v>202011</v>
      </c>
      <c r="B156" s="1">
        <v>44136</v>
      </c>
      <c r="C156">
        <v>2020</v>
      </c>
      <c r="D156" t="s">
        <v>18</v>
      </c>
      <c r="E156" t="s">
        <v>7</v>
      </c>
      <c r="F156" t="s">
        <v>7</v>
      </c>
      <c r="G156" t="s">
        <v>8</v>
      </c>
      <c r="H156">
        <v>475.16</v>
      </c>
    </row>
    <row r="157" spans="1:8" x14ac:dyDescent="0.3">
      <c r="A157">
        <v>202012</v>
      </c>
      <c r="B157" s="1">
        <v>44166</v>
      </c>
      <c r="C157">
        <v>2020</v>
      </c>
      <c r="D157" t="s">
        <v>19</v>
      </c>
      <c r="E157" t="s">
        <v>7</v>
      </c>
      <c r="F157" t="s">
        <v>7</v>
      </c>
      <c r="G157" t="s">
        <v>8</v>
      </c>
      <c r="H157">
        <v>493.55</v>
      </c>
    </row>
    <row r="158" spans="1:8" x14ac:dyDescent="0.3">
      <c r="A158">
        <v>202001</v>
      </c>
      <c r="B158" s="1">
        <v>43831</v>
      </c>
      <c r="C158">
        <v>2020</v>
      </c>
      <c r="D158" t="s">
        <v>6</v>
      </c>
      <c r="E158" t="s">
        <v>7</v>
      </c>
      <c r="F158" t="s">
        <v>7</v>
      </c>
      <c r="G158" t="s">
        <v>8</v>
      </c>
      <c r="H158">
        <v>5345.53</v>
      </c>
    </row>
    <row r="159" spans="1:8" x14ac:dyDescent="0.3">
      <c r="A159">
        <v>202002</v>
      </c>
      <c r="B159" s="1">
        <v>43862</v>
      </c>
      <c r="C159">
        <v>2020</v>
      </c>
      <c r="D159" t="s">
        <v>9</v>
      </c>
      <c r="E159" t="s">
        <v>7</v>
      </c>
      <c r="F159" t="s">
        <v>7</v>
      </c>
      <c r="G159" t="s">
        <v>8</v>
      </c>
      <c r="H159">
        <v>3882.06</v>
      </c>
    </row>
    <row r="160" spans="1:8" x14ac:dyDescent="0.3">
      <c r="A160">
        <v>202003</v>
      </c>
      <c r="B160" s="1">
        <v>43891</v>
      </c>
      <c r="C160">
        <v>2020</v>
      </c>
      <c r="D160" t="s">
        <v>10</v>
      </c>
      <c r="E160" t="s">
        <v>7</v>
      </c>
      <c r="F160" t="s">
        <v>7</v>
      </c>
      <c r="G160" t="s">
        <v>8</v>
      </c>
      <c r="H160">
        <v>3369.41</v>
      </c>
    </row>
    <row r="161" spans="1:8" x14ac:dyDescent="0.3">
      <c r="A161">
        <v>202004</v>
      </c>
      <c r="B161" s="1">
        <v>43922</v>
      </c>
      <c r="C161">
        <v>2020</v>
      </c>
      <c r="D161" t="s">
        <v>11</v>
      </c>
      <c r="E161" t="s">
        <v>7</v>
      </c>
      <c r="F161" t="s">
        <v>7</v>
      </c>
      <c r="G161" t="s">
        <v>8</v>
      </c>
      <c r="H161">
        <v>2308.9899999999998</v>
      </c>
    </row>
    <row r="162" spans="1:8" x14ac:dyDescent="0.3">
      <c r="A162">
        <v>202005</v>
      </c>
      <c r="B162" s="1">
        <v>43952</v>
      </c>
      <c r="C162">
        <v>2020</v>
      </c>
      <c r="D162" t="s">
        <v>12</v>
      </c>
      <c r="E162" t="s">
        <v>7</v>
      </c>
      <c r="F162" t="s">
        <v>7</v>
      </c>
      <c r="G162" t="s">
        <v>8</v>
      </c>
      <c r="H162">
        <v>2713.29</v>
      </c>
    </row>
    <row r="163" spans="1:8" x14ac:dyDescent="0.3">
      <c r="A163">
        <v>202006</v>
      </c>
      <c r="B163" s="1">
        <v>43983</v>
      </c>
      <c r="C163">
        <v>2020</v>
      </c>
      <c r="D163" t="s">
        <v>13</v>
      </c>
      <c r="E163" t="s">
        <v>7</v>
      </c>
      <c r="F163" t="s">
        <v>7</v>
      </c>
      <c r="G163" t="s">
        <v>8</v>
      </c>
      <c r="H163">
        <v>8761.3799999999992</v>
      </c>
    </row>
    <row r="164" spans="1:8" x14ac:dyDescent="0.3">
      <c r="A164">
        <v>202007</v>
      </c>
      <c r="B164" s="1">
        <v>44013</v>
      </c>
      <c r="C164">
        <v>2020</v>
      </c>
      <c r="D164" t="s">
        <v>14</v>
      </c>
      <c r="E164" t="s">
        <v>7</v>
      </c>
      <c r="F164" t="s">
        <v>7</v>
      </c>
      <c r="G164" t="s">
        <v>8</v>
      </c>
      <c r="H164">
        <v>4386.6899999999996</v>
      </c>
    </row>
    <row r="165" spans="1:8" x14ac:dyDescent="0.3">
      <c r="A165">
        <v>202008</v>
      </c>
      <c r="B165" s="1">
        <v>44044</v>
      </c>
      <c r="C165">
        <v>2020</v>
      </c>
      <c r="D165" t="s">
        <v>15</v>
      </c>
      <c r="E165" t="s">
        <v>7</v>
      </c>
      <c r="F165" t="s">
        <v>7</v>
      </c>
      <c r="G165" t="s">
        <v>8</v>
      </c>
      <c r="H165">
        <v>4341.2299999999996</v>
      </c>
    </row>
    <row r="166" spans="1:8" x14ac:dyDescent="0.3">
      <c r="A166">
        <v>202009</v>
      </c>
      <c r="B166" s="1">
        <v>44075</v>
      </c>
      <c r="C166">
        <v>2020</v>
      </c>
      <c r="D166" t="s">
        <v>16</v>
      </c>
      <c r="E166" t="s">
        <v>7</v>
      </c>
      <c r="F166" t="s">
        <v>7</v>
      </c>
      <c r="G166" t="s">
        <v>8</v>
      </c>
      <c r="H166">
        <v>3694.04</v>
      </c>
    </row>
    <row r="167" spans="1:8" x14ac:dyDescent="0.3">
      <c r="A167">
        <v>202010</v>
      </c>
      <c r="B167" s="1">
        <v>44105</v>
      </c>
      <c r="C167">
        <v>2020</v>
      </c>
      <c r="D167" t="s">
        <v>17</v>
      </c>
      <c r="E167" t="s">
        <v>7</v>
      </c>
      <c r="F167" t="s">
        <v>7</v>
      </c>
      <c r="G167" t="s">
        <v>8</v>
      </c>
      <c r="H167">
        <v>4199.8</v>
      </c>
    </row>
    <row r="168" spans="1:8" x14ac:dyDescent="0.3">
      <c r="A168">
        <v>202011</v>
      </c>
      <c r="B168" s="1">
        <v>44136</v>
      </c>
      <c r="C168">
        <v>2020</v>
      </c>
      <c r="D168" t="s">
        <v>18</v>
      </c>
      <c r="E168" t="s">
        <v>7</v>
      </c>
      <c r="F168" t="s">
        <v>7</v>
      </c>
      <c r="G168" t="s">
        <v>8</v>
      </c>
      <c r="H168">
        <v>5138.01</v>
      </c>
    </row>
    <row r="169" spans="1:8" x14ac:dyDescent="0.3">
      <c r="A169">
        <v>202012</v>
      </c>
      <c r="B169" s="1">
        <v>44166</v>
      </c>
      <c r="C169">
        <v>2020</v>
      </c>
      <c r="D169" t="s">
        <v>19</v>
      </c>
      <c r="E169" t="s">
        <v>7</v>
      </c>
      <c r="F169" t="s">
        <v>7</v>
      </c>
      <c r="G169" t="s">
        <v>8</v>
      </c>
      <c r="H169">
        <v>4755.74</v>
      </c>
    </row>
    <row r="170" spans="1:8" x14ac:dyDescent="0.3">
      <c r="A170">
        <v>202001</v>
      </c>
      <c r="B170" s="1">
        <v>43831</v>
      </c>
      <c r="C170">
        <v>2020</v>
      </c>
      <c r="D170" t="s">
        <v>6</v>
      </c>
      <c r="E170" t="s">
        <v>7</v>
      </c>
      <c r="F170" t="s">
        <v>7</v>
      </c>
      <c r="G170" t="s">
        <v>8</v>
      </c>
      <c r="H170">
        <v>513.15</v>
      </c>
    </row>
    <row r="171" spans="1:8" x14ac:dyDescent="0.3">
      <c r="A171">
        <v>202002</v>
      </c>
      <c r="B171" s="1">
        <v>43862</v>
      </c>
      <c r="C171">
        <v>2020</v>
      </c>
      <c r="D171" t="s">
        <v>9</v>
      </c>
      <c r="E171" t="s">
        <v>7</v>
      </c>
      <c r="F171" t="s">
        <v>7</v>
      </c>
      <c r="G171" t="s">
        <v>8</v>
      </c>
      <c r="H171">
        <v>370.42</v>
      </c>
    </row>
    <row r="172" spans="1:8" x14ac:dyDescent="0.3">
      <c r="A172">
        <v>202003</v>
      </c>
      <c r="B172" s="1">
        <v>43891</v>
      </c>
      <c r="C172">
        <v>2020</v>
      </c>
      <c r="D172" t="s">
        <v>10</v>
      </c>
      <c r="E172" t="s">
        <v>7</v>
      </c>
      <c r="F172" t="s">
        <v>7</v>
      </c>
      <c r="G172" t="s">
        <v>8</v>
      </c>
      <c r="H172">
        <v>317.27</v>
      </c>
    </row>
    <row r="173" spans="1:8" x14ac:dyDescent="0.3">
      <c r="A173">
        <v>202004</v>
      </c>
      <c r="B173" s="1">
        <v>43922</v>
      </c>
      <c r="C173">
        <v>2020</v>
      </c>
      <c r="D173" t="s">
        <v>11</v>
      </c>
      <c r="E173" t="s">
        <v>7</v>
      </c>
      <c r="F173" t="s">
        <v>7</v>
      </c>
      <c r="G173" t="s">
        <v>8</v>
      </c>
      <c r="H173">
        <v>55.91</v>
      </c>
    </row>
    <row r="174" spans="1:8" x14ac:dyDescent="0.3">
      <c r="A174">
        <v>202005</v>
      </c>
      <c r="B174" s="1">
        <v>43952</v>
      </c>
      <c r="C174">
        <v>2020</v>
      </c>
      <c r="D174" t="s">
        <v>12</v>
      </c>
      <c r="E174" t="s">
        <v>7</v>
      </c>
      <c r="F174" t="s">
        <v>7</v>
      </c>
      <c r="G174" t="s">
        <v>8</v>
      </c>
      <c r="H174">
        <v>147.85</v>
      </c>
    </row>
    <row r="175" spans="1:8" x14ac:dyDescent="0.3">
      <c r="A175">
        <v>202006</v>
      </c>
      <c r="B175" s="1">
        <v>43983</v>
      </c>
      <c r="C175">
        <v>2020</v>
      </c>
      <c r="D175" t="s">
        <v>13</v>
      </c>
      <c r="E175" t="s">
        <v>7</v>
      </c>
      <c r="F175" t="s">
        <v>7</v>
      </c>
      <c r="G175" t="s">
        <v>8</v>
      </c>
      <c r="H175">
        <v>705.93</v>
      </c>
    </row>
    <row r="176" spans="1:8" x14ac:dyDescent="0.3">
      <c r="A176">
        <v>202007</v>
      </c>
      <c r="B176" s="1">
        <v>44013</v>
      </c>
      <c r="C176">
        <v>2020</v>
      </c>
      <c r="D176" t="s">
        <v>14</v>
      </c>
      <c r="E176" t="s">
        <v>7</v>
      </c>
      <c r="F176" t="s">
        <v>7</v>
      </c>
      <c r="G176" t="s">
        <v>8</v>
      </c>
      <c r="H176">
        <v>362.4</v>
      </c>
    </row>
    <row r="177" spans="1:8" x14ac:dyDescent="0.3">
      <c r="A177">
        <v>202008</v>
      </c>
      <c r="B177" s="1">
        <v>44044</v>
      </c>
      <c r="C177">
        <v>2020</v>
      </c>
      <c r="D177" t="s">
        <v>15</v>
      </c>
      <c r="E177" t="s">
        <v>7</v>
      </c>
      <c r="F177" t="s">
        <v>7</v>
      </c>
      <c r="G177" t="s">
        <v>8</v>
      </c>
      <c r="H177">
        <v>353.93</v>
      </c>
    </row>
    <row r="178" spans="1:8" x14ac:dyDescent="0.3">
      <c r="A178">
        <v>202009</v>
      </c>
      <c r="B178" s="1">
        <v>44075</v>
      </c>
      <c r="C178">
        <v>2020</v>
      </c>
      <c r="D178" t="s">
        <v>16</v>
      </c>
      <c r="E178" t="s">
        <v>7</v>
      </c>
      <c r="F178" t="s">
        <v>7</v>
      </c>
      <c r="G178" t="s">
        <v>8</v>
      </c>
      <c r="H178">
        <v>387.98</v>
      </c>
    </row>
    <row r="179" spans="1:8" x14ac:dyDescent="0.3">
      <c r="A179">
        <v>202010</v>
      </c>
      <c r="B179" s="1">
        <v>44105</v>
      </c>
      <c r="C179">
        <v>2020</v>
      </c>
      <c r="D179" t="s">
        <v>17</v>
      </c>
      <c r="E179" t="s">
        <v>7</v>
      </c>
      <c r="F179" t="s">
        <v>7</v>
      </c>
      <c r="G179" t="s">
        <v>8</v>
      </c>
      <c r="H179">
        <v>460.52</v>
      </c>
    </row>
    <row r="180" spans="1:8" x14ac:dyDescent="0.3">
      <c r="A180">
        <v>202011</v>
      </c>
      <c r="B180" s="1">
        <v>44136</v>
      </c>
      <c r="C180">
        <v>2020</v>
      </c>
      <c r="D180" t="s">
        <v>18</v>
      </c>
      <c r="E180" t="s">
        <v>7</v>
      </c>
      <c r="F180" t="s">
        <v>7</v>
      </c>
      <c r="G180" t="s">
        <v>8</v>
      </c>
      <c r="H180">
        <v>458.8</v>
      </c>
    </row>
    <row r="181" spans="1:8" x14ac:dyDescent="0.3">
      <c r="A181">
        <v>202012</v>
      </c>
      <c r="B181" s="1">
        <v>44166</v>
      </c>
      <c r="C181">
        <v>2020</v>
      </c>
      <c r="D181" t="s">
        <v>19</v>
      </c>
      <c r="E181" t="s">
        <v>7</v>
      </c>
      <c r="F181" t="s">
        <v>7</v>
      </c>
      <c r="G181" t="s">
        <v>8</v>
      </c>
      <c r="H181">
        <v>427.31</v>
      </c>
    </row>
    <row r="182" spans="1:8" x14ac:dyDescent="0.3">
      <c r="A182">
        <v>202001</v>
      </c>
      <c r="B182" s="1">
        <v>43831</v>
      </c>
      <c r="C182">
        <v>2020</v>
      </c>
      <c r="D182" t="s">
        <v>6</v>
      </c>
      <c r="E182" t="s">
        <v>7</v>
      </c>
      <c r="F182" t="s">
        <v>7</v>
      </c>
      <c r="G182" t="s">
        <v>8</v>
      </c>
      <c r="H182">
        <v>112165.47</v>
      </c>
    </row>
    <row r="183" spans="1:8" x14ac:dyDescent="0.3">
      <c r="A183">
        <v>202002</v>
      </c>
      <c r="B183" s="1">
        <v>43862</v>
      </c>
      <c r="C183">
        <v>2020</v>
      </c>
      <c r="D183" t="s">
        <v>9</v>
      </c>
      <c r="E183" t="s">
        <v>7</v>
      </c>
      <c r="F183" t="s">
        <v>7</v>
      </c>
      <c r="G183" t="s">
        <v>8</v>
      </c>
      <c r="H183">
        <v>85230.03</v>
      </c>
    </row>
    <row r="184" spans="1:8" x14ac:dyDescent="0.3">
      <c r="A184">
        <v>202003</v>
      </c>
      <c r="B184" s="1">
        <v>43891</v>
      </c>
      <c r="C184">
        <v>2020</v>
      </c>
      <c r="D184" t="s">
        <v>10</v>
      </c>
      <c r="E184" t="s">
        <v>7</v>
      </c>
      <c r="F184" t="s">
        <v>7</v>
      </c>
      <c r="G184" t="s">
        <v>8</v>
      </c>
      <c r="H184">
        <v>81156.77</v>
      </c>
    </row>
    <row r="185" spans="1:8" x14ac:dyDescent="0.3">
      <c r="A185">
        <v>202004</v>
      </c>
      <c r="B185" s="1">
        <v>43922</v>
      </c>
      <c r="C185">
        <v>2020</v>
      </c>
      <c r="D185" t="s">
        <v>11</v>
      </c>
      <c r="E185" t="s">
        <v>7</v>
      </c>
      <c r="F185" t="s">
        <v>7</v>
      </c>
      <c r="G185" t="s">
        <v>8</v>
      </c>
      <c r="H185">
        <v>64283.45</v>
      </c>
    </row>
    <row r="186" spans="1:8" x14ac:dyDescent="0.3">
      <c r="A186">
        <v>202005</v>
      </c>
      <c r="B186" s="1">
        <v>43952</v>
      </c>
      <c r="C186">
        <v>2020</v>
      </c>
      <c r="D186" t="s">
        <v>12</v>
      </c>
      <c r="E186" t="s">
        <v>7</v>
      </c>
      <c r="F186" t="s">
        <v>7</v>
      </c>
      <c r="G186" t="s">
        <v>8</v>
      </c>
      <c r="H186">
        <v>76416.39</v>
      </c>
    </row>
    <row r="187" spans="1:8" x14ac:dyDescent="0.3">
      <c r="A187">
        <v>202006</v>
      </c>
      <c r="B187" s="1">
        <v>43983</v>
      </c>
      <c r="C187">
        <v>2020</v>
      </c>
      <c r="D187" t="s">
        <v>13</v>
      </c>
      <c r="E187" t="s">
        <v>7</v>
      </c>
      <c r="F187" t="s">
        <v>7</v>
      </c>
      <c r="G187" t="s">
        <v>8</v>
      </c>
      <c r="H187">
        <v>174107.7</v>
      </c>
    </row>
    <row r="188" spans="1:8" x14ac:dyDescent="0.3">
      <c r="A188">
        <v>202007</v>
      </c>
      <c r="B188" s="1">
        <v>44013</v>
      </c>
      <c r="C188">
        <v>2020</v>
      </c>
      <c r="D188" t="s">
        <v>14</v>
      </c>
      <c r="E188" t="s">
        <v>7</v>
      </c>
      <c r="F188" t="s">
        <v>7</v>
      </c>
      <c r="G188" t="s">
        <v>8</v>
      </c>
      <c r="H188">
        <v>100919.39</v>
      </c>
    </row>
    <row r="189" spans="1:8" x14ac:dyDescent="0.3">
      <c r="A189">
        <v>202008</v>
      </c>
      <c r="B189" s="1">
        <v>44044</v>
      </c>
      <c r="C189">
        <v>2020</v>
      </c>
      <c r="D189" t="s">
        <v>15</v>
      </c>
      <c r="E189" t="s">
        <v>7</v>
      </c>
      <c r="F189" t="s">
        <v>7</v>
      </c>
      <c r="G189" t="s">
        <v>8</v>
      </c>
      <c r="H189">
        <v>126498.52</v>
      </c>
    </row>
    <row r="190" spans="1:8" x14ac:dyDescent="0.3">
      <c r="A190">
        <v>202009</v>
      </c>
      <c r="B190" s="1">
        <v>44075</v>
      </c>
      <c r="C190">
        <v>2020</v>
      </c>
      <c r="D190" t="s">
        <v>16</v>
      </c>
      <c r="E190" t="s">
        <v>7</v>
      </c>
      <c r="F190" t="s">
        <v>7</v>
      </c>
      <c r="G190" t="s">
        <v>8</v>
      </c>
      <c r="H190">
        <v>86765.77</v>
      </c>
    </row>
    <row r="191" spans="1:8" x14ac:dyDescent="0.3">
      <c r="A191">
        <v>202010</v>
      </c>
      <c r="B191" s="1">
        <v>44105</v>
      </c>
      <c r="C191">
        <v>2020</v>
      </c>
      <c r="D191" t="s">
        <v>17</v>
      </c>
      <c r="E191" t="s">
        <v>7</v>
      </c>
      <c r="F191" t="s">
        <v>7</v>
      </c>
      <c r="G191" t="s">
        <v>8</v>
      </c>
      <c r="H191">
        <v>92967.94</v>
      </c>
    </row>
    <row r="192" spans="1:8" x14ac:dyDescent="0.3">
      <c r="A192">
        <v>202011</v>
      </c>
      <c r="B192" s="1">
        <v>44136</v>
      </c>
      <c r="C192">
        <v>2020</v>
      </c>
      <c r="D192" t="s">
        <v>18</v>
      </c>
      <c r="E192" t="s">
        <v>7</v>
      </c>
      <c r="F192" t="s">
        <v>7</v>
      </c>
      <c r="G192" t="s">
        <v>8</v>
      </c>
      <c r="H192">
        <v>123615.42</v>
      </c>
    </row>
    <row r="193" spans="1:8" x14ac:dyDescent="0.3">
      <c r="A193">
        <v>202012</v>
      </c>
      <c r="B193" s="1">
        <v>44166</v>
      </c>
      <c r="C193">
        <v>2020</v>
      </c>
      <c r="D193" t="s">
        <v>19</v>
      </c>
      <c r="E193" t="s">
        <v>7</v>
      </c>
      <c r="F193" t="s">
        <v>7</v>
      </c>
      <c r="G193" t="s">
        <v>8</v>
      </c>
      <c r="H193">
        <v>95534.96</v>
      </c>
    </row>
    <row r="194" spans="1:8" x14ac:dyDescent="0.3">
      <c r="A194">
        <v>202001</v>
      </c>
      <c r="B194" s="1">
        <v>43831</v>
      </c>
      <c r="C194">
        <v>2020</v>
      </c>
      <c r="D194" t="s">
        <v>6</v>
      </c>
      <c r="E194" t="s">
        <v>20</v>
      </c>
      <c r="F194" t="s">
        <v>40</v>
      </c>
      <c r="G194" t="s">
        <v>8</v>
      </c>
      <c r="H194">
        <v>56.06</v>
      </c>
    </row>
    <row r="195" spans="1:8" x14ac:dyDescent="0.3">
      <c r="A195">
        <v>202002</v>
      </c>
      <c r="B195" s="1">
        <v>43862</v>
      </c>
      <c r="C195">
        <v>2020</v>
      </c>
      <c r="D195" t="s">
        <v>9</v>
      </c>
      <c r="E195" t="s">
        <v>20</v>
      </c>
      <c r="F195" t="s">
        <v>40</v>
      </c>
      <c r="G195" t="s">
        <v>8</v>
      </c>
      <c r="H195">
        <v>36.33</v>
      </c>
    </row>
    <row r="196" spans="1:8" x14ac:dyDescent="0.3">
      <c r="A196">
        <v>202003</v>
      </c>
      <c r="B196" s="1">
        <v>43891</v>
      </c>
      <c r="C196">
        <v>2020</v>
      </c>
      <c r="D196" t="s">
        <v>10</v>
      </c>
      <c r="E196" t="s">
        <v>20</v>
      </c>
      <c r="F196" t="s">
        <v>40</v>
      </c>
      <c r="G196" t="s">
        <v>8</v>
      </c>
      <c r="H196">
        <v>28.19</v>
      </c>
    </row>
    <row r="197" spans="1:8" x14ac:dyDescent="0.3">
      <c r="A197">
        <v>202004</v>
      </c>
      <c r="B197" s="1">
        <v>43922</v>
      </c>
      <c r="C197">
        <v>2020</v>
      </c>
      <c r="D197" t="s">
        <v>11</v>
      </c>
      <c r="E197" t="s">
        <v>20</v>
      </c>
      <c r="F197" t="s">
        <v>40</v>
      </c>
      <c r="G197" t="s">
        <v>8</v>
      </c>
      <c r="H197">
        <v>23.04</v>
      </c>
    </row>
    <row r="198" spans="1:8" x14ac:dyDescent="0.3">
      <c r="A198">
        <v>202005</v>
      </c>
      <c r="B198" s="1">
        <v>43952</v>
      </c>
      <c r="C198">
        <v>2020</v>
      </c>
      <c r="D198" t="s">
        <v>12</v>
      </c>
      <c r="E198" t="s">
        <v>20</v>
      </c>
      <c r="F198" t="s">
        <v>40</v>
      </c>
      <c r="G198" t="s">
        <v>8</v>
      </c>
      <c r="H198">
        <v>26.13</v>
      </c>
    </row>
    <row r="199" spans="1:8" x14ac:dyDescent="0.3">
      <c r="A199">
        <v>202006</v>
      </c>
      <c r="B199" s="1">
        <v>43983</v>
      </c>
      <c r="C199">
        <v>2020</v>
      </c>
      <c r="D199" t="s">
        <v>13</v>
      </c>
      <c r="E199" t="s">
        <v>20</v>
      </c>
      <c r="F199" t="s">
        <v>40</v>
      </c>
      <c r="G199" t="s">
        <v>8</v>
      </c>
      <c r="H199">
        <v>37.61</v>
      </c>
    </row>
    <row r="200" spans="1:8" x14ac:dyDescent="0.3">
      <c r="A200">
        <v>202007</v>
      </c>
      <c r="B200" s="1">
        <v>44013</v>
      </c>
      <c r="C200">
        <v>2020</v>
      </c>
      <c r="D200" t="s">
        <v>14</v>
      </c>
      <c r="E200" t="s">
        <v>20</v>
      </c>
      <c r="F200" t="s">
        <v>40</v>
      </c>
      <c r="G200" t="s">
        <v>8</v>
      </c>
      <c r="H200">
        <v>43.6</v>
      </c>
    </row>
    <row r="201" spans="1:8" x14ac:dyDescent="0.3">
      <c r="A201">
        <v>202008</v>
      </c>
      <c r="B201" s="1">
        <v>44044</v>
      </c>
      <c r="C201">
        <v>2020</v>
      </c>
      <c r="D201" t="s">
        <v>15</v>
      </c>
      <c r="E201" t="s">
        <v>20</v>
      </c>
      <c r="F201" t="s">
        <v>40</v>
      </c>
      <c r="G201" t="s">
        <v>8</v>
      </c>
      <c r="H201">
        <v>39.020000000000003</v>
      </c>
    </row>
    <row r="202" spans="1:8" x14ac:dyDescent="0.3">
      <c r="A202">
        <v>202009</v>
      </c>
      <c r="B202" s="1">
        <v>44075</v>
      </c>
      <c r="C202">
        <v>2020</v>
      </c>
      <c r="D202" t="s">
        <v>16</v>
      </c>
      <c r="E202" t="s">
        <v>20</v>
      </c>
      <c r="F202" t="s">
        <v>40</v>
      </c>
      <c r="G202" t="s">
        <v>8</v>
      </c>
      <c r="H202">
        <v>41.81</v>
      </c>
    </row>
    <row r="203" spans="1:8" x14ac:dyDescent="0.3">
      <c r="A203">
        <v>202010</v>
      </c>
      <c r="B203" s="1">
        <v>44105</v>
      </c>
      <c r="C203">
        <v>2020</v>
      </c>
      <c r="D203" t="s">
        <v>17</v>
      </c>
      <c r="E203" t="s">
        <v>20</v>
      </c>
      <c r="F203" t="s">
        <v>40</v>
      </c>
      <c r="G203" t="s">
        <v>8</v>
      </c>
      <c r="H203">
        <v>42.72</v>
      </c>
    </row>
    <row r="204" spans="1:8" x14ac:dyDescent="0.3">
      <c r="A204">
        <v>202011</v>
      </c>
      <c r="B204" s="1">
        <v>44136</v>
      </c>
      <c r="C204">
        <v>2020</v>
      </c>
      <c r="D204" t="s">
        <v>18</v>
      </c>
      <c r="E204" t="s">
        <v>20</v>
      </c>
      <c r="F204" t="s">
        <v>40</v>
      </c>
      <c r="G204" t="s">
        <v>8</v>
      </c>
      <c r="H204">
        <v>38.770000000000003</v>
      </c>
    </row>
    <row r="205" spans="1:8" x14ac:dyDescent="0.3">
      <c r="A205">
        <v>202012</v>
      </c>
      <c r="B205" s="1">
        <v>44166</v>
      </c>
      <c r="C205">
        <v>2020</v>
      </c>
      <c r="D205" t="s">
        <v>19</v>
      </c>
      <c r="E205" t="s">
        <v>20</v>
      </c>
      <c r="F205" t="s">
        <v>40</v>
      </c>
      <c r="G205" t="s">
        <v>8</v>
      </c>
      <c r="H205">
        <v>36.4</v>
      </c>
    </row>
    <row r="206" spans="1:8" x14ac:dyDescent="0.3">
      <c r="A206">
        <v>202001</v>
      </c>
      <c r="B206" s="1">
        <v>43831</v>
      </c>
      <c r="C206">
        <v>2020</v>
      </c>
      <c r="D206" t="s">
        <v>6</v>
      </c>
      <c r="E206" t="s">
        <v>20</v>
      </c>
      <c r="F206" t="s">
        <v>40</v>
      </c>
      <c r="G206" t="s">
        <v>8</v>
      </c>
      <c r="H206">
        <v>93.17</v>
      </c>
    </row>
    <row r="207" spans="1:8" x14ac:dyDescent="0.3">
      <c r="A207">
        <v>202002</v>
      </c>
      <c r="B207" s="1">
        <v>43862</v>
      </c>
      <c r="C207">
        <v>2020</v>
      </c>
      <c r="D207" t="s">
        <v>9</v>
      </c>
      <c r="E207" t="s">
        <v>20</v>
      </c>
      <c r="F207" t="s">
        <v>40</v>
      </c>
      <c r="G207" t="s">
        <v>8</v>
      </c>
      <c r="H207">
        <v>43.84</v>
      </c>
    </row>
    <row r="208" spans="1:8" x14ac:dyDescent="0.3">
      <c r="A208">
        <v>202003</v>
      </c>
      <c r="B208" s="1">
        <v>43891</v>
      </c>
      <c r="C208">
        <v>2020</v>
      </c>
      <c r="D208" t="s">
        <v>10</v>
      </c>
      <c r="E208" t="s">
        <v>20</v>
      </c>
      <c r="F208" t="s">
        <v>40</v>
      </c>
      <c r="G208" t="s">
        <v>8</v>
      </c>
      <c r="H208">
        <v>43.67</v>
      </c>
    </row>
    <row r="209" spans="1:8" x14ac:dyDescent="0.3">
      <c r="A209">
        <v>202004</v>
      </c>
      <c r="B209" s="1">
        <v>43922</v>
      </c>
      <c r="C209">
        <v>2020</v>
      </c>
      <c r="D209" t="s">
        <v>11</v>
      </c>
      <c r="E209" t="s">
        <v>20</v>
      </c>
      <c r="F209" t="s">
        <v>40</v>
      </c>
      <c r="G209" t="s">
        <v>8</v>
      </c>
      <c r="H209">
        <v>32.86</v>
      </c>
    </row>
    <row r="210" spans="1:8" x14ac:dyDescent="0.3">
      <c r="A210">
        <v>202005</v>
      </c>
      <c r="B210" s="1">
        <v>43952</v>
      </c>
      <c r="C210">
        <v>2020</v>
      </c>
      <c r="D210" t="s">
        <v>12</v>
      </c>
      <c r="E210" t="s">
        <v>20</v>
      </c>
      <c r="F210" t="s">
        <v>40</v>
      </c>
      <c r="G210" t="s">
        <v>8</v>
      </c>
      <c r="H210">
        <v>45.17</v>
      </c>
    </row>
    <row r="211" spans="1:8" x14ac:dyDescent="0.3">
      <c r="A211">
        <v>202006</v>
      </c>
      <c r="B211" s="1">
        <v>43983</v>
      </c>
      <c r="C211">
        <v>2020</v>
      </c>
      <c r="D211" t="s">
        <v>13</v>
      </c>
      <c r="E211" t="s">
        <v>20</v>
      </c>
      <c r="F211" t="s">
        <v>40</v>
      </c>
      <c r="G211" t="s">
        <v>8</v>
      </c>
      <c r="H211">
        <v>55.86</v>
      </c>
    </row>
    <row r="212" spans="1:8" x14ac:dyDescent="0.3">
      <c r="A212">
        <v>202007</v>
      </c>
      <c r="B212" s="1">
        <v>44013</v>
      </c>
      <c r="C212">
        <v>2020</v>
      </c>
      <c r="D212" t="s">
        <v>14</v>
      </c>
      <c r="E212" t="s">
        <v>20</v>
      </c>
      <c r="F212" t="s">
        <v>40</v>
      </c>
      <c r="G212" t="s">
        <v>8</v>
      </c>
      <c r="H212">
        <v>58.33</v>
      </c>
    </row>
    <row r="213" spans="1:8" x14ac:dyDescent="0.3">
      <c r="A213">
        <v>202008</v>
      </c>
      <c r="B213" s="1">
        <v>44044</v>
      </c>
      <c r="C213">
        <v>2020</v>
      </c>
      <c r="D213" t="s">
        <v>15</v>
      </c>
      <c r="E213" t="s">
        <v>20</v>
      </c>
      <c r="F213" t="s">
        <v>40</v>
      </c>
      <c r="G213" t="s">
        <v>8</v>
      </c>
      <c r="H213">
        <v>44.46</v>
      </c>
    </row>
    <row r="214" spans="1:8" x14ac:dyDescent="0.3">
      <c r="A214">
        <v>202009</v>
      </c>
      <c r="B214" s="1">
        <v>44075</v>
      </c>
      <c r="C214">
        <v>2020</v>
      </c>
      <c r="D214" t="s">
        <v>16</v>
      </c>
      <c r="E214" t="s">
        <v>20</v>
      </c>
      <c r="F214" t="s">
        <v>40</v>
      </c>
      <c r="G214" t="s">
        <v>8</v>
      </c>
      <c r="H214">
        <v>49.92</v>
      </c>
    </row>
    <row r="215" spans="1:8" x14ac:dyDescent="0.3">
      <c r="A215">
        <v>202010</v>
      </c>
      <c r="B215" s="1">
        <v>44105</v>
      </c>
      <c r="C215">
        <v>2020</v>
      </c>
      <c r="D215" t="s">
        <v>17</v>
      </c>
      <c r="E215" t="s">
        <v>20</v>
      </c>
      <c r="F215" t="s">
        <v>40</v>
      </c>
      <c r="G215" t="s">
        <v>8</v>
      </c>
      <c r="H215">
        <v>66.27</v>
      </c>
    </row>
    <row r="216" spans="1:8" x14ac:dyDescent="0.3">
      <c r="A216">
        <v>202011</v>
      </c>
      <c r="B216" s="1">
        <v>44136</v>
      </c>
      <c r="C216">
        <v>2020</v>
      </c>
      <c r="D216" t="s">
        <v>18</v>
      </c>
      <c r="E216" t="s">
        <v>20</v>
      </c>
      <c r="F216" t="s">
        <v>40</v>
      </c>
      <c r="G216" t="s">
        <v>8</v>
      </c>
      <c r="H216">
        <v>62.83</v>
      </c>
    </row>
    <row r="217" spans="1:8" x14ac:dyDescent="0.3">
      <c r="A217">
        <v>202012</v>
      </c>
      <c r="B217" s="1">
        <v>44166</v>
      </c>
      <c r="C217">
        <v>2020</v>
      </c>
      <c r="D217" t="s">
        <v>19</v>
      </c>
      <c r="E217" t="s">
        <v>20</v>
      </c>
      <c r="F217" t="s">
        <v>40</v>
      </c>
      <c r="G217" t="s">
        <v>8</v>
      </c>
      <c r="H217">
        <v>62.07</v>
      </c>
    </row>
    <row r="218" spans="1:8" x14ac:dyDescent="0.3">
      <c r="A218">
        <v>202001</v>
      </c>
      <c r="B218" s="1">
        <v>43831</v>
      </c>
      <c r="C218">
        <v>2020</v>
      </c>
      <c r="D218" t="s">
        <v>6</v>
      </c>
      <c r="E218" t="s">
        <v>20</v>
      </c>
      <c r="F218" t="s">
        <v>40</v>
      </c>
      <c r="G218" t="s">
        <v>8</v>
      </c>
      <c r="H218">
        <v>100.96</v>
      </c>
    </row>
    <row r="219" spans="1:8" x14ac:dyDescent="0.3">
      <c r="A219">
        <v>202002</v>
      </c>
      <c r="B219" s="1">
        <v>43862</v>
      </c>
      <c r="C219">
        <v>2020</v>
      </c>
      <c r="D219" t="s">
        <v>9</v>
      </c>
      <c r="E219" t="s">
        <v>20</v>
      </c>
      <c r="F219" t="s">
        <v>40</v>
      </c>
      <c r="G219" t="s">
        <v>8</v>
      </c>
      <c r="H219">
        <v>65.28</v>
      </c>
    </row>
    <row r="220" spans="1:8" x14ac:dyDescent="0.3">
      <c r="A220">
        <v>202003</v>
      </c>
      <c r="B220" s="1">
        <v>43891</v>
      </c>
      <c r="C220">
        <v>2020</v>
      </c>
      <c r="D220" t="s">
        <v>10</v>
      </c>
      <c r="E220" t="s">
        <v>20</v>
      </c>
      <c r="F220" t="s">
        <v>40</v>
      </c>
      <c r="G220" t="s">
        <v>8</v>
      </c>
      <c r="H220">
        <v>58.42</v>
      </c>
    </row>
    <row r="221" spans="1:8" x14ac:dyDescent="0.3">
      <c r="A221">
        <v>202004</v>
      </c>
      <c r="B221" s="1">
        <v>43922</v>
      </c>
      <c r="C221">
        <v>2020</v>
      </c>
      <c r="D221" t="s">
        <v>11</v>
      </c>
      <c r="E221" t="s">
        <v>20</v>
      </c>
      <c r="F221" t="s">
        <v>40</v>
      </c>
      <c r="G221" t="s">
        <v>8</v>
      </c>
      <c r="H221">
        <v>43.38</v>
      </c>
    </row>
    <row r="222" spans="1:8" x14ac:dyDescent="0.3">
      <c r="A222">
        <v>202005</v>
      </c>
      <c r="B222" s="1">
        <v>43952</v>
      </c>
      <c r="C222">
        <v>2020</v>
      </c>
      <c r="D222" t="s">
        <v>12</v>
      </c>
      <c r="E222" t="s">
        <v>20</v>
      </c>
      <c r="F222" t="s">
        <v>40</v>
      </c>
      <c r="G222" t="s">
        <v>8</v>
      </c>
      <c r="H222">
        <v>33.74</v>
      </c>
    </row>
    <row r="223" spans="1:8" x14ac:dyDescent="0.3">
      <c r="A223">
        <v>202006</v>
      </c>
      <c r="B223" s="1">
        <v>43983</v>
      </c>
      <c r="C223">
        <v>2020</v>
      </c>
      <c r="D223" t="s">
        <v>13</v>
      </c>
      <c r="E223" t="s">
        <v>20</v>
      </c>
      <c r="F223" t="s">
        <v>40</v>
      </c>
      <c r="G223" t="s">
        <v>8</v>
      </c>
      <c r="H223">
        <v>88.46</v>
      </c>
    </row>
    <row r="224" spans="1:8" x14ac:dyDescent="0.3">
      <c r="A224">
        <v>202007</v>
      </c>
      <c r="B224" s="1">
        <v>44013</v>
      </c>
      <c r="C224">
        <v>2020</v>
      </c>
      <c r="D224" t="s">
        <v>14</v>
      </c>
      <c r="E224" t="s">
        <v>20</v>
      </c>
      <c r="F224" t="s">
        <v>40</v>
      </c>
      <c r="G224" t="s">
        <v>8</v>
      </c>
      <c r="H224">
        <v>64.11</v>
      </c>
    </row>
    <row r="225" spans="1:8" x14ac:dyDescent="0.3">
      <c r="A225">
        <v>202008</v>
      </c>
      <c r="B225" s="1">
        <v>44044</v>
      </c>
      <c r="C225">
        <v>2020</v>
      </c>
      <c r="D225" t="s">
        <v>15</v>
      </c>
      <c r="E225" t="s">
        <v>20</v>
      </c>
      <c r="F225" t="s">
        <v>40</v>
      </c>
      <c r="G225" t="s">
        <v>8</v>
      </c>
      <c r="H225">
        <v>57.38</v>
      </c>
    </row>
    <row r="226" spans="1:8" x14ac:dyDescent="0.3">
      <c r="A226">
        <v>202009</v>
      </c>
      <c r="B226" s="1">
        <v>44075</v>
      </c>
      <c r="C226">
        <v>2020</v>
      </c>
      <c r="D226" t="s">
        <v>16</v>
      </c>
      <c r="E226" t="s">
        <v>20</v>
      </c>
      <c r="F226" t="s">
        <v>40</v>
      </c>
      <c r="G226" t="s">
        <v>8</v>
      </c>
      <c r="H226">
        <v>66.44</v>
      </c>
    </row>
    <row r="227" spans="1:8" x14ac:dyDescent="0.3">
      <c r="A227">
        <v>202010</v>
      </c>
      <c r="B227" s="1">
        <v>44105</v>
      </c>
      <c r="C227">
        <v>2020</v>
      </c>
      <c r="D227" t="s">
        <v>17</v>
      </c>
      <c r="E227" t="s">
        <v>20</v>
      </c>
      <c r="F227" t="s">
        <v>40</v>
      </c>
      <c r="G227" t="s">
        <v>8</v>
      </c>
      <c r="H227">
        <v>74.94</v>
      </c>
    </row>
    <row r="228" spans="1:8" x14ac:dyDescent="0.3">
      <c r="A228">
        <v>202011</v>
      </c>
      <c r="B228" s="1">
        <v>44136</v>
      </c>
      <c r="C228">
        <v>2020</v>
      </c>
      <c r="D228" t="s">
        <v>18</v>
      </c>
      <c r="E228" t="s">
        <v>20</v>
      </c>
      <c r="F228" t="s">
        <v>40</v>
      </c>
      <c r="G228" t="s">
        <v>8</v>
      </c>
      <c r="H228">
        <v>77.55</v>
      </c>
    </row>
    <row r="229" spans="1:8" x14ac:dyDescent="0.3">
      <c r="A229">
        <v>202012</v>
      </c>
      <c r="B229" s="1">
        <v>44166</v>
      </c>
      <c r="C229">
        <v>2020</v>
      </c>
      <c r="D229" t="s">
        <v>19</v>
      </c>
      <c r="E229" t="s">
        <v>20</v>
      </c>
      <c r="F229" t="s">
        <v>40</v>
      </c>
      <c r="G229" t="s">
        <v>8</v>
      </c>
      <c r="H229">
        <v>87.81</v>
      </c>
    </row>
    <row r="230" spans="1:8" x14ac:dyDescent="0.3">
      <c r="A230">
        <v>202001</v>
      </c>
      <c r="B230" s="1">
        <v>43831</v>
      </c>
      <c r="C230">
        <v>2020</v>
      </c>
      <c r="D230" t="s">
        <v>6</v>
      </c>
      <c r="E230" t="s">
        <v>20</v>
      </c>
      <c r="F230" t="s">
        <v>40</v>
      </c>
      <c r="G230" t="s">
        <v>8</v>
      </c>
      <c r="H230">
        <v>35.28</v>
      </c>
    </row>
    <row r="231" spans="1:8" x14ac:dyDescent="0.3">
      <c r="A231">
        <v>202002</v>
      </c>
      <c r="B231" s="1">
        <v>43862</v>
      </c>
      <c r="C231">
        <v>2020</v>
      </c>
      <c r="D231" t="s">
        <v>9</v>
      </c>
      <c r="E231" t="s">
        <v>20</v>
      </c>
      <c r="F231" t="s">
        <v>40</v>
      </c>
      <c r="G231" t="s">
        <v>8</v>
      </c>
      <c r="H231">
        <v>18.690000000000001</v>
      </c>
    </row>
    <row r="232" spans="1:8" x14ac:dyDescent="0.3">
      <c r="A232">
        <v>202003</v>
      </c>
      <c r="B232" s="1">
        <v>43891</v>
      </c>
      <c r="C232">
        <v>2020</v>
      </c>
      <c r="D232" t="s">
        <v>10</v>
      </c>
      <c r="E232" t="s">
        <v>20</v>
      </c>
      <c r="F232" t="s">
        <v>40</v>
      </c>
      <c r="G232" t="s">
        <v>8</v>
      </c>
      <c r="H232">
        <v>20.16</v>
      </c>
    </row>
    <row r="233" spans="1:8" x14ac:dyDescent="0.3">
      <c r="A233">
        <v>202004</v>
      </c>
      <c r="B233" s="1">
        <v>43922</v>
      </c>
      <c r="C233">
        <v>2020</v>
      </c>
      <c r="D233" t="s">
        <v>11</v>
      </c>
      <c r="E233" t="s">
        <v>20</v>
      </c>
      <c r="F233" t="s">
        <v>40</v>
      </c>
      <c r="G233" t="s">
        <v>8</v>
      </c>
      <c r="H233">
        <v>9.85</v>
      </c>
    </row>
    <row r="234" spans="1:8" x14ac:dyDescent="0.3">
      <c r="A234">
        <v>202005</v>
      </c>
      <c r="B234" s="1">
        <v>43952</v>
      </c>
      <c r="C234">
        <v>2020</v>
      </c>
      <c r="D234" t="s">
        <v>12</v>
      </c>
      <c r="E234" t="s">
        <v>20</v>
      </c>
      <c r="F234" t="s">
        <v>40</v>
      </c>
      <c r="G234" t="s">
        <v>8</v>
      </c>
      <c r="H234">
        <v>17.88</v>
      </c>
    </row>
    <row r="235" spans="1:8" x14ac:dyDescent="0.3">
      <c r="A235">
        <v>202006</v>
      </c>
      <c r="B235" s="1">
        <v>43983</v>
      </c>
      <c r="C235">
        <v>2020</v>
      </c>
      <c r="D235" t="s">
        <v>13</v>
      </c>
      <c r="E235" t="s">
        <v>20</v>
      </c>
      <c r="F235" t="s">
        <v>40</v>
      </c>
      <c r="G235" t="s">
        <v>8</v>
      </c>
      <c r="H235">
        <v>27.25</v>
      </c>
    </row>
    <row r="236" spans="1:8" x14ac:dyDescent="0.3">
      <c r="A236">
        <v>202007</v>
      </c>
      <c r="B236" s="1">
        <v>44013</v>
      </c>
      <c r="C236">
        <v>2020</v>
      </c>
      <c r="D236" t="s">
        <v>14</v>
      </c>
      <c r="E236" t="s">
        <v>20</v>
      </c>
      <c r="F236" t="s">
        <v>40</v>
      </c>
      <c r="G236" t="s">
        <v>8</v>
      </c>
      <c r="H236">
        <v>26.84</v>
      </c>
    </row>
    <row r="237" spans="1:8" x14ac:dyDescent="0.3">
      <c r="A237">
        <v>202008</v>
      </c>
      <c r="B237" s="1">
        <v>44044</v>
      </c>
      <c r="C237">
        <v>2020</v>
      </c>
      <c r="D237" t="s">
        <v>15</v>
      </c>
      <c r="E237" t="s">
        <v>20</v>
      </c>
      <c r="F237" t="s">
        <v>40</v>
      </c>
      <c r="G237" t="s">
        <v>8</v>
      </c>
      <c r="H237">
        <v>33</v>
      </c>
    </row>
    <row r="238" spans="1:8" x14ac:dyDescent="0.3">
      <c r="A238">
        <v>202009</v>
      </c>
      <c r="B238" s="1">
        <v>44075</v>
      </c>
      <c r="C238">
        <v>2020</v>
      </c>
      <c r="D238" t="s">
        <v>16</v>
      </c>
      <c r="E238" t="s">
        <v>20</v>
      </c>
      <c r="F238" t="s">
        <v>40</v>
      </c>
      <c r="G238" t="s">
        <v>8</v>
      </c>
      <c r="H238">
        <v>28.59</v>
      </c>
    </row>
    <row r="239" spans="1:8" x14ac:dyDescent="0.3">
      <c r="A239">
        <v>202010</v>
      </c>
      <c r="B239" s="1">
        <v>44105</v>
      </c>
      <c r="C239">
        <v>2020</v>
      </c>
      <c r="D239" t="s">
        <v>17</v>
      </c>
      <c r="E239" t="s">
        <v>20</v>
      </c>
      <c r="F239" t="s">
        <v>40</v>
      </c>
      <c r="G239" t="s">
        <v>8</v>
      </c>
      <c r="H239">
        <v>31.34</v>
      </c>
    </row>
    <row r="240" spans="1:8" x14ac:dyDescent="0.3">
      <c r="A240">
        <v>202011</v>
      </c>
      <c r="B240" s="1">
        <v>44136</v>
      </c>
      <c r="C240">
        <v>2020</v>
      </c>
      <c r="D240" t="s">
        <v>18</v>
      </c>
      <c r="E240" t="s">
        <v>20</v>
      </c>
      <c r="F240" t="s">
        <v>40</v>
      </c>
      <c r="G240" t="s">
        <v>8</v>
      </c>
      <c r="H240">
        <v>34.61</v>
      </c>
    </row>
    <row r="241" spans="1:8" x14ac:dyDescent="0.3">
      <c r="A241">
        <v>202012</v>
      </c>
      <c r="B241" s="1">
        <v>44166</v>
      </c>
      <c r="C241">
        <v>2020</v>
      </c>
      <c r="D241" t="s">
        <v>19</v>
      </c>
      <c r="E241" t="s">
        <v>20</v>
      </c>
      <c r="F241" t="s">
        <v>40</v>
      </c>
      <c r="G241" t="s">
        <v>8</v>
      </c>
      <c r="H241">
        <v>32.97</v>
      </c>
    </row>
    <row r="242" spans="1:8" x14ac:dyDescent="0.3">
      <c r="A242">
        <v>202001</v>
      </c>
      <c r="B242" s="1">
        <v>43831</v>
      </c>
      <c r="C242">
        <v>2020</v>
      </c>
      <c r="D242" t="s">
        <v>6</v>
      </c>
      <c r="E242" t="s">
        <v>20</v>
      </c>
      <c r="F242" t="s">
        <v>40</v>
      </c>
      <c r="G242" t="s">
        <v>8</v>
      </c>
      <c r="H242">
        <v>39.880000000000003</v>
      </c>
    </row>
    <row r="243" spans="1:8" x14ac:dyDescent="0.3">
      <c r="A243">
        <v>202002</v>
      </c>
      <c r="B243" s="1">
        <v>43862</v>
      </c>
      <c r="C243">
        <v>2020</v>
      </c>
      <c r="D243" t="s">
        <v>9</v>
      </c>
      <c r="E243" t="s">
        <v>20</v>
      </c>
      <c r="F243" t="s">
        <v>40</v>
      </c>
      <c r="G243" t="s">
        <v>8</v>
      </c>
      <c r="H243">
        <v>21.12</v>
      </c>
    </row>
    <row r="244" spans="1:8" x14ac:dyDescent="0.3">
      <c r="A244">
        <v>202003</v>
      </c>
      <c r="B244" s="1">
        <v>43891</v>
      </c>
      <c r="C244">
        <v>2020</v>
      </c>
      <c r="D244" t="s">
        <v>10</v>
      </c>
      <c r="E244" t="s">
        <v>20</v>
      </c>
      <c r="F244" t="s">
        <v>40</v>
      </c>
      <c r="G244" t="s">
        <v>8</v>
      </c>
      <c r="H244">
        <v>19.579999999999998</v>
      </c>
    </row>
    <row r="245" spans="1:8" x14ac:dyDescent="0.3">
      <c r="A245">
        <v>202004</v>
      </c>
      <c r="B245" s="1">
        <v>43922</v>
      </c>
      <c r="C245">
        <v>2020</v>
      </c>
      <c r="D245" t="s">
        <v>11</v>
      </c>
      <c r="E245" t="s">
        <v>20</v>
      </c>
      <c r="F245" t="s">
        <v>40</v>
      </c>
      <c r="G245" t="s">
        <v>8</v>
      </c>
      <c r="H245">
        <v>15.29</v>
      </c>
    </row>
    <row r="246" spans="1:8" x14ac:dyDescent="0.3">
      <c r="A246">
        <v>202005</v>
      </c>
      <c r="B246" s="1">
        <v>43952</v>
      </c>
      <c r="C246">
        <v>2020</v>
      </c>
      <c r="D246" t="s">
        <v>12</v>
      </c>
      <c r="E246" t="s">
        <v>20</v>
      </c>
      <c r="F246" t="s">
        <v>40</v>
      </c>
      <c r="G246" t="s">
        <v>8</v>
      </c>
      <c r="H246">
        <v>16.940000000000001</v>
      </c>
    </row>
    <row r="247" spans="1:8" x14ac:dyDescent="0.3">
      <c r="A247">
        <v>202006</v>
      </c>
      <c r="B247" s="1">
        <v>43983</v>
      </c>
      <c r="C247">
        <v>2020</v>
      </c>
      <c r="D247" t="s">
        <v>13</v>
      </c>
      <c r="E247" t="s">
        <v>20</v>
      </c>
      <c r="F247" t="s">
        <v>40</v>
      </c>
      <c r="G247" t="s">
        <v>8</v>
      </c>
      <c r="H247">
        <v>20.93</v>
      </c>
    </row>
    <row r="248" spans="1:8" x14ac:dyDescent="0.3">
      <c r="A248">
        <v>202007</v>
      </c>
      <c r="B248" s="1">
        <v>44013</v>
      </c>
      <c r="C248">
        <v>2020</v>
      </c>
      <c r="D248" t="s">
        <v>14</v>
      </c>
      <c r="E248" t="s">
        <v>20</v>
      </c>
      <c r="F248" t="s">
        <v>40</v>
      </c>
      <c r="G248" t="s">
        <v>8</v>
      </c>
      <c r="H248">
        <v>27.7</v>
      </c>
    </row>
    <row r="249" spans="1:8" x14ac:dyDescent="0.3">
      <c r="A249">
        <v>202008</v>
      </c>
      <c r="B249" s="1">
        <v>44044</v>
      </c>
      <c r="C249">
        <v>2020</v>
      </c>
      <c r="D249" t="s">
        <v>15</v>
      </c>
      <c r="E249" t="s">
        <v>20</v>
      </c>
      <c r="F249" t="s">
        <v>40</v>
      </c>
      <c r="G249" t="s">
        <v>8</v>
      </c>
      <c r="H249">
        <v>17.899999999999999</v>
      </c>
    </row>
    <row r="250" spans="1:8" x14ac:dyDescent="0.3">
      <c r="A250">
        <v>202009</v>
      </c>
      <c r="B250" s="1">
        <v>44075</v>
      </c>
      <c r="C250">
        <v>2020</v>
      </c>
      <c r="D250" t="s">
        <v>16</v>
      </c>
      <c r="E250" t="s">
        <v>20</v>
      </c>
      <c r="F250" t="s">
        <v>40</v>
      </c>
      <c r="G250" t="s">
        <v>8</v>
      </c>
      <c r="H250">
        <v>27.31</v>
      </c>
    </row>
    <row r="251" spans="1:8" x14ac:dyDescent="0.3">
      <c r="A251">
        <v>202010</v>
      </c>
      <c r="B251" s="1">
        <v>44105</v>
      </c>
      <c r="C251">
        <v>2020</v>
      </c>
      <c r="D251" t="s">
        <v>17</v>
      </c>
      <c r="E251" t="s">
        <v>20</v>
      </c>
      <c r="F251" t="s">
        <v>40</v>
      </c>
      <c r="G251" t="s">
        <v>8</v>
      </c>
      <c r="H251">
        <v>28.09</v>
      </c>
    </row>
    <row r="252" spans="1:8" x14ac:dyDescent="0.3">
      <c r="A252">
        <v>202011</v>
      </c>
      <c r="B252" s="1">
        <v>44136</v>
      </c>
      <c r="C252">
        <v>2020</v>
      </c>
      <c r="D252" t="s">
        <v>18</v>
      </c>
      <c r="E252" t="s">
        <v>20</v>
      </c>
      <c r="F252" t="s">
        <v>40</v>
      </c>
      <c r="G252" t="s">
        <v>8</v>
      </c>
      <c r="H252">
        <v>25.56</v>
      </c>
    </row>
    <row r="253" spans="1:8" x14ac:dyDescent="0.3">
      <c r="A253">
        <v>202012</v>
      </c>
      <c r="B253" s="1">
        <v>44166</v>
      </c>
      <c r="C253">
        <v>2020</v>
      </c>
      <c r="D253" t="s">
        <v>19</v>
      </c>
      <c r="E253" t="s">
        <v>20</v>
      </c>
      <c r="F253" t="s">
        <v>40</v>
      </c>
      <c r="G253" t="s">
        <v>8</v>
      </c>
      <c r="H253">
        <v>22.4</v>
      </c>
    </row>
    <row r="254" spans="1:8" x14ac:dyDescent="0.3">
      <c r="A254">
        <v>202001</v>
      </c>
      <c r="B254" s="1">
        <v>43831</v>
      </c>
      <c r="C254">
        <v>2020</v>
      </c>
      <c r="D254" t="s">
        <v>6</v>
      </c>
      <c r="E254" t="s">
        <v>20</v>
      </c>
      <c r="F254" t="s">
        <v>40</v>
      </c>
      <c r="G254" t="s">
        <v>8</v>
      </c>
      <c r="H254">
        <v>374.52</v>
      </c>
    </row>
    <row r="255" spans="1:8" x14ac:dyDescent="0.3">
      <c r="A255">
        <v>202002</v>
      </c>
      <c r="B255" s="1">
        <v>43862</v>
      </c>
      <c r="C255">
        <v>2020</v>
      </c>
      <c r="D255" t="s">
        <v>9</v>
      </c>
      <c r="E255" t="s">
        <v>20</v>
      </c>
      <c r="F255" t="s">
        <v>40</v>
      </c>
      <c r="G255" t="s">
        <v>8</v>
      </c>
      <c r="H255">
        <v>223.85</v>
      </c>
    </row>
    <row r="256" spans="1:8" x14ac:dyDescent="0.3">
      <c r="A256">
        <v>202003</v>
      </c>
      <c r="B256" s="1">
        <v>43891</v>
      </c>
      <c r="C256">
        <v>2020</v>
      </c>
      <c r="D256" t="s">
        <v>10</v>
      </c>
      <c r="E256" t="s">
        <v>20</v>
      </c>
      <c r="F256" t="s">
        <v>40</v>
      </c>
      <c r="G256" t="s">
        <v>8</v>
      </c>
      <c r="H256">
        <v>179.97</v>
      </c>
    </row>
    <row r="257" spans="1:8" x14ac:dyDescent="0.3">
      <c r="A257">
        <v>202004</v>
      </c>
      <c r="B257" s="1">
        <v>43922</v>
      </c>
      <c r="C257">
        <v>2020</v>
      </c>
      <c r="D257" t="s">
        <v>11</v>
      </c>
      <c r="E257" t="s">
        <v>20</v>
      </c>
      <c r="F257" t="s">
        <v>40</v>
      </c>
      <c r="G257" t="s">
        <v>8</v>
      </c>
      <c r="H257">
        <v>113.8</v>
      </c>
    </row>
    <row r="258" spans="1:8" x14ac:dyDescent="0.3">
      <c r="A258">
        <v>202005</v>
      </c>
      <c r="B258" s="1">
        <v>43952</v>
      </c>
      <c r="C258">
        <v>2020</v>
      </c>
      <c r="D258" t="s">
        <v>12</v>
      </c>
      <c r="E258" t="s">
        <v>20</v>
      </c>
      <c r="F258" t="s">
        <v>40</v>
      </c>
      <c r="G258" t="s">
        <v>8</v>
      </c>
      <c r="H258">
        <v>122.77</v>
      </c>
    </row>
    <row r="259" spans="1:8" x14ac:dyDescent="0.3">
      <c r="A259">
        <v>202006</v>
      </c>
      <c r="B259" s="1">
        <v>43983</v>
      </c>
      <c r="C259">
        <v>2020</v>
      </c>
      <c r="D259" t="s">
        <v>13</v>
      </c>
      <c r="E259" t="s">
        <v>20</v>
      </c>
      <c r="F259" t="s">
        <v>40</v>
      </c>
      <c r="G259" t="s">
        <v>8</v>
      </c>
      <c r="H259">
        <v>340.15</v>
      </c>
    </row>
    <row r="260" spans="1:8" x14ac:dyDescent="0.3">
      <c r="A260">
        <v>202007</v>
      </c>
      <c r="B260" s="1">
        <v>44013</v>
      </c>
      <c r="C260">
        <v>2020</v>
      </c>
      <c r="D260" t="s">
        <v>14</v>
      </c>
      <c r="E260" t="s">
        <v>20</v>
      </c>
      <c r="F260" t="s">
        <v>40</v>
      </c>
      <c r="G260" t="s">
        <v>8</v>
      </c>
      <c r="H260">
        <v>216.48</v>
      </c>
    </row>
    <row r="261" spans="1:8" x14ac:dyDescent="0.3">
      <c r="A261">
        <v>202008</v>
      </c>
      <c r="B261" s="1">
        <v>44044</v>
      </c>
      <c r="C261">
        <v>2020</v>
      </c>
      <c r="D261" t="s">
        <v>15</v>
      </c>
      <c r="E261" t="s">
        <v>20</v>
      </c>
      <c r="F261" t="s">
        <v>40</v>
      </c>
      <c r="G261" t="s">
        <v>8</v>
      </c>
      <c r="H261">
        <v>210.98</v>
      </c>
    </row>
    <row r="262" spans="1:8" x14ac:dyDescent="0.3">
      <c r="A262">
        <v>202009</v>
      </c>
      <c r="B262" s="1">
        <v>44075</v>
      </c>
      <c r="C262">
        <v>2020</v>
      </c>
      <c r="D262" t="s">
        <v>16</v>
      </c>
      <c r="E262" t="s">
        <v>20</v>
      </c>
      <c r="F262" t="s">
        <v>40</v>
      </c>
      <c r="G262" t="s">
        <v>8</v>
      </c>
      <c r="H262">
        <v>196.58</v>
      </c>
    </row>
    <row r="263" spans="1:8" x14ac:dyDescent="0.3">
      <c r="A263">
        <v>202010</v>
      </c>
      <c r="B263" s="1">
        <v>44105</v>
      </c>
      <c r="C263">
        <v>2020</v>
      </c>
      <c r="D263" t="s">
        <v>17</v>
      </c>
      <c r="E263" t="s">
        <v>20</v>
      </c>
      <c r="F263" t="s">
        <v>40</v>
      </c>
      <c r="G263" t="s">
        <v>8</v>
      </c>
      <c r="H263">
        <v>230.5</v>
      </c>
    </row>
    <row r="264" spans="1:8" x14ac:dyDescent="0.3">
      <c r="A264">
        <v>202011</v>
      </c>
      <c r="B264" s="1">
        <v>44136</v>
      </c>
      <c r="C264">
        <v>2020</v>
      </c>
      <c r="D264" t="s">
        <v>18</v>
      </c>
      <c r="E264" t="s">
        <v>20</v>
      </c>
      <c r="F264" t="s">
        <v>40</v>
      </c>
      <c r="G264" t="s">
        <v>8</v>
      </c>
      <c r="H264">
        <v>216.95</v>
      </c>
    </row>
    <row r="265" spans="1:8" x14ac:dyDescent="0.3">
      <c r="A265">
        <v>202012</v>
      </c>
      <c r="B265" s="1">
        <v>44166</v>
      </c>
      <c r="C265">
        <v>2020</v>
      </c>
      <c r="D265" t="s">
        <v>19</v>
      </c>
      <c r="E265" t="s">
        <v>20</v>
      </c>
      <c r="F265" t="s">
        <v>40</v>
      </c>
      <c r="G265" t="s">
        <v>8</v>
      </c>
      <c r="H265">
        <v>232.29</v>
      </c>
    </row>
    <row r="266" spans="1:8" x14ac:dyDescent="0.3">
      <c r="A266">
        <v>202001</v>
      </c>
      <c r="B266" s="1">
        <v>43831</v>
      </c>
      <c r="C266">
        <v>2020</v>
      </c>
      <c r="D266" t="s">
        <v>6</v>
      </c>
      <c r="E266" t="s">
        <v>21</v>
      </c>
      <c r="F266" t="s">
        <v>40</v>
      </c>
      <c r="G266" t="s">
        <v>8</v>
      </c>
      <c r="H266">
        <v>257.47000000000003</v>
      </c>
    </row>
    <row r="267" spans="1:8" x14ac:dyDescent="0.3">
      <c r="A267">
        <v>202002</v>
      </c>
      <c r="B267" s="1">
        <v>43862</v>
      </c>
      <c r="C267">
        <v>2020</v>
      </c>
      <c r="D267" t="s">
        <v>9</v>
      </c>
      <c r="E267" t="s">
        <v>21</v>
      </c>
      <c r="F267" t="s">
        <v>40</v>
      </c>
      <c r="G267" t="s">
        <v>8</v>
      </c>
      <c r="H267">
        <v>104.42</v>
      </c>
    </row>
    <row r="268" spans="1:8" x14ac:dyDescent="0.3">
      <c r="A268">
        <v>202003</v>
      </c>
      <c r="B268" s="1">
        <v>43891</v>
      </c>
      <c r="C268">
        <v>2020</v>
      </c>
      <c r="D268" t="s">
        <v>10</v>
      </c>
      <c r="E268" t="s">
        <v>21</v>
      </c>
      <c r="F268" t="s">
        <v>40</v>
      </c>
      <c r="G268" t="s">
        <v>8</v>
      </c>
      <c r="H268">
        <v>107.73</v>
      </c>
    </row>
    <row r="269" spans="1:8" x14ac:dyDescent="0.3">
      <c r="A269">
        <v>202004</v>
      </c>
      <c r="B269" s="1">
        <v>43922</v>
      </c>
      <c r="C269">
        <v>2020</v>
      </c>
      <c r="D269" t="s">
        <v>11</v>
      </c>
      <c r="E269" t="s">
        <v>21</v>
      </c>
      <c r="F269" t="s">
        <v>40</v>
      </c>
      <c r="G269" t="s">
        <v>8</v>
      </c>
      <c r="H269">
        <v>58.47</v>
      </c>
    </row>
    <row r="270" spans="1:8" x14ac:dyDescent="0.3">
      <c r="A270">
        <v>202005</v>
      </c>
      <c r="B270" s="1">
        <v>43952</v>
      </c>
      <c r="C270">
        <v>2020</v>
      </c>
      <c r="D270" t="s">
        <v>12</v>
      </c>
      <c r="E270" t="s">
        <v>21</v>
      </c>
      <c r="F270" t="s">
        <v>40</v>
      </c>
      <c r="G270" t="s">
        <v>8</v>
      </c>
      <c r="H270">
        <v>81.73</v>
      </c>
    </row>
    <row r="271" spans="1:8" x14ac:dyDescent="0.3">
      <c r="A271">
        <v>202006</v>
      </c>
      <c r="B271" s="1">
        <v>43983</v>
      </c>
      <c r="C271">
        <v>2020</v>
      </c>
      <c r="D271" t="s">
        <v>13</v>
      </c>
      <c r="E271" t="s">
        <v>21</v>
      </c>
      <c r="F271" t="s">
        <v>40</v>
      </c>
      <c r="G271" t="s">
        <v>8</v>
      </c>
      <c r="H271">
        <v>203.08</v>
      </c>
    </row>
    <row r="272" spans="1:8" x14ac:dyDescent="0.3">
      <c r="A272">
        <v>202007</v>
      </c>
      <c r="B272" s="1">
        <v>44013</v>
      </c>
      <c r="C272">
        <v>2020</v>
      </c>
      <c r="D272" t="s">
        <v>14</v>
      </c>
      <c r="E272" t="s">
        <v>21</v>
      </c>
      <c r="F272" t="s">
        <v>40</v>
      </c>
      <c r="G272" t="s">
        <v>8</v>
      </c>
      <c r="H272">
        <v>135.09</v>
      </c>
    </row>
    <row r="273" spans="1:8" x14ac:dyDescent="0.3">
      <c r="A273">
        <v>202008</v>
      </c>
      <c r="B273" s="1">
        <v>44044</v>
      </c>
      <c r="C273">
        <v>2020</v>
      </c>
      <c r="D273" t="s">
        <v>15</v>
      </c>
      <c r="E273" t="s">
        <v>21</v>
      </c>
      <c r="F273" t="s">
        <v>40</v>
      </c>
      <c r="G273" t="s">
        <v>8</v>
      </c>
      <c r="H273">
        <v>139.36000000000001</v>
      </c>
    </row>
    <row r="274" spans="1:8" x14ac:dyDescent="0.3">
      <c r="A274">
        <v>202009</v>
      </c>
      <c r="B274" s="1">
        <v>44075</v>
      </c>
      <c r="C274">
        <v>2020</v>
      </c>
      <c r="D274" t="s">
        <v>16</v>
      </c>
      <c r="E274" t="s">
        <v>21</v>
      </c>
      <c r="F274" t="s">
        <v>40</v>
      </c>
      <c r="G274" t="s">
        <v>8</v>
      </c>
      <c r="H274">
        <v>136.63</v>
      </c>
    </row>
    <row r="275" spans="1:8" x14ac:dyDescent="0.3">
      <c r="A275">
        <v>202010</v>
      </c>
      <c r="B275" s="1">
        <v>44105</v>
      </c>
      <c r="C275">
        <v>2020</v>
      </c>
      <c r="D275" t="s">
        <v>17</v>
      </c>
      <c r="E275" t="s">
        <v>21</v>
      </c>
      <c r="F275" t="s">
        <v>40</v>
      </c>
      <c r="G275" t="s">
        <v>8</v>
      </c>
      <c r="H275">
        <v>177.34</v>
      </c>
    </row>
    <row r="276" spans="1:8" x14ac:dyDescent="0.3">
      <c r="A276">
        <v>202011</v>
      </c>
      <c r="B276" s="1">
        <v>44136</v>
      </c>
      <c r="C276">
        <v>2020</v>
      </c>
      <c r="D276" t="s">
        <v>18</v>
      </c>
      <c r="E276" t="s">
        <v>21</v>
      </c>
      <c r="F276" t="s">
        <v>40</v>
      </c>
      <c r="G276" t="s">
        <v>8</v>
      </c>
      <c r="H276">
        <v>170.14</v>
      </c>
    </row>
    <row r="277" spans="1:8" x14ac:dyDescent="0.3">
      <c r="A277">
        <v>202012</v>
      </c>
      <c r="B277" s="1">
        <v>44166</v>
      </c>
      <c r="C277">
        <v>2020</v>
      </c>
      <c r="D277" t="s">
        <v>19</v>
      </c>
      <c r="E277" t="s">
        <v>21</v>
      </c>
      <c r="F277" t="s">
        <v>40</v>
      </c>
      <c r="G277" t="s">
        <v>8</v>
      </c>
      <c r="H277">
        <v>162.27000000000001</v>
      </c>
    </row>
    <row r="278" spans="1:8" x14ac:dyDescent="0.3">
      <c r="A278">
        <v>202001</v>
      </c>
      <c r="B278" s="1">
        <v>43831</v>
      </c>
      <c r="C278">
        <v>2020</v>
      </c>
      <c r="D278" t="s">
        <v>6</v>
      </c>
      <c r="E278" t="s">
        <v>21</v>
      </c>
      <c r="F278" t="s">
        <v>40</v>
      </c>
      <c r="G278" t="s">
        <v>8</v>
      </c>
      <c r="H278">
        <v>242.99</v>
      </c>
    </row>
    <row r="279" spans="1:8" x14ac:dyDescent="0.3">
      <c r="A279">
        <v>202002</v>
      </c>
      <c r="B279" s="1">
        <v>43862</v>
      </c>
      <c r="C279">
        <v>2020</v>
      </c>
      <c r="D279" t="s">
        <v>9</v>
      </c>
      <c r="E279" t="s">
        <v>21</v>
      </c>
      <c r="F279" t="s">
        <v>40</v>
      </c>
      <c r="G279" t="s">
        <v>8</v>
      </c>
      <c r="H279">
        <v>122.86</v>
      </c>
    </row>
    <row r="280" spans="1:8" x14ac:dyDescent="0.3">
      <c r="A280">
        <v>202003</v>
      </c>
      <c r="B280" s="1">
        <v>43891</v>
      </c>
      <c r="C280">
        <v>2020</v>
      </c>
      <c r="D280" t="s">
        <v>10</v>
      </c>
      <c r="E280" t="s">
        <v>21</v>
      </c>
      <c r="F280" t="s">
        <v>40</v>
      </c>
      <c r="G280" t="s">
        <v>8</v>
      </c>
      <c r="H280">
        <v>120.53</v>
      </c>
    </row>
    <row r="281" spans="1:8" x14ac:dyDescent="0.3">
      <c r="A281">
        <v>202004</v>
      </c>
      <c r="B281" s="1">
        <v>43922</v>
      </c>
      <c r="C281">
        <v>2020</v>
      </c>
      <c r="D281" t="s">
        <v>11</v>
      </c>
      <c r="E281" t="s">
        <v>21</v>
      </c>
      <c r="F281" t="s">
        <v>40</v>
      </c>
      <c r="G281" t="s">
        <v>8</v>
      </c>
      <c r="H281">
        <v>55.86</v>
      </c>
    </row>
    <row r="282" spans="1:8" x14ac:dyDescent="0.3">
      <c r="A282">
        <v>202005</v>
      </c>
      <c r="B282" s="1">
        <v>43952</v>
      </c>
      <c r="C282">
        <v>2020</v>
      </c>
      <c r="D282" t="s">
        <v>12</v>
      </c>
      <c r="E282" t="s">
        <v>21</v>
      </c>
      <c r="F282" t="s">
        <v>40</v>
      </c>
      <c r="G282" t="s">
        <v>8</v>
      </c>
      <c r="H282">
        <v>134.53</v>
      </c>
    </row>
    <row r="283" spans="1:8" x14ac:dyDescent="0.3">
      <c r="A283">
        <v>202006</v>
      </c>
      <c r="B283" s="1">
        <v>43983</v>
      </c>
      <c r="C283">
        <v>2020</v>
      </c>
      <c r="D283" t="s">
        <v>13</v>
      </c>
      <c r="E283" t="s">
        <v>21</v>
      </c>
      <c r="F283" t="s">
        <v>40</v>
      </c>
      <c r="G283" t="s">
        <v>8</v>
      </c>
      <c r="H283">
        <v>227.01</v>
      </c>
    </row>
    <row r="284" spans="1:8" x14ac:dyDescent="0.3">
      <c r="A284">
        <v>202007</v>
      </c>
      <c r="B284" s="1">
        <v>44013</v>
      </c>
      <c r="C284">
        <v>2020</v>
      </c>
      <c r="D284" t="s">
        <v>14</v>
      </c>
      <c r="E284" t="s">
        <v>21</v>
      </c>
      <c r="F284" t="s">
        <v>40</v>
      </c>
      <c r="G284" t="s">
        <v>8</v>
      </c>
      <c r="H284">
        <v>149.85</v>
      </c>
    </row>
    <row r="285" spans="1:8" x14ac:dyDescent="0.3">
      <c r="A285">
        <v>202008</v>
      </c>
      <c r="B285" s="1">
        <v>44044</v>
      </c>
      <c r="C285">
        <v>2020</v>
      </c>
      <c r="D285" t="s">
        <v>15</v>
      </c>
      <c r="E285" t="s">
        <v>21</v>
      </c>
      <c r="F285" t="s">
        <v>40</v>
      </c>
      <c r="G285" t="s">
        <v>8</v>
      </c>
      <c r="H285">
        <v>171.22</v>
      </c>
    </row>
    <row r="286" spans="1:8" x14ac:dyDescent="0.3">
      <c r="A286">
        <v>202009</v>
      </c>
      <c r="B286" s="1">
        <v>44075</v>
      </c>
      <c r="C286">
        <v>2020</v>
      </c>
      <c r="D286" t="s">
        <v>16</v>
      </c>
      <c r="E286" t="s">
        <v>21</v>
      </c>
      <c r="F286" t="s">
        <v>40</v>
      </c>
      <c r="G286" t="s">
        <v>8</v>
      </c>
      <c r="H286">
        <v>135.19999999999999</v>
      </c>
    </row>
    <row r="287" spans="1:8" x14ac:dyDescent="0.3">
      <c r="A287">
        <v>202010</v>
      </c>
      <c r="B287" s="1">
        <v>44105</v>
      </c>
      <c r="C287">
        <v>2020</v>
      </c>
      <c r="D287" t="s">
        <v>17</v>
      </c>
      <c r="E287" t="s">
        <v>21</v>
      </c>
      <c r="F287" t="s">
        <v>40</v>
      </c>
      <c r="G287" t="s">
        <v>8</v>
      </c>
      <c r="H287">
        <v>175.7</v>
      </c>
    </row>
    <row r="288" spans="1:8" x14ac:dyDescent="0.3">
      <c r="A288">
        <v>202011</v>
      </c>
      <c r="B288" s="1">
        <v>44136</v>
      </c>
      <c r="C288">
        <v>2020</v>
      </c>
      <c r="D288" t="s">
        <v>18</v>
      </c>
      <c r="E288" t="s">
        <v>21</v>
      </c>
      <c r="F288" t="s">
        <v>40</v>
      </c>
      <c r="G288" t="s">
        <v>8</v>
      </c>
      <c r="H288">
        <v>168.75</v>
      </c>
    </row>
    <row r="289" spans="1:8" x14ac:dyDescent="0.3">
      <c r="A289">
        <v>202012</v>
      </c>
      <c r="B289" s="1">
        <v>44166</v>
      </c>
      <c r="C289">
        <v>2020</v>
      </c>
      <c r="D289" t="s">
        <v>19</v>
      </c>
      <c r="E289" t="s">
        <v>21</v>
      </c>
      <c r="F289" t="s">
        <v>40</v>
      </c>
      <c r="G289" t="s">
        <v>8</v>
      </c>
      <c r="H289">
        <v>169.81</v>
      </c>
    </row>
    <row r="290" spans="1:8" x14ac:dyDescent="0.3">
      <c r="A290">
        <v>202001</v>
      </c>
      <c r="B290" s="1">
        <v>43831</v>
      </c>
      <c r="C290">
        <v>2020</v>
      </c>
      <c r="D290" t="s">
        <v>6</v>
      </c>
      <c r="E290" t="s">
        <v>21</v>
      </c>
      <c r="F290" t="s">
        <v>40</v>
      </c>
      <c r="G290" t="s">
        <v>8</v>
      </c>
      <c r="H290">
        <v>320.54000000000002</v>
      </c>
    </row>
    <row r="291" spans="1:8" x14ac:dyDescent="0.3">
      <c r="A291">
        <v>202002</v>
      </c>
      <c r="B291" s="1">
        <v>43862</v>
      </c>
      <c r="C291">
        <v>2020</v>
      </c>
      <c r="D291" t="s">
        <v>9</v>
      </c>
      <c r="E291" t="s">
        <v>21</v>
      </c>
      <c r="F291" t="s">
        <v>40</v>
      </c>
      <c r="G291" t="s">
        <v>8</v>
      </c>
      <c r="H291">
        <v>181.61</v>
      </c>
    </row>
    <row r="292" spans="1:8" x14ac:dyDescent="0.3">
      <c r="A292">
        <v>202003</v>
      </c>
      <c r="B292" s="1">
        <v>43891</v>
      </c>
      <c r="C292">
        <v>2020</v>
      </c>
      <c r="D292" t="s">
        <v>10</v>
      </c>
      <c r="E292" t="s">
        <v>21</v>
      </c>
      <c r="F292" t="s">
        <v>40</v>
      </c>
      <c r="G292" t="s">
        <v>8</v>
      </c>
      <c r="H292">
        <v>161.80000000000001</v>
      </c>
    </row>
    <row r="293" spans="1:8" x14ac:dyDescent="0.3">
      <c r="A293">
        <v>202004</v>
      </c>
      <c r="B293" s="1">
        <v>43922</v>
      </c>
      <c r="C293">
        <v>2020</v>
      </c>
      <c r="D293" t="s">
        <v>11</v>
      </c>
      <c r="E293" t="s">
        <v>21</v>
      </c>
      <c r="F293" t="s">
        <v>40</v>
      </c>
      <c r="G293" t="s">
        <v>8</v>
      </c>
      <c r="H293">
        <v>90.67</v>
      </c>
    </row>
    <row r="294" spans="1:8" x14ac:dyDescent="0.3">
      <c r="A294">
        <v>202005</v>
      </c>
      <c r="B294" s="1">
        <v>43952</v>
      </c>
      <c r="C294">
        <v>2020</v>
      </c>
      <c r="D294" t="s">
        <v>12</v>
      </c>
      <c r="E294" t="s">
        <v>21</v>
      </c>
      <c r="F294" t="s">
        <v>40</v>
      </c>
      <c r="G294" t="s">
        <v>8</v>
      </c>
      <c r="H294">
        <v>168.94</v>
      </c>
    </row>
    <row r="295" spans="1:8" x14ac:dyDescent="0.3">
      <c r="A295">
        <v>202006</v>
      </c>
      <c r="B295" s="1">
        <v>43983</v>
      </c>
      <c r="C295">
        <v>2020</v>
      </c>
      <c r="D295" t="s">
        <v>13</v>
      </c>
      <c r="E295" t="s">
        <v>21</v>
      </c>
      <c r="F295" t="s">
        <v>40</v>
      </c>
      <c r="G295" t="s">
        <v>8</v>
      </c>
      <c r="H295">
        <v>357.36</v>
      </c>
    </row>
    <row r="296" spans="1:8" x14ac:dyDescent="0.3">
      <c r="A296">
        <v>202007</v>
      </c>
      <c r="B296" s="1">
        <v>44013</v>
      </c>
      <c r="C296">
        <v>2020</v>
      </c>
      <c r="D296" t="s">
        <v>14</v>
      </c>
      <c r="E296" t="s">
        <v>21</v>
      </c>
      <c r="F296" t="s">
        <v>40</v>
      </c>
      <c r="G296" t="s">
        <v>8</v>
      </c>
      <c r="H296">
        <v>210.57</v>
      </c>
    </row>
    <row r="297" spans="1:8" x14ac:dyDescent="0.3">
      <c r="A297">
        <v>202008</v>
      </c>
      <c r="B297" s="1">
        <v>44044</v>
      </c>
      <c r="C297">
        <v>2020</v>
      </c>
      <c r="D297" t="s">
        <v>15</v>
      </c>
      <c r="E297" t="s">
        <v>21</v>
      </c>
      <c r="F297" t="s">
        <v>40</v>
      </c>
      <c r="G297" t="s">
        <v>8</v>
      </c>
      <c r="H297">
        <v>245.74</v>
      </c>
    </row>
    <row r="298" spans="1:8" x14ac:dyDescent="0.3">
      <c r="A298">
        <v>202009</v>
      </c>
      <c r="B298" s="1">
        <v>44075</v>
      </c>
      <c r="C298">
        <v>2020</v>
      </c>
      <c r="D298" t="s">
        <v>16</v>
      </c>
      <c r="E298" t="s">
        <v>21</v>
      </c>
      <c r="F298" t="s">
        <v>40</v>
      </c>
      <c r="G298" t="s">
        <v>8</v>
      </c>
      <c r="H298">
        <v>203.71</v>
      </c>
    </row>
    <row r="299" spans="1:8" x14ac:dyDescent="0.3">
      <c r="A299">
        <v>202010</v>
      </c>
      <c r="B299" s="1">
        <v>44105</v>
      </c>
      <c r="C299">
        <v>2020</v>
      </c>
      <c r="D299" t="s">
        <v>17</v>
      </c>
      <c r="E299" t="s">
        <v>21</v>
      </c>
      <c r="F299" t="s">
        <v>40</v>
      </c>
      <c r="G299" t="s">
        <v>8</v>
      </c>
      <c r="H299">
        <v>245.2</v>
      </c>
    </row>
    <row r="300" spans="1:8" x14ac:dyDescent="0.3">
      <c r="A300">
        <v>202011</v>
      </c>
      <c r="B300" s="1">
        <v>44136</v>
      </c>
      <c r="C300">
        <v>2020</v>
      </c>
      <c r="D300" t="s">
        <v>18</v>
      </c>
      <c r="E300" t="s">
        <v>21</v>
      </c>
      <c r="F300" t="s">
        <v>40</v>
      </c>
      <c r="G300" t="s">
        <v>8</v>
      </c>
      <c r="H300">
        <v>243.49</v>
      </c>
    </row>
    <row r="301" spans="1:8" x14ac:dyDescent="0.3">
      <c r="A301">
        <v>202012</v>
      </c>
      <c r="B301" s="1">
        <v>44166</v>
      </c>
      <c r="C301">
        <v>2020</v>
      </c>
      <c r="D301" t="s">
        <v>19</v>
      </c>
      <c r="E301" t="s">
        <v>21</v>
      </c>
      <c r="F301" t="s">
        <v>40</v>
      </c>
      <c r="G301" t="s">
        <v>8</v>
      </c>
      <c r="H301">
        <v>234.61</v>
      </c>
    </row>
    <row r="302" spans="1:8" x14ac:dyDescent="0.3">
      <c r="A302">
        <v>202001</v>
      </c>
      <c r="B302" s="1">
        <v>43831</v>
      </c>
      <c r="C302">
        <v>2020</v>
      </c>
      <c r="D302" t="s">
        <v>6</v>
      </c>
      <c r="E302" t="s">
        <v>21</v>
      </c>
      <c r="F302" t="s">
        <v>40</v>
      </c>
      <c r="G302" t="s">
        <v>8</v>
      </c>
      <c r="H302">
        <v>696.43</v>
      </c>
    </row>
    <row r="303" spans="1:8" x14ac:dyDescent="0.3">
      <c r="A303">
        <v>202002</v>
      </c>
      <c r="B303" s="1">
        <v>43862</v>
      </c>
      <c r="C303">
        <v>2020</v>
      </c>
      <c r="D303" t="s">
        <v>9</v>
      </c>
      <c r="E303" t="s">
        <v>21</v>
      </c>
      <c r="F303" t="s">
        <v>40</v>
      </c>
      <c r="G303" t="s">
        <v>8</v>
      </c>
      <c r="H303">
        <v>579.4</v>
      </c>
    </row>
    <row r="304" spans="1:8" x14ac:dyDescent="0.3">
      <c r="A304">
        <v>202003</v>
      </c>
      <c r="B304" s="1">
        <v>43891</v>
      </c>
      <c r="C304">
        <v>2020</v>
      </c>
      <c r="D304" t="s">
        <v>10</v>
      </c>
      <c r="E304" t="s">
        <v>21</v>
      </c>
      <c r="F304" t="s">
        <v>40</v>
      </c>
      <c r="G304" t="s">
        <v>8</v>
      </c>
      <c r="H304">
        <v>487.1</v>
      </c>
    </row>
    <row r="305" spans="1:8" x14ac:dyDescent="0.3">
      <c r="A305">
        <v>202004</v>
      </c>
      <c r="B305" s="1">
        <v>43922</v>
      </c>
      <c r="C305">
        <v>2020</v>
      </c>
      <c r="D305" t="s">
        <v>11</v>
      </c>
      <c r="E305" t="s">
        <v>21</v>
      </c>
      <c r="F305" t="s">
        <v>40</v>
      </c>
      <c r="G305" t="s">
        <v>8</v>
      </c>
      <c r="H305">
        <v>136.65</v>
      </c>
    </row>
    <row r="306" spans="1:8" x14ac:dyDescent="0.3">
      <c r="A306">
        <v>202005</v>
      </c>
      <c r="B306" s="1">
        <v>43952</v>
      </c>
      <c r="C306">
        <v>2020</v>
      </c>
      <c r="D306" t="s">
        <v>12</v>
      </c>
      <c r="E306" t="s">
        <v>21</v>
      </c>
      <c r="F306" t="s">
        <v>40</v>
      </c>
      <c r="G306" t="s">
        <v>8</v>
      </c>
      <c r="H306">
        <v>280.41000000000003</v>
      </c>
    </row>
    <row r="307" spans="1:8" x14ac:dyDescent="0.3">
      <c r="A307">
        <v>202006</v>
      </c>
      <c r="B307" s="1">
        <v>43983</v>
      </c>
      <c r="C307">
        <v>2020</v>
      </c>
      <c r="D307" t="s">
        <v>13</v>
      </c>
      <c r="E307" t="s">
        <v>21</v>
      </c>
      <c r="F307" t="s">
        <v>40</v>
      </c>
      <c r="G307" t="s">
        <v>8</v>
      </c>
      <c r="H307">
        <v>894.1</v>
      </c>
    </row>
    <row r="308" spans="1:8" x14ac:dyDescent="0.3">
      <c r="A308">
        <v>202007</v>
      </c>
      <c r="B308" s="1">
        <v>44013</v>
      </c>
      <c r="C308">
        <v>2020</v>
      </c>
      <c r="D308" t="s">
        <v>14</v>
      </c>
      <c r="E308" t="s">
        <v>21</v>
      </c>
      <c r="F308" t="s">
        <v>40</v>
      </c>
      <c r="G308" t="s">
        <v>8</v>
      </c>
      <c r="H308">
        <v>602.63</v>
      </c>
    </row>
    <row r="309" spans="1:8" x14ac:dyDescent="0.3">
      <c r="A309">
        <v>202008</v>
      </c>
      <c r="B309" s="1">
        <v>44044</v>
      </c>
      <c r="C309">
        <v>2020</v>
      </c>
      <c r="D309" t="s">
        <v>15</v>
      </c>
      <c r="E309" t="s">
        <v>21</v>
      </c>
      <c r="F309" t="s">
        <v>40</v>
      </c>
      <c r="G309" t="s">
        <v>8</v>
      </c>
      <c r="H309">
        <v>567.44000000000005</v>
      </c>
    </row>
    <row r="310" spans="1:8" x14ac:dyDescent="0.3">
      <c r="A310">
        <v>202009</v>
      </c>
      <c r="B310" s="1">
        <v>44075</v>
      </c>
      <c r="C310">
        <v>2020</v>
      </c>
      <c r="D310" t="s">
        <v>16</v>
      </c>
      <c r="E310" t="s">
        <v>21</v>
      </c>
      <c r="F310" t="s">
        <v>40</v>
      </c>
      <c r="G310" t="s">
        <v>8</v>
      </c>
      <c r="H310">
        <v>511.41</v>
      </c>
    </row>
    <row r="311" spans="1:8" x14ac:dyDescent="0.3">
      <c r="A311">
        <v>202010</v>
      </c>
      <c r="B311" s="1">
        <v>44105</v>
      </c>
      <c r="C311">
        <v>2020</v>
      </c>
      <c r="D311" t="s">
        <v>17</v>
      </c>
      <c r="E311" t="s">
        <v>21</v>
      </c>
      <c r="F311" t="s">
        <v>40</v>
      </c>
      <c r="G311" t="s">
        <v>8</v>
      </c>
      <c r="H311">
        <v>594.54999999999995</v>
      </c>
    </row>
    <row r="312" spans="1:8" x14ac:dyDescent="0.3">
      <c r="A312">
        <v>202011</v>
      </c>
      <c r="B312" s="1">
        <v>44136</v>
      </c>
      <c r="C312">
        <v>2020</v>
      </c>
      <c r="D312" t="s">
        <v>18</v>
      </c>
      <c r="E312" t="s">
        <v>21</v>
      </c>
      <c r="F312" t="s">
        <v>40</v>
      </c>
      <c r="G312" t="s">
        <v>8</v>
      </c>
      <c r="H312">
        <v>602.28</v>
      </c>
    </row>
    <row r="313" spans="1:8" x14ac:dyDescent="0.3">
      <c r="A313">
        <v>202012</v>
      </c>
      <c r="B313" s="1">
        <v>44166</v>
      </c>
      <c r="C313">
        <v>2020</v>
      </c>
      <c r="D313" t="s">
        <v>19</v>
      </c>
      <c r="E313" t="s">
        <v>21</v>
      </c>
      <c r="F313" t="s">
        <v>40</v>
      </c>
      <c r="G313" t="s">
        <v>8</v>
      </c>
      <c r="H313">
        <v>582.24</v>
      </c>
    </row>
    <row r="314" spans="1:8" x14ac:dyDescent="0.3">
      <c r="A314">
        <v>202001</v>
      </c>
      <c r="B314" s="1">
        <v>43831</v>
      </c>
      <c r="C314">
        <v>2020</v>
      </c>
      <c r="D314" t="s">
        <v>6</v>
      </c>
      <c r="E314" t="s">
        <v>22</v>
      </c>
      <c r="F314" t="s">
        <v>40</v>
      </c>
      <c r="G314" t="s">
        <v>8</v>
      </c>
      <c r="H314">
        <v>369.19</v>
      </c>
    </row>
    <row r="315" spans="1:8" x14ac:dyDescent="0.3">
      <c r="A315">
        <v>202002</v>
      </c>
      <c r="B315" s="1">
        <v>43862</v>
      </c>
      <c r="C315">
        <v>2020</v>
      </c>
      <c r="D315" t="s">
        <v>9</v>
      </c>
      <c r="E315" t="s">
        <v>22</v>
      </c>
      <c r="F315" t="s">
        <v>40</v>
      </c>
      <c r="G315" t="s">
        <v>8</v>
      </c>
      <c r="H315">
        <v>287.93</v>
      </c>
    </row>
    <row r="316" spans="1:8" x14ac:dyDescent="0.3">
      <c r="A316">
        <v>202003</v>
      </c>
      <c r="B316" s="1">
        <v>43891</v>
      </c>
      <c r="C316">
        <v>2020</v>
      </c>
      <c r="D316" t="s">
        <v>10</v>
      </c>
      <c r="E316" t="s">
        <v>22</v>
      </c>
      <c r="F316" t="s">
        <v>40</v>
      </c>
      <c r="G316" t="s">
        <v>8</v>
      </c>
      <c r="H316">
        <v>270.22000000000003</v>
      </c>
    </row>
    <row r="317" spans="1:8" x14ac:dyDescent="0.3">
      <c r="A317">
        <v>202004</v>
      </c>
      <c r="B317" s="1">
        <v>43922</v>
      </c>
      <c r="C317">
        <v>2020</v>
      </c>
      <c r="D317" t="s">
        <v>11</v>
      </c>
      <c r="E317" t="s">
        <v>22</v>
      </c>
      <c r="F317" t="s">
        <v>40</v>
      </c>
      <c r="G317" t="s">
        <v>8</v>
      </c>
      <c r="H317">
        <v>181.52</v>
      </c>
    </row>
    <row r="318" spans="1:8" x14ac:dyDescent="0.3">
      <c r="A318">
        <v>202005</v>
      </c>
      <c r="B318" s="1">
        <v>43952</v>
      </c>
      <c r="C318">
        <v>2020</v>
      </c>
      <c r="D318" t="s">
        <v>12</v>
      </c>
      <c r="E318" t="s">
        <v>22</v>
      </c>
      <c r="F318" t="s">
        <v>40</v>
      </c>
      <c r="G318" t="s">
        <v>8</v>
      </c>
      <c r="H318">
        <v>235.25</v>
      </c>
    </row>
    <row r="319" spans="1:8" x14ac:dyDescent="0.3">
      <c r="A319">
        <v>202006</v>
      </c>
      <c r="B319" s="1">
        <v>43983</v>
      </c>
      <c r="C319">
        <v>2020</v>
      </c>
      <c r="D319" t="s">
        <v>13</v>
      </c>
      <c r="E319" t="s">
        <v>22</v>
      </c>
      <c r="F319" t="s">
        <v>40</v>
      </c>
      <c r="G319" t="s">
        <v>8</v>
      </c>
      <c r="H319">
        <v>390.03</v>
      </c>
    </row>
    <row r="320" spans="1:8" x14ac:dyDescent="0.3">
      <c r="A320">
        <v>202007</v>
      </c>
      <c r="B320" s="1">
        <v>44013</v>
      </c>
      <c r="C320">
        <v>2020</v>
      </c>
      <c r="D320" t="s">
        <v>14</v>
      </c>
      <c r="E320" t="s">
        <v>22</v>
      </c>
      <c r="F320" t="s">
        <v>40</v>
      </c>
      <c r="G320" t="s">
        <v>8</v>
      </c>
      <c r="H320">
        <v>311.60000000000002</v>
      </c>
    </row>
    <row r="321" spans="1:8" x14ac:dyDescent="0.3">
      <c r="A321">
        <v>202008</v>
      </c>
      <c r="B321" s="1">
        <v>44044</v>
      </c>
      <c r="C321">
        <v>2020</v>
      </c>
      <c r="D321" t="s">
        <v>15</v>
      </c>
      <c r="E321" t="s">
        <v>22</v>
      </c>
      <c r="F321" t="s">
        <v>40</v>
      </c>
      <c r="G321" t="s">
        <v>8</v>
      </c>
      <c r="H321">
        <v>277.85000000000002</v>
      </c>
    </row>
    <row r="322" spans="1:8" x14ac:dyDescent="0.3">
      <c r="A322">
        <v>202009</v>
      </c>
      <c r="B322" s="1">
        <v>44075</v>
      </c>
      <c r="C322">
        <v>2020</v>
      </c>
      <c r="D322" t="s">
        <v>16</v>
      </c>
      <c r="E322" t="s">
        <v>22</v>
      </c>
      <c r="F322" t="s">
        <v>40</v>
      </c>
      <c r="G322" t="s">
        <v>8</v>
      </c>
      <c r="H322">
        <v>250.96</v>
      </c>
    </row>
    <row r="323" spans="1:8" x14ac:dyDescent="0.3">
      <c r="A323">
        <v>202010</v>
      </c>
      <c r="B323" s="1">
        <v>44105</v>
      </c>
      <c r="C323">
        <v>2020</v>
      </c>
      <c r="D323" t="s">
        <v>17</v>
      </c>
      <c r="E323" t="s">
        <v>22</v>
      </c>
      <c r="F323" t="s">
        <v>40</v>
      </c>
      <c r="G323" t="s">
        <v>8</v>
      </c>
      <c r="H323">
        <v>292.54000000000002</v>
      </c>
    </row>
    <row r="324" spans="1:8" x14ac:dyDescent="0.3">
      <c r="A324">
        <v>202011</v>
      </c>
      <c r="B324" s="1">
        <v>44136</v>
      </c>
      <c r="C324">
        <v>2020</v>
      </c>
      <c r="D324" t="s">
        <v>18</v>
      </c>
      <c r="E324" t="s">
        <v>22</v>
      </c>
      <c r="F324" t="s">
        <v>40</v>
      </c>
      <c r="G324" t="s">
        <v>8</v>
      </c>
      <c r="H324">
        <v>270.76</v>
      </c>
    </row>
    <row r="325" spans="1:8" x14ac:dyDescent="0.3">
      <c r="A325">
        <v>202012</v>
      </c>
      <c r="B325" s="1">
        <v>44166</v>
      </c>
      <c r="C325">
        <v>2020</v>
      </c>
      <c r="D325" t="s">
        <v>19</v>
      </c>
      <c r="E325" t="s">
        <v>22</v>
      </c>
      <c r="F325" t="s">
        <v>40</v>
      </c>
      <c r="G325" t="s">
        <v>8</v>
      </c>
      <c r="H325">
        <v>269.32</v>
      </c>
    </row>
    <row r="326" spans="1:8" x14ac:dyDescent="0.3">
      <c r="A326">
        <v>202001</v>
      </c>
      <c r="B326" s="1">
        <v>43831</v>
      </c>
      <c r="C326">
        <v>2020</v>
      </c>
      <c r="D326" t="s">
        <v>6</v>
      </c>
      <c r="E326" t="s">
        <v>22</v>
      </c>
      <c r="F326" t="s">
        <v>40</v>
      </c>
      <c r="G326" t="s">
        <v>8</v>
      </c>
      <c r="H326">
        <v>441.18</v>
      </c>
    </row>
    <row r="327" spans="1:8" x14ac:dyDescent="0.3">
      <c r="A327">
        <v>202002</v>
      </c>
      <c r="B327" s="1">
        <v>43862</v>
      </c>
      <c r="C327">
        <v>2020</v>
      </c>
      <c r="D327" t="s">
        <v>9</v>
      </c>
      <c r="E327" t="s">
        <v>22</v>
      </c>
      <c r="F327" t="s">
        <v>40</v>
      </c>
      <c r="G327" t="s">
        <v>8</v>
      </c>
      <c r="H327">
        <v>229.55</v>
      </c>
    </row>
    <row r="328" spans="1:8" x14ac:dyDescent="0.3">
      <c r="A328">
        <v>202003</v>
      </c>
      <c r="B328" s="1">
        <v>43891</v>
      </c>
      <c r="C328">
        <v>2020</v>
      </c>
      <c r="D328" t="s">
        <v>10</v>
      </c>
      <c r="E328" t="s">
        <v>22</v>
      </c>
      <c r="F328" t="s">
        <v>40</v>
      </c>
      <c r="G328" t="s">
        <v>8</v>
      </c>
      <c r="H328">
        <v>221.02</v>
      </c>
    </row>
    <row r="329" spans="1:8" x14ac:dyDescent="0.3">
      <c r="A329">
        <v>202004</v>
      </c>
      <c r="B329" s="1">
        <v>43922</v>
      </c>
      <c r="C329">
        <v>2020</v>
      </c>
      <c r="D329" t="s">
        <v>11</v>
      </c>
      <c r="E329" t="s">
        <v>22</v>
      </c>
      <c r="F329" t="s">
        <v>40</v>
      </c>
      <c r="G329" t="s">
        <v>8</v>
      </c>
      <c r="H329">
        <v>120.82</v>
      </c>
    </row>
    <row r="330" spans="1:8" x14ac:dyDescent="0.3">
      <c r="A330">
        <v>202005</v>
      </c>
      <c r="B330" s="1">
        <v>43952</v>
      </c>
      <c r="C330">
        <v>2020</v>
      </c>
      <c r="D330" t="s">
        <v>12</v>
      </c>
      <c r="E330" t="s">
        <v>22</v>
      </c>
      <c r="F330" t="s">
        <v>40</v>
      </c>
      <c r="G330" t="s">
        <v>8</v>
      </c>
      <c r="H330">
        <v>236.33</v>
      </c>
    </row>
    <row r="331" spans="1:8" x14ac:dyDescent="0.3">
      <c r="A331">
        <v>202006</v>
      </c>
      <c r="B331" s="1">
        <v>43983</v>
      </c>
      <c r="C331">
        <v>2020</v>
      </c>
      <c r="D331" t="s">
        <v>13</v>
      </c>
      <c r="E331" t="s">
        <v>22</v>
      </c>
      <c r="F331" t="s">
        <v>40</v>
      </c>
      <c r="G331" t="s">
        <v>8</v>
      </c>
      <c r="H331">
        <v>580.1</v>
      </c>
    </row>
    <row r="332" spans="1:8" x14ac:dyDescent="0.3">
      <c r="A332">
        <v>202007</v>
      </c>
      <c r="B332" s="1">
        <v>44013</v>
      </c>
      <c r="C332">
        <v>2020</v>
      </c>
      <c r="D332" t="s">
        <v>14</v>
      </c>
      <c r="E332" t="s">
        <v>22</v>
      </c>
      <c r="F332" t="s">
        <v>40</v>
      </c>
      <c r="G332" t="s">
        <v>8</v>
      </c>
      <c r="H332">
        <v>321.22000000000003</v>
      </c>
    </row>
    <row r="333" spans="1:8" x14ac:dyDescent="0.3">
      <c r="A333">
        <v>202008</v>
      </c>
      <c r="B333" s="1">
        <v>44044</v>
      </c>
      <c r="C333">
        <v>2020</v>
      </c>
      <c r="D333" t="s">
        <v>15</v>
      </c>
      <c r="E333" t="s">
        <v>22</v>
      </c>
      <c r="F333" t="s">
        <v>40</v>
      </c>
      <c r="G333" t="s">
        <v>8</v>
      </c>
      <c r="H333">
        <v>316.82</v>
      </c>
    </row>
    <row r="334" spans="1:8" x14ac:dyDescent="0.3">
      <c r="A334">
        <v>202009</v>
      </c>
      <c r="B334" s="1">
        <v>44075</v>
      </c>
      <c r="C334">
        <v>2020</v>
      </c>
      <c r="D334" t="s">
        <v>16</v>
      </c>
      <c r="E334" t="s">
        <v>22</v>
      </c>
      <c r="F334" t="s">
        <v>40</v>
      </c>
      <c r="G334" t="s">
        <v>8</v>
      </c>
      <c r="H334">
        <v>258.26</v>
      </c>
    </row>
    <row r="335" spans="1:8" x14ac:dyDescent="0.3">
      <c r="A335">
        <v>202010</v>
      </c>
      <c r="B335" s="1">
        <v>44105</v>
      </c>
      <c r="C335">
        <v>2020</v>
      </c>
      <c r="D335" t="s">
        <v>17</v>
      </c>
      <c r="E335" t="s">
        <v>22</v>
      </c>
      <c r="F335" t="s">
        <v>40</v>
      </c>
      <c r="G335" t="s">
        <v>8</v>
      </c>
      <c r="H335">
        <v>333.5</v>
      </c>
    </row>
    <row r="336" spans="1:8" x14ac:dyDescent="0.3">
      <c r="A336">
        <v>202011</v>
      </c>
      <c r="B336" s="1">
        <v>44136</v>
      </c>
      <c r="C336">
        <v>2020</v>
      </c>
      <c r="D336" t="s">
        <v>18</v>
      </c>
      <c r="E336" t="s">
        <v>22</v>
      </c>
      <c r="F336" t="s">
        <v>40</v>
      </c>
      <c r="G336" t="s">
        <v>8</v>
      </c>
      <c r="H336">
        <v>298.5</v>
      </c>
    </row>
    <row r="337" spans="1:8" x14ac:dyDescent="0.3">
      <c r="A337">
        <v>202012</v>
      </c>
      <c r="B337" s="1">
        <v>44166</v>
      </c>
      <c r="C337">
        <v>2020</v>
      </c>
      <c r="D337" t="s">
        <v>19</v>
      </c>
      <c r="E337" t="s">
        <v>22</v>
      </c>
      <c r="F337" t="s">
        <v>40</v>
      </c>
      <c r="G337" t="s">
        <v>8</v>
      </c>
      <c r="H337">
        <v>274.44</v>
      </c>
    </row>
    <row r="338" spans="1:8" x14ac:dyDescent="0.3">
      <c r="A338">
        <v>202001</v>
      </c>
      <c r="B338" s="1">
        <v>43831</v>
      </c>
      <c r="C338">
        <v>2020</v>
      </c>
      <c r="D338" t="s">
        <v>6</v>
      </c>
      <c r="E338" t="s">
        <v>22</v>
      </c>
      <c r="F338" t="s">
        <v>40</v>
      </c>
      <c r="G338" t="s">
        <v>8</v>
      </c>
      <c r="H338">
        <v>130.71</v>
      </c>
    </row>
    <row r="339" spans="1:8" x14ac:dyDescent="0.3">
      <c r="A339">
        <v>202002</v>
      </c>
      <c r="B339" s="1">
        <v>43862</v>
      </c>
      <c r="C339">
        <v>2020</v>
      </c>
      <c r="D339" t="s">
        <v>9</v>
      </c>
      <c r="E339" t="s">
        <v>22</v>
      </c>
      <c r="F339" t="s">
        <v>40</v>
      </c>
      <c r="G339" t="s">
        <v>8</v>
      </c>
      <c r="H339">
        <v>67.97</v>
      </c>
    </row>
    <row r="340" spans="1:8" x14ac:dyDescent="0.3">
      <c r="A340">
        <v>202003</v>
      </c>
      <c r="B340" s="1">
        <v>43891</v>
      </c>
      <c r="C340">
        <v>2020</v>
      </c>
      <c r="D340" t="s">
        <v>10</v>
      </c>
      <c r="E340" t="s">
        <v>22</v>
      </c>
      <c r="F340" t="s">
        <v>40</v>
      </c>
      <c r="G340" t="s">
        <v>8</v>
      </c>
      <c r="H340">
        <v>66.48</v>
      </c>
    </row>
    <row r="341" spans="1:8" x14ac:dyDescent="0.3">
      <c r="A341">
        <v>202004</v>
      </c>
      <c r="B341" s="1">
        <v>43922</v>
      </c>
      <c r="C341">
        <v>2020</v>
      </c>
      <c r="D341" t="s">
        <v>11</v>
      </c>
      <c r="E341" t="s">
        <v>22</v>
      </c>
      <c r="F341" t="s">
        <v>40</v>
      </c>
      <c r="G341" t="s">
        <v>8</v>
      </c>
      <c r="H341">
        <v>46.9</v>
      </c>
    </row>
    <row r="342" spans="1:8" x14ac:dyDescent="0.3">
      <c r="A342">
        <v>202005</v>
      </c>
      <c r="B342" s="1">
        <v>43952</v>
      </c>
      <c r="C342">
        <v>2020</v>
      </c>
      <c r="D342" t="s">
        <v>12</v>
      </c>
      <c r="E342" t="s">
        <v>22</v>
      </c>
      <c r="F342" t="s">
        <v>40</v>
      </c>
      <c r="G342" t="s">
        <v>8</v>
      </c>
      <c r="H342">
        <v>58.33</v>
      </c>
    </row>
    <row r="343" spans="1:8" x14ac:dyDescent="0.3">
      <c r="A343">
        <v>202006</v>
      </c>
      <c r="B343" s="1">
        <v>43983</v>
      </c>
      <c r="C343">
        <v>2020</v>
      </c>
      <c r="D343" t="s">
        <v>13</v>
      </c>
      <c r="E343" t="s">
        <v>22</v>
      </c>
      <c r="F343" t="s">
        <v>40</v>
      </c>
      <c r="G343" t="s">
        <v>8</v>
      </c>
      <c r="H343">
        <v>110.75</v>
      </c>
    </row>
    <row r="344" spans="1:8" x14ac:dyDescent="0.3">
      <c r="A344">
        <v>202007</v>
      </c>
      <c r="B344" s="1">
        <v>44013</v>
      </c>
      <c r="C344">
        <v>2020</v>
      </c>
      <c r="D344" t="s">
        <v>14</v>
      </c>
      <c r="E344" t="s">
        <v>22</v>
      </c>
      <c r="F344" t="s">
        <v>40</v>
      </c>
      <c r="G344" t="s">
        <v>8</v>
      </c>
      <c r="H344">
        <v>93.28</v>
      </c>
    </row>
    <row r="345" spans="1:8" x14ac:dyDescent="0.3">
      <c r="A345">
        <v>202008</v>
      </c>
      <c r="B345" s="1">
        <v>44044</v>
      </c>
      <c r="C345">
        <v>2020</v>
      </c>
      <c r="D345" t="s">
        <v>15</v>
      </c>
      <c r="E345" t="s">
        <v>22</v>
      </c>
      <c r="F345" t="s">
        <v>40</v>
      </c>
      <c r="G345" t="s">
        <v>8</v>
      </c>
      <c r="H345">
        <v>79.099999999999994</v>
      </c>
    </row>
    <row r="346" spans="1:8" x14ac:dyDescent="0.3">
      <c r="A346">
        <v>202009</v>
      </c>
      <c r="B346" s="1">
        <v>44075</v>
      </c>
      <c r="C346">
        <v>2020</v>
      </c>
      <c r="D346" t="s">
        <v>16</v>
      </c>
      <c r="E346" t="s">
        <v>22</v>
      </c>
      <c r="F346" t="s">
        <v>40</v>
      </c>
      <c r="G346" t="s">
        <v>8</v>
      </c>
      <c r="H346">
        <v>65.239999999999995</v>
      </c>
    </row>
    <row r="347" spans="1:8" x14ac:dyDescent="0.3">
      <c r="A347">
        <v>202010</v>
      </c>
      <c r="B347" s="1">
        <v>44105</v>
      </c>
      <c r="C347">
        <v>2020</v>
      </c>
      <c r="D347" t="s">
        <v>17</v>
      </c>
      <c r="E347" t="s">
        <v>22</v>
      </c>
      <c r="F347" t="s">
        <v>40</v>
      </c>
      <c r="G347" t="s">
        <v>8</v>
      </c>
      <c r="H347">
        <v>83.93</v>
      </c>
    </row>
    <row r="348" spans="1:8" x14ac:dyDescent="0.3">
      <c r="A348">
        <v>202011</v>
      </c>
      <c r="B348" s="1">
        <v>44136</v>
      </c>
      <c r="C348">
        <v>2020</v>
      </c>
      <c r="D348" t="s">
        <v>18</v>
      </c>
      <c r="E348" t="s">
        <v>22</v>
      </c>
      <c r="F348" t="s">
        <v>40</v>
      </c>
      <c r="G348" t="s">
        <v>8</v>
      </c>
      <c r="H348">
        <v>92.12</v>
      </c>
    </row>
    <row r="349" spans="1:8" x14ac:dyDescent="0.3">
      <c r="A349">
        <v>202012</v>
      </c>
      <c r="B349" s="1">
        <v>44166</v>
      </c>
      <c r="C349">
        <v>2020</v>
      </c>
      <c r="D349" t="s">
        <v>19</v>
      </c>
      <c r="E349" t="s">
        <v>22</v>
      </c>
      <c r="F349" t="s">
        <v>40</v>
      </c>
      <c r="G349" t="s">
        <v>8</v>
      </c>
      <c r="H349">
        <v>86.13</v>
      </c>
    </row>
    <row r="350" spans="1:8" x14ac:dyDescent="0.3">
      <c r="A350">
        <v>202001</v>
      </c>
      <c r="B350" s="1">
        <v>43831</v>
      </c>
      <c r="C350">
        <v>2020</v>
      </c>
      <c r="D350" t="s">
        <v>6</v>
      </c>
      <c r="E350" t="s">
        <v>22</v>
      </c>
      <c r="F350" t="s">
        <v>40</v>
      </c>
      <c r="G350" t="s">
        <v>8</v>
      </c>
      <c r="H350">
        <v>37.03</v>
      </c>
    </row>
    <row r="351" spans="1:8" x14ac:dyDescent="0.3">
      <c r="A351">
        <v>202002</v>
      </c>
      <c r="B351" s="1">
        <v>43862</v>
      </c>
      <c r="C351">
        <v>2020</v>
      </c>
      <c r="D351" t="s">
        <v>9</v>
      </c>
      <c r="E351" t="s">
        <v>22</v>
      </c>
      <c r="F351" t="s">
        <v>40</v>
      </c>
      <c r="G351" t="s">
        <v>8</v>
      </c>
      <c r="H351">
        <v>23.13</v>
      </c>
    </row>
    <row r="352" spans="1:8" x14ac:dyDescent="0.3">
      <c r="A352">
        <v>202003</v>
      </c>
      <c r="B352" s="1">
        <v>43891</v>
      </c>
      <c r="C352">
        <v>2020</v>
      </c>
      <c r="D352" t="s">
        <v>10</v>
      </c>
      <c r="E352" t="s">
        <v>22</v>
      </c>
      <c r="F352" t="s">
        <v>40</v>
      </c>
      <c r="G352" t="s">
        <v>8</v>
      </c>
      <c r="H352">
        <v>22.18</v>
      </c>
    </row>
    <row r="353" spans="1:8" x14ac:dyDescent="0.3">
      <c r="A353">
        <v>202004</v>
      </c>
      <c r="B353" s="1">
        <v>43922</v>
      </c>
      <c r="C353">
        <v>2020</v>
      </c>
      <c r="D353" t="s">
        <v>11</v>
      </c>
      <c r="E353" t="s">
        <v>22</v>
      </c>
      <c r="F353" t="s">
        <v>40</v>
      </c>
      <c r="G353" t="s">
        <v>8</v>
      </c>
      <c r="H353">
        <v>14.32</v>
      </c>
    </row>
    <row r="354" spans="1:8" x14ac:dyDescent="0.3">
      <c r="A354">
        <v>202005</v>
      </c>
      <c r="B354" s="1">
        <v>43952</v>
      </c>
      <c r="C354">
        <v>2020</v>
      </c>
      <c r="D354" t="s">
        <v>12</v>
      </c>
      <c r="E354" t="s">
        <v>22</v>
      </c>
      <c r="F354" t="s">
        <v>40</v>
      </c>
      <c r="G354" t="s">
        <v>8</v>
      </c>
      <c r="H354">
        <v>7.8</v>
      </c>
    </row>
    <row r="355" spans="1:8" x14ac:dyDescent="0.3">
      <c r="A355">
        <v>202006</v>
      </c>
      <c r="B355" s="1">
        <v>43983</v>
      </c>
      <c r="C355">
        <v>2020</v>
      </c>
      <c r="D355" t="s">
        <v>13</v>
      </c>
      <c r="E355" t="s">
        <v>22</v>
      </c>
      <c r="F355" t="s">
        <v>40</v>
      </c>
      <c r="G355" t="s">
        <v>8</v>
      </c>
      <c r="H355">
        <v>33.92</v>
      </c>
    </row>
    <row r="356" spans="1:8" x14ac:dyDescent="0.3">
      <c r="A356">
        <v>202007</v>
      </c>
      <c r="B356" s="1">
        <v>44013</v>
      </c>
      <c r="C356">
        <v>2020</v>
      </c>
      <c r="D356" t="s">
        <v>14</v>
      </c>
      <c r="E356" t="s">
        <v>22</v>
      </c>
      <c r="F356" t="s">
        <v>40</v>
      </c>
      <c r="G356" t="s">
        <v>8</v>
      </c>
      <c r="H356">
        <v>26.69</v>
      </c>
    </row>
    <row r="357" spans="1:8" x14ac:dyDescent="0.3">
      <c r="A357">
        <v>202008</v>
      </c>
      <c r="B357" s="1">
        <v>44044</v>
      </c>
      <c r="C357">
        <v>2020</v>
      </c>
      <c r="D357" t="s">
        <v>15</v>
      </c>
      <c r="E357" t="s">
        <v>22</v>
      </c>
      <c r="F357" t="s">
        <v>40</v>
      </c>
      <c r="G357" t="s">
        <v>8</v>
      </c>
      <c r="H357">
        <v>28.24</v>
      </c>
    </row>
    <row r="358" spans="1:8" x14ac:dyDescent="0.3">
      <c r="A358">
        <v>202009</v>
      </c>
      <c r="B358" s="1">
        <v>44075</v>
      </c>
      <c r="C358">
        <v>2020</v>
      </c>
      <c r="D358" t="s">
        <v>16</v>
      </c>
      <c r="E358" t="s">
        <v>22</v>
      </c>
      <c r="F358" t="s">
        <v>40</v>
      </c>
      <c r="G358" t="s">
        <v>8</v>
      </c>
      <c r="H358">
        <v>24.12</v>
      </c>
    </row>
    <row r="359" spans="1:8" x14ac:dyDescent="0.3">
      <c r="A359">
        <v>202010</v>
      </c>
      <c r="B359" s="1">
        <v>44105</v>
      </c>
      <c r="C359">
        <v>2020</v>
      </c>
      <c r="D359" t="s">
        <v>17</v>
      </c>
      <c r="E359" t="s">
        <v>22</v>
      </c>
      <c r="F359" t="s">
        <v>40</v>
      </c>
      <c r="G359" t="s">
        <v>8</v>
      </c>
      <c r="H359">
        <v>32.93</v>
      </c>
    </row>
    <row r="360" spans="1:8" x14ac:dyDescent="0.3">
      <c r="A360">
        <v>202011</v>
      </c>
      <c r="B360" s="1">
        <v>44136</v>
      </c>
      <c r="C360">
        <v>2020</v>
      </c>
      <c r="D360" t="s">
        <v>18</v>
      </c>
      <c r="E360" t="s">
        <v>22</v>
      </c>
      <c r="F360" t="s">
        <v>40</v>
      </c>
      <c r="G360" t="s">
        <v>8</v>
      </c>
      <c r="H360">
        <v>33.19</v>
      </c>
    </row>
    <row r="361" spans="1:8" x14ac:dyDescent="0.3">
      <c r="A361">
        <v>202012</v>
      </c>
      <c r="B361" s="1">
        <v>44166</v>
      </c>
      <c r="C361">
        <v>2020</v>
      </c>
      <c r="D361" t="s">
        <v>19</v>
      </c>
      <c r="E361" t="s">
        <v>22</v>
      </c>
      <c r="F361" t="s">
        <v>40</v>
      </c>
      <c r="G361" t="s">
        <v>8</v>
      </c>
      <c r="H361">
        <v>28.57</v>
      </c>
    </row>
    <row r="362" spans="1:8" x14ac:dyDescent="0.3">
      <c r="A362">
        <v>202001</v>
      </c>
      <c r="B362" s="1">
        <v>43831</v>
      </c>
      <c r="C362">
        <v>2020</v>
      </c>
      <c r="D362" t="s">
        <v>6</v>
      </c>
      <c r="E362" t="s">
        <v>23</v>
      </c>
      <c r="F362" t="s">
        <v>40</v>
      </c>
      <c r="G362" t="s">
        <v>8</v>
      </c>
      <c r="H362">
        <v>37.43</v>
      </c>
    </row>
    <row r="363" spans="1:8" x14ac:dyDescent="0.3">
      <c r="A363">
        <v>202002</v>
      </c>
      <c r="B363" s="1">
        <v>43862</v>
      </c>
      <c r="C363">
        <v>2020</v>
      </c>
      <c r="D363" t="s">
        <v>9</v>
      </c>
      <c r="E363" t="s">
        <v>23</v>
      </c>
      <c r="F363" t="s">
        <v>40</v>
      </c>
      <c r="G363" t="s">
        <v>8</v>
      </c>
      <c r="H363">
        <v>23.38</v>
      </c>
    </row>
    <row r="364" spans="1:8" x14ac:dyDescent="0.3">
      <c r="A364">
        <v>202003</v>
      </c>
      <c r="B364" s="1">
        <v>43891</v>
      </c>
      <c r="C364">
        <v>2020</v>
      </c>
      <c r="D364" t="s">
        <v>10</v>
      </c>
      <c r="E364" t="s">
        <v>23</v>
      </c>
      <c r="F364" t="s">
        <v>40</v>
      </c>
      <c r="G364" t="s">
        <v>8</v>
      </c>
      <c r="H364">
        <v>23.64</v>
      </c>
    </row>
    <row r="365" spans="1:8" x14ac:dyDescent="0.3">
      <c r="A365">
        <v>202004</v>
      </c>
      <c r="B365" s="1">
        <v>43922</v>
      </c>
      <c r="C365">
        <v>2020</v>
      </c>
      <c r="D365" t="s">
        <v>11</v>
      </c>
      <c r="E365" t="s">
        <v>23</v>
      </c>
      <c r="F365" t="s">
        <v>40</v>
      </c>
      <c r="G365" t="s">
        <v>8</v>
      </c>
      <c r="H365">
        <v>15.08</v>
      </c>
    </row>
    <row r="366" spans="1:8" x14ac:dyDescent="0.3">
      <c r="A366">
        <v>202005</v>
      </c>
      <c r="B366" s="1">
        <v>43952</v>
      </c>
      <c r="C366">
        <v>2020</v>
      </c>
      <c r="D366" t="s">
        <v>12</v>
      </c>
      <c r="E366" t="s">
        <v>23</v>
      </c>
      <c r="F366" t="s">
        <v>40</v>
      </c>
      <c r="G366" t="s">
        <v>8</v>
      </c>
      <c r="H366">
        <v>25.29</v>
      </c>
    </row>
    <row r="367" spans="1:8" x14ac:dyDescent="0.3">
      <c r="A367">
        <v>202006</v>
      </c>
      <c r="B367" s="1">
        <v>43983</v>
      </c>
      <c r="C367">
        <v>2020</v>
      </c>
      <c r="D367" t="s">
        <v>13</v>
      </c>
      <c r="E367" t="s">
        <v>23</v>
      </c>
      <c r="F367" t="s">
        <v>40</v>
      </c>
      <c r="G367" t="s">
        <v>8</v>
      </c>
      <c r="H367">
        <v>27.54</v>
      </c>
    </row>
    <row r="368" spans="1:8" x14ac:dyDescent="0.3">
      <c r="A368">
        <v>202007</v>
      </c>
      <c r="B368" s="1">
        <v>44013</v>
      </c>
      <c r="C368">
        <v>2020</v>
      </c>
      <c r="D368" t="s">
        <v>14</v>
      </c>
      <c r="E368" t="s">
        <v>23</v>
      </c>
      <c r="F368" t="s">
        <v>40</v>
      </c>
      <c r="G368" t="s">
        <v>8</v>
      </c>
      <c r="H368">
        <v>27.09</v>
      </c>
    </row>
    <row r="369" spans="1:8" x14ac:dyDescent="0.3">
      <c r="A369">
        <v>202008</v>
      </c>
      <c r="B369" s="1">
        <v>44044</v>
      </c>
      <c r="C369">
        <v>2020</v>
      </c>
      <c r="D369" t="s">
        <v>15</v>
      </c>
      <c r="E369" t="s">
        <v>23</v>
      </c>
      <c r="F369" t="s">
        <v>40</v>
      </c>
      <c r="G369" t="s">
        <v>8</v>
      </c>
      <c r="H369">
        <v>24.26</v>
      </c>
    </row>
    <row r="370" spans="1:8" x14ac:dyDescent="0.3">
      <c r="A370">
        <v>202009</v>
      </c>
      <c r="B370" s="1">
        <v>44075</v>
      </c>
      <c r="C370">
        <v>2020</v>
      </c>
      <c r="D370" t="s">
        <v>16</v>
      </c>
      <c r="E370" t="s">
        <v>23</v>
      </c>
      <c r="F370" t="s">
        <v>40</v>
      </c>
      <c r="G370" t="s">
        <v>8</v>
      </c>
      <c r="H370">
        <v>25.7</v>
      </c>
    </row>
    <row r="371" spans="1:8" x14ac:dyDescent="0.3">
      <c r="A371">
        <v>202010</v>
      </c>
      <c r="B371" s="1">
        <v>44105</v>
      </c>
      <c r="C371">
        <v>2020</v>
      </c>
      <c r="D371" t="s">
        <v>17</v>
      </c>
      <c r="E371" t="s">
        <v>23</v>
      </c>
      <c r="F371" t="s">
        <v>40</v>
      </c>
      <c r="G371" t="s">
        <v>8</v>
      </c>
      <c r="H371">
        <v>32.479999999999997</v>
      </c>
    </row>
    <row r="372" spans="1:8" x14ac:dyDescent="0.3">
      <c r="A372">
        <v>202011</v>
      </c>
      <c r="B372" s="1">
        <v>44136</v>
      </c>
      <c r="C372">
        <v>2020</v>
      </c>
      <c r="D372" t="s">
        <v>18</v>
      </c>
      <c r="E372" t="s">
        <v>23</v>
      </c>
      <c r="F372" t="s">
        <v>40</v>
      </c>
      <c r="G372" t="s">
        <v>8</v>
      </c>
      <c r="H372">
        <v>35.82</v>
      </c>
    </row>
    <row r="373" spans="1:8" x14ac:dyDescent="0.3">
      <c r="A373">
        <v>202012</v>
      </c>
      <c r="B373" s="1">
        <v>44166</v>
      </c>
      <c r="C373">
        <v>2020</v>
      </c>
      <c r="D373" t="s">
        <v>19</v>
      </c>
      <c r="E373" t="s">
        <v>23</v>
      </c>
      <c r="F373" t="s">
        <v>40</v>
      </c>
      <c r="G373" t="s">
        <v>8</v>
      </c>
      <c r="H373">
        <v>25.05</v>
      </c>
    </row>
    <row r="374" spans="1:8" x14ac:dyDescent="0.3">
      <c r="A374">
        <v>202001</v>
      </c>
      <c r="B374" s="1">
        <v>43831</v>
      </c>
      <c r="C374">
        <v>2020</v>
      </c>
      <c r="D374" t="s">
        <v>6</v>
      </c>
      <c r="E374" t="s">
        <v>23</v>
      </c>
      <c r="F374" t="s">
        <v>40</v>
      </c>
      <c r="G374" t="s">
        <v>8</v>
      </c>
      <c r="H374">
        <v>332.33</v>
      </c>
    </row>
    <row r="375" spans="1:8" x14ac:dyDescent="0.3">
      <c r="A375">
        <v>202002</v>
      </c>
      <c r="B375" s="1">
        <v>43862</v>
      </c>
      <c r="C375">
        <v>2020</v>
      </c>
      <c r="D375" t="s">
        <v>9</v>
      </c>
      <c r="E375" t="s">
        <v>23</v>
      </c>
      <c r="F375" t="s">
        <v>40</v>
      </c>
      <c r="G375" t="s">
        <v>8</v>
      </c>
      <c r="H375">
        <v>291.2</v>
      </c>
    </row>
    <row r="376" spans="1:8" x14ac:dyDescent="0.3">
      <c r="A376">
        <v>202003</v>
      </c>
      <c r="B376" s="1">
        <v>43891</v>
      </c>
      <c r="C376">
        <v>2020</v>
      </c>
      <c r="D376" t="s">
        <v>10</v>
      </c>
      <c r="E376" t="s">
        <v>23</v>
      </c>
      <c r="F376" t="s">
        <v>40</v>
      </c>
      <c r="G376" t="s">
        <v>8</v>
      </c>
      <c r="H376">
        <v>230.92</v>
      </c>
    </row>
    <row r="377" spans="1:8" x14ac:dyDescent="0.3">
      <c r="A377">
        <v>202004</v>
      </c>
      <c r="B377" s="1">
        <v>43922</v>
      </c>
      <c r="C377">
        <v>2020</v>
      </c>
      <c r="D377" t="s">
        <v>11</v>
      </c>
      <c r="E377" t="s">
        <v>23</v>
      </c>
      <c r="F377" t="s">
        <v>40</v>
      </c>
      <c r="G377" t="s">
        <v>8</v>
      </c>
      <c r="H377">
        <v>94.93</v>
      </c>
    </row>
    <row r="378" spans="1:8" x14ac:dyDescent="0.3">
      <c r="A378">
        <v>202005</v>
      </c>
      <c r="B378" s="1">
        <v>43952</v>
      </c>
      <c r="C378">
        <v>2020</v>
      </c>
      <c r="D378" t="s">
        <v>12</v>
      </c>
      <c r="E378" t="s">
        <v>23</v>
      </c>
      <c r="F378" t="s">
        <v>40</v>
      </c>
      <c r="G378" t="s">
        <v>8</v>
      </c>
      <c r="H378">
        <v>123.71</v>
      </c>
    </row>
    <row r="379" spans="1:8" x14ac:dyDescent="0.3">
      <c r="A379">
        <v>202006</v>
      </c>
      <c r="B379" s="1">
        <v>43983</v>
      </c>
      <c r="C379">
        <v>2020</v>
      </c>
      <c r="D379" t="s">
        <v>13</v>
      </c>
      <c r="E379" t="s">
        <v>23</v>
      </c>
      <c r="F379" t="s">
        <v>40</v>
      </c>
      <c r="G379" t="s">
        <v>8</v>
      </c>
      <c r="H379">
        <v>389.6</v>
      </c>
    </row>
    <row r="380" spans="1:8" x14ac:dyDescent="0.3">
      <c r="A380">
        <v>202007</v>
      </c>
      <c r="B380" s="1">
        <v>44013</v>
      </c>
      <c r="C380">
        <v>2020</v>
      </c>
      <c r="D380" t="s">
        <v>14</v>
      </c>
      <c r="E380" t="s">
        <v>23</v>
      </c>
      <c r="F380" t="s">
        <v>40</v>
      </c>
      <c r="G380" t="s">
        <v>8</v>
      </c>
      <c r="H380">
        <v>293.25</v>
      </c>
    </row>
    <row r="381" spans="1:8" x14ac:dyDescent="0.3">
      <c r="A381">
        <v>202008</v>
      </c>
      <c r="B381" s="1">
        <v>44044</v>
      </c>
      <c r="C381">
        <v>2020</v>
      </c>
      <c r="D381" t="s">
        <v>15</v>
      </c>
      <c r="E381" t="s">
        <v>23</v>
      </c>
      <c r="F381" t="s">
        <v>40</v>
      </c>
      <c r="G381" t="s">
        <v>8</v>
      </c>
      <c r="H381">
        <v>264.94</v>
      </c>
    </row>
    <row r="382" spans="1:8" x14ac:dyDescent="0.3">
      <c r="A382">
        <v>202009</v>
      </c>
      <c r="B382" s="1">
        <v>44075</v>
      </c>
      <c r="C382">
        <v>2020</v>
      </c>
      <c r="D382" t="s">
        <v>16</v>
      </c>
      <c r="E382" t="s">
        <v>23</v>
      </c>
      <c r="F382" t="s">
        <v>40</v>
      </c>
      <c r="G382" t="s">
        <v>8</v>
      </c>
      <c r="H382">
        <v>231.89</v>
      </c>
    </row>
    <row r="383" spans="1:8" x14ac:dyDescent="0.3">
      <c r="A383">
        <v>202010</v>
      </c>
      <c r="B383" s="1">
        <v>44105</v>
      </c>
      <c r="C383">
        <v>2020</v>
      </c>
      <c r="D383" t="s">
        <v>17</v>
      </c>
      <c r="E383" t="s">
        <v>23</v>
      </c>
      <c r="F383" t="s">
        <v>40</v>
      </c>
      <c r="G383" t="s">
        <v>8</v>
      </c>
      <c r="H383">
        <v>299.43</v>
      </c>
    </row>
    <row r="384" spans="1:8" x14ac:dyDescent="0.3">
      <c r="A384">
        <v>202011</v>
      </c>
      <c r="B384" s="1">
        <v>44136</v>
      </c>
      <c r="C384">
        <v>2020</v>
      </c>
      <c r="D384" t="s">
        <v>18</v>
      </c>
      <c r="E384" t="s">
        <v>23</v>
      </c>
      <c r="F384" t="s">
        <v>40</v>
      </c>
      <c r="G384" t="s">
        <v>8</v>
      </c>
      <c r="H384">
        <v>310.92</v>
      </c>
    </row>
    <row r="385" spans="1:8" x14ac:dyDescent="0.3">
      <c r="A385">
        <v>202012</v>
      </c>
      <c r="B385" s="1">
        <v>44166</v>
      </c>
      <c r="C385">
        <v>2020</v>
      </c>
      <c r="D385" t="s">
        <v>19</v>
      </c>
      <c r="E385" t="s">
        <v>23</v>
      </c>
      <c r="F385" t="s">
        <v>40</v>
      </c>
      <c r="G385" t="s">
        <v>8</v>
      </c>
      <c r="H385">
        <v>307.57</v>
      </c>
    </row>
    <row r="386" spans="1:8" x14ac:dyDescent="0.3">
      <c r="A386">
        <v>202001</v>
      </c>
      <c r="B386" s="1">
        <v>43831</v>
      </c>
      <c r="C386">
        <v>2020</v>
      </c>
      <c r="D386" t="s">
        <v>6</v>
      </c>
      <c r="E386" t="s">
        <v>23</v>
      </c>
      <c r="F386" t="s">
        <v>40</v>
      </c>
      <c r="G386" t="s">
        <v>8</v>
      </c>
      <c r="H386">
        <v>1315.6</v>
      </c>
    </row>
    <row r="387" spans="1:8" x14ac:dyDescent="0.3">
      <c r="A387">
        <v>202002</v>
      </c>
      <c r="B387" s="1">
        <v>43862</v>
      </c>
      <c r="C387">
        <v>2020</v>
      </c>
      <c r="D387" t="s">
        <v>9</v>
      </c>
      <c r="E387" t="s">
        <v>23</v>
      </c>
      <c r="F387" t="s">
        <v>40</v>
      </c>
      <c r="G387" t="s">
        <v>8</v>
      </c>
      <c r="H387">
        <v>923.55</v>
      </c>
    </row>
    <row r="388" spans="1:8" x14ac:dyDescent="0.3">
      <c r="A388">
        <v>202003</v>
      </c>
      <c r="B388" s="1">
        <v>43891</v>
      </c>
      <c r="C388">
        <v>2020</v>
      </c>
      <c r="D388" t="s">
        <v>10</v>
      </c>
      <c r="E388" t="s">
        <v>23</v>
      </c>
      <c r="F388" t="s">
        <v>40</v>
      </c>
      <c r="G388" t="s">
        <v>8</v>
      </c>
      <c r="H388">
        <v>848.49</v>
      </c>
    </row>
    <row r="389" spans="1:8" x14ac:dyDescent="0.3">
      <c r="A389">
        <v>202004</v>
      </c>
      <c r="B389" s="1">
        <v>43922</v>
      </c>
      <c r="C389">
        <v>2020</v>
      </c>
      <c r="D389" t="s">
        <v>11</v>
      </c>
      <c r="E389" t="s">
        <v>23</v>
      </c>
      <c r="F389" t="s">
        <v>40</v>
      </c>
      <c r="G389" t="s">
        <v>8</v>
      </c>
      <c r="H389">
        <v>250.51</v>
      </c>
    </row>
    <row r="390" spans="1:8" x14ac:dyDescent="0.3">
      <c r="A390">
        <v>202005</v>
      </c>
      <c r="B390" s="1">
        <v>43952</v>
      </c>
      <c r="C390">
        <v>2020</v>
      </c>
      <c r="D390" t="s">
        <v>12</v>
      </c>
      <c r="E390" t="s">
        <v>23</v>
      </c>
      <c r="F390" t="s">
        <v>40</v>
      </c>
      <c r="G390" t="s">
        <v>8</v>
      </c>
      <c r="H390">
        <v>392.61</v>
      </c>
    </row>
    <row r="391" spans="1:8" x14ac:dyDescent="0.3">
      <c r="A391">
        <v>202006</v>
      </c>
      <c r="B391" s="1">
        <v>43983</v>
      </c>
      <c r="C391">
        <v>2020</v>
      </c>
      <c r="D391" t="s">
        <v>13</v>
      </c>
      <c r="E391" t="s">
        <v>23</v>
      </c>
      <c r="F391" t="s">
        <v>40</v>
      </c>
      <c r="G391" t="s">
        <v>8</v>
      </c>
      <c r="H391">
        <v>1546.99</v>
      </c>
    </row>
    <row r="392" spans="1:8" x14ac:dyDescent="0.3">
      <c r="A392">
        <v>202007</v>
      </c>
      <c r="B392" s="1">
        <v>44013</v>
      </c>
      <c r="C392">
        <v>2020</v>
      </c>
      <c r="D392" t="s">
        <v>14</v>
      </c>
      <c r="E392" t="s">
        <v>23</v>
      </c>
      <c r="F392" t="s">
        <v>40</v>
      </c>
      <c r="G392" t="s">
        <v>8</v>
      </c>
      <c r="H392">
        <v>883.34</v>
      </c>
    </row>
    <row r="393" spans="1:8" x14ac:dyDescent="0.3">
      <c r="A393">
        <v>202008</v>
      </c>
      <c r="B393" s="1">
        <v>44044</v>
      </c>
      <c r="C393">
        <v>2020</v>
      </c>
      <c r="D393" t="s">
        <v>15</v>
      </c>
      <c r="E393" t="s">
        <v>23</v>
      </c>
      <c r="F393" t="s">
        <v>40</v>
      </c>
      <c r="G393" t="s">
        <v>8</v>
      </c>
      <c r="H393">
        <v>885.03</v>
      </c>
    </row>
    <row r="394" spans="1:8" x14ac:dyDescent="0.3">
      <c r="A394">
        <v>202009</v>
      </c>
      <c r="B394" s="1">
        <v>44075</v>
      </c>
      <c r="C394">
        <v>2020</v>
      </c>
      <c r="D394" t="s">
        <v>16</v>
      </c>
      <c r="E394" t="s">
        <v>23</v>
      </c>
      <c r="F394" t="s">
        <v>40</v>
      </c>
      <c r="G394" t="s">
        <v>8</v>
      </c>
      <c r="H394">
        <v>843.15</v>
      </c>
    </row>
    <row r="395" spans="1:8" x14ac:dyDescent="0.3">
      <c r="A395">
        <v>202010</v>
      </c>
      <c r="B395" s="1">
        <v>44105</v>
      </c>
      <c r="C395">
        <v>2020</v>
      </c>
      <c r="D395" t="s">
        <v>17</v>
      </c>
      <c r="E395" t="s">
        <v>23</v>
      </c>
      <c r="F395" t="s">
        <v>40</v>
      </c>
      <c r="G395" t="s">
        <v>8</v>
      </c>
      <c r="H395">
        <v>1021.15</v>
      </c>
    </row>
    <row r="396" spans="1:8" x14ac:dyDescent="0.3">
      <c r="A396">
        <v>202011</v>
      </c>
      <c r="B396" s="1">
        <v>44136</v>
      </c>
      <c r="C396">
        <v>2020</v>
      </c>
      <c r="D396" t="s">
        <v>18</v>
      </c>
      <c r="E396" t="s">
        <v>23</v>
      </c>
      <c r="F396" t="s">
        <v>40</v>
      </c>
      <c r="G396" t="s">
        <v>8</v>
      </c>
      <c r="H396">
        <v>1018.89</v>
      </c>
    </row>
    <row r="397" spans="1:8" x14ac:dyDescent="0.3">
      <c r="A397">
        <v>202012</v>
      </c>
      <c r="B397" s="1">
        <v>44166</v>
      </c>
      <c r="C397">
        <v>2020</v>
      </c>
      <c r="D397" t="s">
        <v>19</v>
      </c>
      <c r="E397" t="s">
        <v>23</v>
      </c>
      <c r="F397" t="s">
        <v>40</v>
      </c>
      <c r="G397" t="s">
        <v>8</v>
      </c>
      <c r="H397">
        <v>1019.68</v>
      </c>
    </row>
    <row r="398" spans="1:8" x14ac:dyDescent="0.3">
      <c r="A398">
        <v>202001</v>
      </c>
      <c r="B398" s="1">
        <v>43831</v>
      </c>
      <c r="C398">
        <v>2020</v>
      </c>
      <c r="D398" t="s">
        <v>6</v>
      </c>
      <c r="E398" t="s">
        <v>23</v>
      </c>
      <c r="F398" t="s">
        <v>40</v>
      </c>
      <c r="G398" t="s">
        <v>8</v>
      </c>
      <c r="H398">
        <v>470.47</v>
      </c>
    </row>
    <row r="399" spans="1:8" x14ac:dyDescent="0.3">
      <c r="A399">
        <v>202002</v>
      </c>
      <c r="B399" s="1">
        <v>43862</v>
      </c>
      <c r="C399">
        <v>2020</v>
      </c>
      <c r="D399" t="s">
        <v>9</v>
      </c>
      <c r="E399" t="s">
        <v>23</v>
      </c>
      <c r="F399" t="s">
        <v>40</v>
      </c>
      <c r="G399" t="s">
        <v>8</v>
      </c>
      <c r="H399">
        <v>323.64</v>
      </c>
    </row>
    <row r="400" spans="1:8" x14ac:dyDescent="0.3">
      <c r="A400">
        <v>202003</v>
      </c>
      <c r="B400" s="1">
        <v>43891</v>
      </c>
      <c r="C400">
        <v>2020</v>
      </c>
      <c r="D400" t="s">
        <v>10</v>
      </c>
      <c r="E400" t="s">
        <v>23</v>
      </c>
      <c r="F400" t="s">
        <v>40</v>
      </c>
      <c r="G400" t="s">
        <v>8</v>
      </c>
      <c r="H400">
        <v>294.75</v>
      </c>
    </row>
    <row r="401" spans="1:8" x14ac:dyDescent="0.3">
      <c r="A401">
        <v>202004</v>
      </c>
      <c r="B401" s="1">
        <v>43922</v>
      </c>
      <c r="C401">
        <v>2020</v>
      </c>
      <c r="D401" t="s">
        <v>11</v>
      </c>
      <c r="E401" t="s">
        <v>23</v>
      </c>
      <c r="F401" t="s">
        <v>40</v>
      </c>
      <c r="G401" t="s">
        <v>8</v>
      </c>
      <c r="H401">
        <v>137.62</v>
      </c>
    </row>
    <row r="402" spans="1:8" x14ac:dyDescent="0.3">
      <c r="A402">
        <v>202005</v>
      </c>
      <c r="B402" s="1">
        <v>43952</v>
      </c>
      <c r="C402">
        <v>2020</v>
      </c>
      <c r="D402" t="s">
        <v>12</v>
      </c>
      <c r="E402" t="s">
        <v>23</v>
      </c>
      <c r="F402" t="s">
        <v>40</v>
      </c>
      <c r="G402" t="s">
        <v>8</v>
      </c>
      <c r="H402">
        <v>203.49</v>
      </c>
    </row>
    <row r="403" spans="1:8" x14ac:dyDescent="0.3">
      <c r="A403">
        <v>202006</v>
      </c>
      <c r="B403" s="1">
        <v>43983</v>
      </c>
      <c r="C403">
        <v>2020</v>
      </c>
      <c r="D403" t="s">
        <v>13</v>
      </c>
      <c r="E403" t="s">
        <v>23</v>
      </c>
      <c r="F403" t="s">
        <v>40</v>
      </c>
      <c r="G403" t="s">
        <v>8</v>
      </c>
      <c r="H403">
        <v>478.14</v>
      </c>
    </row>
    <row r="404" spans="1:8" x14ac:dyDescent="0.3">
      <c r="A404">
        <v>202007</v>
      </c>
      <c r="B404" s="1">
        <v>44013</v>
      </c>
      <c r="C404">
        <v>2020</v>
      </c>
      <c r="D404" t="s">
        <v>14</v>
      </c>
      <c r="E404" t="s">
        <v>23</v>
      </c>
      <c r="F404" t="s">
        <v>40</v>
      </c>
      <c r="G404" t="s">
        <v>8</v>
      </c>
      <c r="H404">
        <v>371.11</v>
      </c>
    </row>
    <row r="405" spans="1:8" x14ac:dyDescent="0.3">
      <c r="A405">
        <v>202008</v>
      </c>
      <c r="B405" s="1">
        <v>44044</v>
      </c>
      <c r="C405">
        <v>2020</v>
      </c>
      <c r="D405" t="s">
        <v>15</v>
      </c>
      <c r="E405" t="s">
        <v>23</v>
      </c>
      <c r="F405" t="s">
        <v>40</v>
      </c>
      <c r="G405" t="s">
        <v>8</v>
      </c>
      <c r="H405">
        <v>354.96</v>
      </c>
    </row>
    <row r="406" spans="1:8" x14ac:dyDescent="0.3">
      <c r="A406">
        <v>202009</v>
      </c>
      <c r="B406" s="1">
        <v>44075</v>
      </c>
      <c r="C406">
        <v>2020</v>
      </c>
      <c r="D406" t="s">
        <v>16</v>
      </c>
      <c r="E406" t="s">
        <v>23</v>
      </c>
      <c r="F406" t="s">
        <v>40</v>
      </c>
      <c r="G406" t="s">
        <v>8</v>
      </c>
      <c r="H406">
        <v>319.99</v>
      </c>
    </row>
    <row r="407" spans="1:8" x14ac:dyDescent="0.3">
      <c r="A407">
        <v>202010</v>
      </c>
      <c r="B407" s="1">
        <v>44105</v>
      </c>
      <c r="C407">
        <v>2020</v>
      </c>
      <c r="D407" t="s">
        <v>17</v>
      </c>
      <c r="E407" t="s">
        <v>23</v>
      </c>
      <c r="F407" t="s">
        <v>40</v>
      </c>
      <c r="G407" t="s">
        <v>8</v>
      </c>
      <c r="H407">
        <v>408.01</v>
      </c>
    </row>
    <row r="408" spans="1:8" x14ac:dyDescent="0.3">
      <c r="A408">
        <v>202011</v>
      </c>
      <c r="B408" s="1">
        <v>44136</v>
      </c>
      <c r="C408">
        <v>2020</v>
      </c>
      <c r="D408" t="s">
        <v>18</v>
      </c>
      <c r="E408" t="s">
        <v>23</v>
      </c>
      <c r="F408" t="s">
        <v>40</v>
      </c>
      <c r="G408" t="s">
        <v>8</v>
      </c>
      <c r="H408">
        <v>379.12</v>
      </c>
    </row>
    <row r="409" spans="1:8" x14ac:dyDescent="0.3">
      <c r="A409">
        <v>202012</v>
      </c>
      <c r="B409" s="1">
        <v>44166</v>
      </c>
      <c r="C409">
        <v>2020</v>
      </c>
      <c r="D409" t="s">
        <v>19</v>
      </c>
      <c r="E409" t="s">
        <v>23</v>
      </c>
      <c r="F409" t="s">
        <v>40</v>
      </c>
      <c r="G409" t="s">
        <v>8</v>
      </c>
      <c r="H409">
        <v>401.2</v>
      </c>
    </row>
    <row r="410" spans="1:8" x14ac:dyDescent="0.3">
      <c r="A410">
        <v>202001</v>
      </c>
      <c r="B410" s="1">
        <v>43831</v>
      </c>
      <c r="C410">
        <v>2020</v>
      </c>
      <c r="D410" t="s">
        <v>6</v>
      </c>
      <c r="E410" t="s">
        <v>23</v>
      </c>
      <c r="F410" t="s">
        <v>40</v>
      </c>
      <c r="G410" t="s">
        <v>8</v>
      </c>
      <c r="H410">
        <v>1129.77</v>
      </c>
    </row>
    <row r="411" spans="1:8" x14ac:dyDescent="0.3">
      <c r="A411">
        <v>202002</v>
      </c>
      <c r="B411" s="1">
        <v>43862</v>
      </c>
      <c r="C411">
        <v>2020</v>
      </c>
      <c r="D411" t="s">
        <v>9</v>
      </c>
      <c r="E411" t="s">
        <v>23</v>
      </c>
      <c r="F411" t="s">
        <v>40</v>
      </c>
      <c r="G411" t="s">
        <v>8</v>
      </c>
      <c r="H411">
        <v>837.46</v>
      </c>
    </row>
    <row r="412" spans="1:8" x14ac:dyDescent="0.3">
      <c r="A412">
        <v>202003</v>
      </c>
      <c r="B412" s="1">
        <v>43891</v>
      </c>
      <c r="C412">
        <v>2020</v>
      </c>
      <c r="D412" t="s">
        <v>10</v>
      </c>
      <c r="E412" t="s">
        <v>23</v>
      </c>
      <c r="F412" t="s">
        <v>40</v>
      </c>
      <c r="G412" t="s">
        <v>8</v>
      </c>
      <c r="H412">
        <v>616.59</v>
      </c>
    </row>
    <row r="413" spans="1:8" x14ac:dyDescent="0.3">
      <c r="A413">
        <v>202004</v>
      </c>
      <c r="B413" s="1">
        <v>43922</v>
      </c>
      <c r="C413">
        <v>2020</v>
      </c>
      <c r="D413" t="s">
        <v>11</v>
      </c>
      <c r="E413" t="s">
        <v>23</v>
      </c>
      <c r="F413" t="s">
        <v>40</v>
      </c>
      <c r="G413" t="s">
        <v>8</v>
      </c>
      <c r="H413">
        <v>344.46</v>
      </c>
    </row>
    <row r="414" spans="1:8" x14ac:dyDescent="0.3">
      <c r="A414">
        <v>202005</v>
      </c>
      <c r="B414" s="1">
        <v>43952</v>
      </c>
      <c r="C414">
        <v>2020</v>
      </c>
      <c r="D414" t="s">
        <v>12</v>
      </c>
      <c r="E414" t="s">
        <v>23</v>
      </c>
      <c r="F414" t="s">
        <v>40</v>
      </c>
      <c r="G414" t="s">
        <v>8</v>
      </c>
      <c r="H414">
        <v>452.18</v>
      </c>
    </row>
    <row r="415" spans="1:8" x14ac:dyDescent="0.3">
      <c r="A415">
        <v>202006</v>
      </c>
      <c r="B415" s="1">
        <v>43983</v>
      </c>
      <c r="C415">
        <v>2020</v>
      </c>
      <c r="D415" t="s">
        <v>13</v>
      </c>
      <c r="E415" t="s">
        <v>23</v>
      </c>
      <c r="F415" t="s">
        <v>40</v>
      </c>
      <c r="G415" t="s">
        <v>8</v>
      </c>
      <c r="H415">
        <v>1557.27</v>
      </c>
    </row>
    <row r="416" spans="1:8" x14ac:dyDescent="0.3">
      <c r="A416">
        <v>202007</v>
      </c>
      <c r="B416" s="1">
        <v>44013</v>
      </c>
      <c r="C416">
        <v>2020</v>
      </c>
      <c r="D416" t="s">
        <v>14</v>
      </c>
      <c r="E416" t="s">
        <v>23</v>
      </c>
      <c r="F416" t="s">
        <v>40</v>
      </c>
      <c r="G416" t="s">
        <v>8</v>
      </c>
      <c r="H416">
        <v>777.55</v>
      </c>
    </row>
    <row r="417" spans="1:8" x14ac:dyDescent="0.3">
      <c r="A417">
        <v>202008</v>
      </c>
      <c r="B417" s="1">
        <v>44044</v>
      </c>
      <c r="C417">
        <v>2020</v>
      </c>
      <c r="D417" t="s">
        <v>15</v>
      </c>
      <c r="E417" t="s">
        <v>23</v>
      </c>
      <c r="F417" t="s">
        <v>40</v>
      </c>
      <c r="G417" t="s">
        <v>8</v>
      </c>
      <c r="H417">
        <v>747.51</v>
      </c>
    </row>
    <row r="418" spans="1:8" x14ac:dyDescent="0.3">
      <c r="A418">
        <v>202009</v>
      </c>
      <c r="B418" s="1">
        <v>44075</v>
      </c>
      <c r="C418">
        <v>2020</v>
      </c>
      <c r="D418" t="s">
        <v>16</v>
      </c>
      <c r="E418" t="s">
        <v>23</v>
      </c>
      <c r="F418" t="s">
        <v>40</v>
      </c>
      <c r="G418" t="s">
        <v>8</v>
      </c>
      <c r="H418">
        <v>688.26</v>
      </c>
    </row>
    <row r="419" spans="1:8" x14ac:dyDescent="0.3">
      <c r="A419">
        <v>202010</v>
      </c>
      <c r="B419" s="1">
        <v>44105</v>
      </c>
      <c r="C419">
        <v>2020</v>
      </c>
      <c r="D419" t="s">
        <v>17</v>
      </c>
      <c r="E419" t="s">
        <v>23</v>
      </c>
      <c r="F419" t="s">
        <v>40</v>
      </c>
      <c r="G419" t="s">
        <v>8</v>
      </c>
      <c r="H419">
        <v>792.2</v>
      </c>
    </row>
    <row r="420" spans="1:8" x14ac:dyDescent="0.3">
      <c r="A420">
        <v>202011</v>
      </c>
      <c r="B420" s="1">
        <v>44136</v>
      </c>
      <c r="C420">
        <v>2020</v>
      </c>
      <c r="D420" t="s">
        <v>18</v>
      </c>
      <c r="E420" t="s">
        <v>23</v>
      </c>
      <c r="F420" t="s">
        <v>40</v>
      </c>
      <c r="G420" t="s">
        <v>8</v>
      </c>
      <c r="H420">
        <v>888.07</v>
      </c>
    </row>
    <row r="421" spans="1:8" x14ac:dyDescent="0.3">
      <c r="A421">
        <v>202012</v>
      </c>
      <c r="B421" s="1">
        <v>44166</v>
      </c>
      <c r="C421">
        <v>2020</v>
      </c>
      <c r="D421" t="s">
        <v>19</v>
      </c>
      <c r="E421" t="s">
        <v>23</v>
      </c>
      <c r="F421" t="s">
        <v>40</v>
      </c>
      <c r="G421" t="s">
        <v>8</v>
      </c>
      <c r="H421">
        <v>784.71</v>
      </c>
    </row>
    <row r="422" spans="1:8" x14ac:dyDescent="0.3">
      <c r="A422">
        <v>202001</v>
      </c>
      <c r="B422" s="1">
        <v>43831</v>
      </c>
      <c r="C422">
        <v>2020</v>
      </c>
      <c r="D422" t="s">
        <v>6</v>
      </c>
      <c r="E422" t="s">
        <v>23</v>
      </c>
      <c r="F422" t="s">
        <v>40</v>
      </c>
      <c r="G422" t="s">
        <v>8</v>
      </c>
      <c r="H422">
        <v>393.39</v>
      </c>
    </row>
    <row r="423" spans="1:8" x14ac:dyDescent="0.3">
      <c r="A423">
        <v>202002</v>
      </c>
      <c r="B423" s="1">
        <v>43862</v>
      </c>
      <c r="C423">
        <v>2020</v>
      </c>
      <c r="D423" t="s">
        <v>9</v>
      </c>
      <c r="E423" t="s">
        <v>23</v>
      </c>
      <c r="F423" t="s">
        <v>40</v>
      </c>
      <c r="G423" t="s">
        <v>8</v>
      </c>
      <c r="H423">
        <v>273.01</v>
      </c>
    </row>
    <row r="424" spans="1:8" x14ac:dyDescent="0.3">
      <c r="A424">
        <v>202003</v>
      </c>
      <c r="B424" s="1">
        <v>43891</v>
      </c>
      <c r="C424">
        <v>2020</v>
      </c>
      <c r="D424" t="s">
        <v>10</v>
      </c>
      <c r="E424" t="s">
        <v>23</v>
      </c>
      <c r="F424" t="s">
        <v>40</v>
      </c>
      <c r="G424" t="s">
        <v>8</v>
      </c>
      <c r="H424">
        <v>209.56</v>
      </c>
    </row>
    <row r="425" spans="1:8" x14ac:dyDescent="0.3">
      <c r="A425">
        <v>202004</v>
      </c>
      <c r="B425" s="1">
        <v>43922</v>
      </c>
      <c r="C425">
        <v>2020</v>
      </c>
      <c r="D425" t="s">
        <v>11</v>
      </c>
      <c r="E425" t="s">
        <v>23</v>
      </c>
      <c r="F425" t="s">
        <v>40</v>
      </c>
      <c r="G425" t="s">
        <v>8</v>
      </c>
      <c r="H425">
        <v>112.41</v>
      </c>
    </row>
    <row r="426" spans="1:8" x14ac:dyDescent="0.3">
      <c r="A426">
        <v>202005</v>
      </c>
      <c r="B426" s="1">
        <v>43952</v>
      </c>
      <c r="C426">
        <v>2020</v>
      </c>
      <c r="D426" t="s">
        <v>12</v>
      </c>
      <c r="E426" t="s">
        <v>23</v>
      </c>
      <c r="F426" t="s">
        <v>40</v>
      </c>
      <c r="G426" t="s">
        <v>8</v>
      </c>
      <c r="H426">
        <v>142.5</v>
      </c>
    </row>
    <row r="427" spans="1:8" x14ac:dyDescent="0.3">
      <c r="A427">
        <v>202006</v>
      </c>
      <c r="B427" s="1">
        <v>43983</v>
      </c>
      <c r="C427">
        <v>2020</v>
      </c>
      <c r="D427" t="s">
        <v>13</v>
      </c>
      <c r="E427" t="s">
        <v>23</v>
      </c>
      <c r="F427" t="s">
        <v>40</v>
      </c>
      <c r="G427" t="s">
        <v>8</v>
      </c>
      <c r="H427">
        <v>469.43</v>
      </c>
    </row>
    <row r="428" spans="1:8" x14ac:dyDescent="0.3">
      <c r="A428">
        <v>202007</v>
      </c>
      <c r="B428" s="1">
        <v>44013</v>
      </c>
      <c r="C428">
        <v>2020</v>
      </c>
      <c r="D428" t="s">
        <v>14</v>
      </c>
      <c r="E428" t="s">
        <v>23</v>
      </c>
      <c r="F428" t="s">
        <v>40</v>
      </c>
      <c r="G428" t="s">
        <v>8</v>
      </c>
      <c r="H428">
        <v>266.22000000000003</v>
      </c>
    </row>
    <row r="429" spans="1:8" x14ac:dyDescent="0.3">
      <c r="A429">
        <v>202008</v>
      </c>
      <c r="B429" s="1">
        <v>44044</v>
      </c>
      <c r="C429">
        <v>2020</v>
      </c>
      <c r="D429" t="s">
        <v>15</v>
      </c>
      <c r="E429" t="s">
        <v>23</v>
      </c>
      <c r="F429" t="s">
        <v>40</v>
      </c>
      <c r="G429" t="s">
        <v>8</v>
      </c>
      <c r="H429">
        <v>261.33</v>
      </c>
    </row>
    <row r="430" spans="1:8" x14ac:dyDescent="0.3">
      <c r="A430">
        <v>202009</v>
      </c>
      <c r="B430" s="1">
        <v>44075</v>
      </c>
      <c r="C430">
        <v>2020</v>
      </c>
      <c r="D430" t="s">
        <v>16</v>
      </c>
      <c r="E430" t="s">
        <v>23</v>
      </c>
      <c r="F430" t="s">
        <v>40</v>
      </c>
      <c r="G430" t="s">
        <v>8</v>
      </c>
      <c r="H430">
        <v>251.33</v>
      </c>
    </row>
    <row r="431" spans="1:8" x14ac:dyDescent="0.3">
      <c r="A431">
        <v>202010</v>
      </c>
      <c r="B431" s="1">
        <v>44105</v>
      </c>
      <c r="C431">
        <v>2020</v>
      </c>
      <c r="D431" t="s">
        <v>17</v>
      </c>
      <c r="E431" t="s">
        <v>23</v>
      </c>
      <c r="F431" t="s">
        <v>40</v>
      </c>
      <c r="G431" t="s">
        <v>8</v>
      </c>
      <c r="H431">
        <v>292.17</v>
      </c>
    </row>
    <row r="432" spans="1:8" x14ac:dyDescent="0.3">
      <c r="A432">
        <v>202011</v>
      </c>
      <c r="B432" s="1">
        <v>44136</v>
      </c>
      <c r="C432">
        <v>2020</v>
      </c>
      <c r="D432" t="s">
        <v>18</v>
      </c>
      <c r="E432" t="s">
        <v>23</v>
      </c>
      <c r="F432" t="s">
        <v>40</v>
      </c>
      <c r="G432" t="s">
        <v>8</v>
      </c>
      <c r="H432">
        <v>343.59</v>
      </c>
    </row>
    <row r="433" spans="1:8" x14ac:dyDescent="0.3">
      <c r="A433">
        <v>202012</v>
      </c>
      <c r="B433" s="1">
        <v>44166</v>
      </c>
      <c r="C433">
        <v>2020</v>
      </c>
      <c r="D433" t="s">
        <v>19</v>
      </c>
      <c r="E433" t="s">
        <v>23</v>
      </c>
      <c r="F433" t="s">
        <v>40</v>
      </c>
      <c r="G433" t="s">
        <v>8</v>
      </c>
      <c r="H433">
        <v>304.93</v>
      </c>
    </row>
    <row r="434" spans="1:8" x14ac:dyDescent="0.3">
      <c r="A434">
        <v>202001</v>
      </c>
      <c r="B434" s="1">
        <v>43831</v>
      </c>
      <c r="C434">
        <v>2020</v>
      </c>
      <c r="D434" t="s">
        <v>6</v>
      </c>
      <c r="E434" t="s">
        <v>23</v>
      </c>
      <c r="F434" t="s">
        <v>40</v>
      </c>
      <c r="G434" t="s">
        <v>8</v>
      </c>
      <c r="H434">
        <v>192.75</v>
      </c>
    </row>
    <row r="435" spans="1:8" x14ac:dyDescent="0.3">
      <c r="A435">
        <v>202002</v>
      </c>
      <c r="B435" s="1">
        <v>43862</v>
      </c>
      <c r="C435">
        <v>2020</v>
      </c>
      <c r="D435" t="s">
        <v>9</v>
      </c>
      <c r="E435" t="s">
        <v>23</v>
      </c>
      <c r="F435" t="s">
        <v>40</v>
      </c>
      <c r="G435" t="s">
        <v>8</v>
      </c>
      <c r="H435">
        <v>102.83</v>
      </c>
    </row>
    <row r="436" spans="1:8" x14ac:dyDescent="0.3">
      <c r="A436">
        <v>202003</v>
      </c>
      <c r="B436" s="1">
        <v>43891</v>
      </c>
      <c r="C436">
        <v>2020</v>
      </c>
      <c r="D436" t="s">
        <v>10</v>
      </c>
      <c r="E436" t="s">
        <v>23</v>
      </c>
      <c r="F436" t="s">
        <v>40</v>
      </c>
      <c r="G436" t="s">
        <v>8</v>
      </c>
      <c r="H436">
        <v>111.47</v>
      </c>
    </row>
    <row r="437" spans="1:8" x14ac:dyDescent="0.3">
      <c r="A437">
        <v>202004</v>
      </c>
      <c r="B437" s="1">
        <v>43922</v>
      </c>
      <c r="C437">
        <v>2020</v>
      </c>
      <c r="D437" t="s">
        <v>11</v>
      </c>
      <c r="E437" t="s">
        <v>23</v>
      </c>
      <c r="F437" t="s">
        <v>40</v>
      </c>
      <c r="G437" t="s">
        <v>8</v>
      </c>
      <c r="H437">
        <v>74.08</v>
      </c>
    </row>
    <row r="438" spans="1:8" x14ac:dyDescent="0.3">
      <c r="A438">
        <v>202005</v>
      </c>
      <c r="B438" s="1">
        <v>43952</v>
      </c>
      <c r="C438">
        <v>2020</v>
      </c>
      <c r="D438" t="s">
        <v>12</v>
      </c>
      <c r="E438" t="s">
        <v>23</v>
      </c>
      <c r="F438" t="s">
        <v>40</v>
      </c>
      <c r="G438" t="s">
        <v>8</v>
      </c>
      <c r="H438">
        <v>153.57</v>
      </c>
    </row>
    <row r="439" spans="1:8" x14ac:dyDescent="0.3">
      <c r="A439">
        <v>202006</v>
      </c>
      <c r="B439" s="1">
        <v>43983</v>
      </c>
      <c r="C439">
        <v>2020</v>
      </c>
      <c r="D439" t="s">
        <v>13</v>
      </c>
      <c r="E439" t="s">
        <v>23</v>
      </c>
      <c r="F439" t="s">
        <v>40</v>
      </c>
      <c r="G439" t="s">
        <v>8</v>
      </c>
      <c r="H439">
        <v>302.89999999999998</v>
      </c>
    </row>
    <row r="440" spans="1:8" x14ac:dyDescent="0.3">
      <c r="A440">
        <v>202007</v>
      </c>
      <c r="B440" s="1">
        <v>44013</v>
      </c>
      <c r="C440">
        <v>2020</v>
      </c>
      <c r="D440" t="s">
        <v>14</v>
      </c>
      <c r="E440" t="s">
        <v>23</v>
      </c>
      <c r="F440" t="s">
        <v>40</v>
      </c>
      <c r="G440" t="s">
        <v>8</v>
      </c>
      <c r="H440">
        <v>95.33</v>
      </c>
    </row>
    <row r="441" spans="1:8" x14ac:dyDescent="0.3">
      <c r="A441">
        <v>202008</v>
      </c>
      <c r="B441" s="1">
        <v>44044</v>
      </c>
      <c r="C441">
        <v>2020</v>
      </c>
      <c r="D441" t="s">
        <v>15</v>
      </c>
      <c r="E441" t="s">
        <v>23</v>
      </c>
      <c r="F441" t="s">
        <v>40</v>
      </c>
      <c r="G441" t="s">
        <v>8</v>
      </c>
      <c r="H441">
        <v>133.25</v>
      </c>
    </row>
    <row r="442" spans="1:8" x14ac:dyDescent="0.3">
      <c r="A442">
        <v>202009</v>
      </c>
      <c r="B442" s="1">
        <v>44075</v>
      </c>
      <c r="C442">
        <v>2020</v>
      </c>
      <c r="D442" t="s">
        <v>16</v>
      </c>
      <c r="E442" t="s">
        <v>23</v>
      </c>
      <c r="F442" t="s">
        <v>40</v>
      </c>
      <c r="G442" t="s">
        <v>8</v>
      </c>
      <c r="H442">
        <v>85.74</v>
      </c>
    </row>
    <row r="443" spans="1:8" x14ac:dyDescent="0.3">
      <c r="A443">
        <v>202010</v>
      </c>
      <c r="B443" s="1">
        <v>44105</v>
      </c>
      <c r="C443">
        <v>2020</v>
      </c>
      <c r="D443" t="s">
        <v>17</v>
      </c>
      <c r="E443" t="s">
        <v>23</v>
      </c>
      <c r="F443" t="s">
        <v>40</v>
      </c>
      <c r="G443" t="s">
        <v>8</v>
      </c>
      <c r="H443">
        <v>122.17</v>
      </c>
    </row>
    <row r="444" spans="1:8" x14ac:dyDescent="0.3">
      <c r="A444">
        <v>202011</v>
      </c>
      <c r="B444" s="1">
        <v>44136</v>
      </c>
      <c r="C444">
        <v>2020</v>
      </c>
      <c r="D444" t="s">
        <v>18</v>
      </c>
      <c r="E444" t="s">
        <v>23</v>
      </c>
      <c r="F444" t="s">
        <v>40</v>
      </c>
      <c r="G444" t="s">
        <v>8</v>
      </c>
      <c r="H444">
        <v>143.5</v>
      </c>
    </row>
    <row r="445" spans="1:8" x14ac:dyDescent="0.3">
      <c r="A445">
        <v>202012</v>
      </c>
      <c r="B445" s="1">
        <v>44166</v>
      </c>
      <c r="C445">
        <v>2020</v>
      </c>
      <c r="D445" t="s">
        <v>19</v>
      </c>
      <c r="E445" t="s">
        <v>23</v>
      </c>
      <c r="F445" t="s">
        <v>40</v>
      </c>
      <c r="G445" t="s">
        <v>8</v>
      </c>
      <c r="H445">
        <v>111.32</v>
      </c>
    </row>
    <row r="446" spans="1:8" x14ac:dyDescent="0.3">
      <c r="A446">
        <v>202001</v>
      </c>
      <c r="B446" s="1">
        <v>43831</v>
      </c>
      <c r="C446">
        <v>2020</v>
      </c>
      <c r="D446" t="s">
        <v>6</v>
      </c>
      <c r="E446" t="s">
        <v>23</v>
      </c>
      <c r="F446" t="s">
        <v>40</v>
      </c>
      <c r="G446" t="s">
        <v>8</v>
      </c>
      <c r="H446">
        <v>542.28</v>
      </c>
    </row>
    <row r="447" spans="1:8" x14ac:dyDescent="0.3">
      <c r="A447">
        <v>202002</v>
      </c>
      <c r="B447" s="1">
        <v>43862</v>
      </c>
      <c r="C447">
        <v>2020</v>
      </c>
      <c r="D447" t="s">
        <v>9</v>
      </c>
      <c r="E447" t="s">
        <v>23</v>
      </c>
      <c r="F447" t="s">
        <v>40</v>
      </c>
      <c r="G447" t="s">
        <v>8</v>
      </c>
      <c r="H447">
        <v>499.84</v>
      </c>
    </row>
    <row r="448" spans="1:8" x14ac:dyDescent="0.3">
      <c r="A448">
        <v>202003</v>
      </c>
      <c r="B448" s="1">
        <v>43891</v>
      </c>
      <c r="C448">
        <v>2020</v>
      </c>
      <c r="D448" t="s">
        <v>10</v>
      </c>
      <c r="E448" t="s">
        <v>23</v>
      </c>
      <c r="F448" t="s">
        <v>40</v>
      </c>
      <c r="G448" t="s">
        <v>8</v>
      </c>
      <c r="H448">
        <v>325.86</v>
      </c>
    </row>
    <row r="449" spans="1:8" x14ac:dyDescent="0.3">
      <c r="A449">
        <v>202004</v>
      </c>
      <c r="B449" s="1">
        <v>43922</v>
      </c>
      <c r="C449">
        <v>2020</v>
      </c>
      <c r="D449" t="s">
        <v>11</v>
      </c>
      <c r="E449" t="s">
        <v>23</v>
      </c>
      <c r="F449" t="s">
        <v>40</v>
      </c>
      <c r="G449" t="s">
        <v>8</v>
      </c>
      <c r="H449">
        <v>93.19</v>
      </c>
    </row>
    <row r="450" spans="1:8" x14ac:dyDescent="0.3">
      <c r="A450">
        <v>202005</v>
      </c>
      <c r="B450" s="1">
        <v>43952</v>
      </c>
      <c r="C450">
        <v>2020</v>
      </c>
      <c r="D450" t="s">
        <v>12</v>
      </c>
      <c r="E450" t="s">
        <v>23</v>
      </c>
      <c r="F450" t="s">
        <v>40</v>
      </c>
      <c r="G450" t="s">
        <v>8</v>
      </c>
      <c r="H450">
        <v>143.29</v>
      </c>
    </row>
    <row r="451" spans="1:8" x14ac:dyDescent="0.3">
      <c r="A451">
        <v>202006</v>
      </c>
      <c r="B451" s="1">
        <v>43983</v>
      </c>
      <c r="C451">
        <v>2020</v>
      </c>
      <c r="D451" t="s">
        <v>13</v>
      </c>
      <c r="E451" t="s">
        <v>23</v>
      </c>
      <c r="F451" t="s">
        <v>40</v>
      </c>
      <c r="G451" t="s">
        <v>8</v>
      </c>
      <c r="H451">
        <v>1213.7</v>
      </c>
    </row>
    <row r="452" spans="1:8" x14ac:dyDescent="0.3">
      <c r="A452">
        <v>202007</v>
      </c>
      <c r="B452" s="1">
        <v>44013</v>
      </c>
      <c r="C452">
        <v>2020</v>
      </c>
      <c r="D452" t="s">
        <v>14</v>
      </c>
      <c r="E452" t="s">
        <v>23</v>
      </c>
      <c r="F452" t="s">
        <v>40</v>
      </c>
      <c r="G452" t="s">
        <v>8</v>
      </c>
      <c r="H452">
        <v>429.18</v>
      </c>
    </row>
    <row r="453" spans="1:8" x14ac:dyDescent="0.3">
      <c r="A453">
        <v>202008</v>
      </c>
      <c r="B453" s="1">
        <v>44044</v>
      </c>
      <c r="C453">
        <v>2020</v>
      </c>
      <c r="D453" t="s">
        <v>15</v>
      </c>
      <c r="E453" t="s">
        <v>23</v>
      </c>
      <c r="F453" t="s">
        <v>40</v>
      </c>
      <c r="G453" t="s">
        <v>8</v>
      </c>
      <c r="H453">
        <v>807.49</v>
      </c>
    </row>
    <row r="454" spans="1:8" x14ac:dyDescent="0.3">
      <c r="A454">
        <v>202009</v>
      </c>
      <c r="B454" s="1">
        <v>44075</v>
      </c>
      <c r="C454">
        <v>2020</v>
      </c>
      <c r="D454" t="s">
        <v>16</v>
      </c>
      <c r="E454" t="s">
        <v>23</v>
      </c>
      <c r="F454" t="s">
        <v>40</v>
      </c>
      <c r="G454" t="s">
        <v>8</v>
      </c>
      <c r="H454">
        <v>342.57</v>
      </c>
    </row>
    <row r="455" spans="1:8" x14ac:dyDescent="0.3">
      <c r="A455">
        <v>202010</v>
      </c>
      <c r="B455" s="1">
        <v>44105</v>
      </c>
      <c r="C455">
        <v>2020</v>
      </c>
      <c r="D455" t="s">
        <v>17</v>
      </c>
      <c r="E455" t="s">
        <v>23</v>
      </c>
      <c r="F455" t="s">
        <v>40</v>
      </c>
      <c r="G455" t="s">
        <v>8</v>
      </c>
      <c r="H455">
        <v>473.09</v>
      </c>
    </row>
    <row r="456" spans="1:8" x14ac:dyDescent="0.3">
      <c r="A456">
        <v>202011</v>
      </c>
      <c r="B456" s="1">
        <v>44136</v>
      </c>
      <c r="C456">
        <v>2020</v>
      </c>
      <c r="D456" t="s">
        <v>18</v>
      </c>
      <c r="E456" t="s">
        <v>23</v>
      </c>
      <c r="F456" t="s">
        <v>40</v>
      </c>
      <c r="G456" t="s">
        <v>8</v>
      </c>
      <c r="H456">
        <v>865.72</v>
      </c>
    </row>
    <row r="457" spans="1:8" x14ac:dyDescent="0.3">
      <c r="A457">
        <v>202012</v>
      </c>
      <c r="B457" s="1">
        <v>44166</v>
      </c>
      <c r="C457">
        <v>2020</v>
      </c>
      <c r="D457" t="s">
        <v>19</v>
      </c>
      <c r="E457" t="s">
        <v>23</v>
      </c>
      <c r="F457" t="s">
        <v>40</v>
      </c>
      <c r="G457" t="s">
        <v>8</v>
      </c>
      <c r="H457">
        <v>415.53</v>
      </c>
    </row>
    <row r="458" spans="1:8" x14ac:dyDescent="0.3">
      <c r="A458">
        <v>202001</v>
      </c>
      <c r="B458" s="1">
        <v>43831</v>
      </c>
      <c r="C458">
        <v>2020</v>
      </c>
      <c r="D458" t="s">
        <v>6</v>
      </c>
      <c r="E458" t="s">
        <v>23</v>
      </c>
      <c r="F458" t="s">
        <v>40</v>
      </c>
      <c r="G458" t="s">
        <v>8</v>
      </c>
      <c r="H458">
        <v>177.08</v>
      </c>
    </row>
    <row r="459" spans="1:8" x14ac:dyDescent="0.3">
      <c r="A459">
        <v>202002</v>
      </c>
      <c r="B459" s="1">
        <v>43862</v>
      </c>
      <c r="C459">
        <v>2020</v>
      </c>
      <c r="D459" t="s">
        <v>9</v>
      </c>
      <c r="E459" t="s">
        <v>23</v>
      </c>
      <c r="F459" t="s">
        <v>40</v>
      </c>
      <c r="G459" t="s">
        <v>8</v>
      </c>
      <c r="H459">
        <v>111.09</v>
      </c>
    </row>
    <row r="460" spans="1:8" x14ac:dyDescent="0.3">
      <c r="A460">
        <v>202003</v>
      </c>
      <c r="B460" s="1">
        <v>43891</v>
      </c>
      <c r="C460">
        <v>2020</v>
      </c>
      <c r="D460" t="s">
        <v>10</v>
      </c>
      <c r="E460" t="s">
        <v>23</v>
      </c>
      <c r="F460" t="s">
        <v>40</v>
      </c>
      <c r="G460" t="s">
        <v>8</v>
      </c>
      <c r="H460">
        <v>100.88</v>
      </c>
    </row>
    <row r="461" spans="1:8" x14ac:dyDescent="0.3">
      <c r="A461">
        <v>202004</v>
      </c>
      <c r="B461" s="1">
        <v>43922</v>
      </c>
      <c r="C461">
        <v>2020</v>
      </c>
      <c r="D461" t="s">
        <v>11</v>
      </c>
      <c r="E461" t="s">
        <v>23</v>
      </c>
      <c r="F461" t="s">
        <v>40</v>
      </c>
      <c r="G461" t="s">
        <v>8</v>
      </c>
      <c r="H461">
        <v>46.36</v>
      </c>
    </row>
    <row r="462" spans="1:8" x14ac:dyDescent="0.3">
      <c r="A462">
        <v>202005</v>
      </c>
      <c r="B462" s="1">
        <v>43952</v>
      </c>
      <c r="C462">
        <v>2020</v>
      </c>
      <c r="D462" t="s">
        <v>12</v>
      </c>
      <c r="E462" t="s">
        <v>23</v>
      </c>
      <c r="F462" t="s">
        <v>40</v>
      </c>
      <c r="G462" t="s">
        <v>8</v>
      </c>
      <c r="H462">
        <v>86.88</v>
      </c>
    </row>
    <row r="463" spans="1:8" x14ac:dyDescent="0.3">
      <c r="A463">
        <v>202006</v>
      </c>
      <c r="B463" s="1">
        <v>43983</v>
      </c>
      <c r="C463">
        <v>2020</v>
      </c>
      <c r="D463" t="s">
        <v>13</v>
      </c>
      <c r="E463" t="s">
        <v>23</v>
      </c>
      <c r="F463" t="s">
        <v>40</v>
      </c>
      <c r="G463" t="s">
        <v>8</v>
      </c>
      <c r="H463">
        <v>256.77</v>
      </c>
    </row>
    <row r="464" spans="1:8" x14ac:dyDescent="0.3">
      <c r="A464">
        <v>202007</v>
      </c>
      <c r="B464" s="1">
        <v>44013</v>
      </c>
      <c r="C464">
        <v>2020</v>
      </c>
      <c r="D464" t="s">
        <v>14</v>
      </c>
      <c r="E464" t="s">
        <v>23</v>
      </c>
      <c r="F464" t="s">
        <v>40</v>
      </c>
      <c r="G464" t="s">
        <v>8</v>
      </c>
      <c r="H464">
        <v>124.78</v>
      </c>
    </row>
    <row r="465" spans="1:8" x14ac:dyDescent="0.3">
      <c r="A465">
        <v>202008</v>
      </c>
      <c r="B465" s="1">
        <v>44044</v>
      </c>
      <c r="C465">
        <v>2020</v>
      </c>
      <c r="D465" t="s">
        <v>15</v>
      </c>
      <c r="E465" t="s">
        <v>23</v>
      </c>
      <c r="F465" t="s">
        <v>40</v>
      </c>
      <c r="G465" t="s">
        <v>8</v>
      </c>
      <c r="H465">
        <v>129.97999999999999</v>
      </c>
    </row>
    <row r="466" spans="1:8" x14ac:dyDescent="0.3">
      <c r="A466">
        <v>202009</v>
      </c>
      <c r="B466" s="1">
        <v>44075</v>
      </c>
      <c r="C466">
        <v>2020</v>
      </c>
      <c r="D466" t="s">
        <v>16</v>
      </c>
      <c r="E466" t="s">
        <v>23</v>
      </c>
      <c r="F466" t="s">
        <v>40</v>
      </c>
      <c r="G466" t="s">
        <v>8</v>
      </c>
      <c r="H466">
        <v>108.6</v>
      </c>
    </row>
    <row r="467" spans="1:8" x14ac:dyDescent="0.3">
      <c r="A467">
        <v>202010</v>
      </c>
      <c r="B467" s="1">
        <v>44105</v>
      </c>
      <c r="C467">
        <v>2020</v>
      </c>
      <c r="D467" t="s">
        <v>17</v>
      </c>
      <c r="E467" t="s">
        <v>23</v>
      </c>
      <c r="F467" t="s">
        <v>40</v>
      </c>
      <c r="G467" t="s">
        <v>8</v>
      </c>
      <c r="H467">
        <v>146.03</v>
      </c>
    </row>
    <row r="468" spans="1:8" x14ac:dyDescent="0.3">
      <c r="A468">
        <v>202011</v>
      </c>
      <c r="B468" s="1">
        <v>44136</v>
      </c>
      <c r="C468">
        <v>2020</v>
      </c>
      <c r="D468" t="s">
        <v>18</v>
      </c>
      <c r="E468" t="s">
        <v>23</v>
      </c>
      <c r="F468" t="s">
        <v>40</v>
      </c>
      <c r="G468" t="s">
        <v>8</v>
      </c>
      <c r="H468">
        <v>140.09</v>
      </c>
    </row>
    <row r="469" spans="1:8" x14ac:dyDescent="0.3">
      <c r="A469">
        <v>202012</v>
      </c>
      <c r="B469" s="1">
        <v>44166</v>
      </c>
      <c r="C469">
        <v>2020</v>
      </c>
      <c r="D469" t="s">
        <v>19</v>
      </c>
      <c r="E469" t="s">
        <v>23</v>
      </c>
      <c r="F469" t="s">
        <v>40</v>
      </c>
      <c r="G469" t="s">
        <v>8</v>
      </c>
      <c r="H469">
        <v>130.54</v>
      </c>
    </row>
    <row r="470" spans="1:8" x14ac:dyDescent="0.3">
      <c r="A470">
        <v>202001</v>
      </c>
      <c r="B470" s="1">
        <v>43831</v>
      </c>
      <c r="C470">
        <v>2020</v>
      </c>
      <c r="D470" t="s">
        <v>6</v>
      </c>
      <c r="E470" t="s">
        <v>24</v>
      </c>
      <c r="F470" t="s">
        <v>40</v>
      </c>
      <c r="G470" t="s">
        <v>8</v>
      </c>
      <c r="H470">
        <v>1632.05</v>
      </c>
    </row>
    <row r="471" spans="1:8" x14ac:dyDescent="0.3">
      <c r="A471">
        <v>202002</v>
      </c>
      <c r="B471" s="1">
        <v>43862</v>
      </c>
      <c r="C471">
        <v>2020</v>
      </c>
      <c r="D471" t="s">
        <v>9</v>
      </c>
      <c r="E471" t="s">
        <v>24</v>
      </c>
      <c r="F471" t="s">
        <v>40</v>
      </c>
      <c r="G471" t="s">
        <v>8</v>
      </c>
      <c r="H471">
        <v>1018.53</v>
      </c>
    </row>
    <row r="472" spans="1:8" x14ac:dyDescent="0.3">
      <c r="A472">
        <v>202003</v>
      </c>
      <c r="B472" s="1">
        <v>43891</v>
      </c>
      <c r="C472">
        <v>2020</v>
      </c>
      <c r="D472" t="s">
        <v>10</v>
      </c>
      <c r="E472" t="s">
        <v>24</v>
      </c>
      <c r="F472" t="s">
        <v>40</v>
      </c>
      <c r="G472" t="s">
        <v>8</v>
      </c>
      <c r="H472">
        <v>767.8</v>
      </c>
    </row>
    <row r="473" spans="1:8" x14ac:dyDescent="0.3">
      <c r="A473">
        <v>202004</v>
      </c>
      <c r="B473" s="1">
        <v>43922</v>
      </c>
      <c r="C473">
        <v>2020</v>
      </c>
      <c r="D473" t="s">
        <v>11</v>
      </c>
      <c r="E473" t="s">
        <v>24</v>
      </c>
      <c r="F473" t="s">
        <v>40</v>
      </c>
      <c r="G473" t="s">
        <v>8</v>
      </c>
      <c r="H473">
        <v>427.57</v>
      </c>
    </row>
    <row r="474" spans="1:8" x14ac:dyDescent="0.3">
      <c r="A474">
        <v>202005</v>
      </c>
      <c r="B474" s="1">
        <v>43952</v>
      </c>
      <c r="C474">
        <v>2020</v>
      </c>
      <c r="D474" t="s">
        <v>12</v>
      </c>
      <c r="E474" t="s">
        <v>24</v>
      </c>
      <c r="F474" t="s">
        <v>40</v>
      </c>
      <c r="G474" t="s">
        <v>8</v>
      </c>
      <c r="H474">
        <v>639.98</v>
      </c>
    </row>
    <row r="475" spans="1:8" x14ac:dyDescent="0.3">
      <c r="A475">
        <v>202006</v>
      </c>
      <c r="B475" s="1">
        <v>43983</v>
      </c>
      <c r="C475">
        <v>2020</v>
      </c>
      <c r="D475" t="s">
        <v>13</v>
      </c>
      <c r="E475" t="s">
        <v>24</v>
      </c>
      <c r="F475" t="s">
        <v>40</v>
      </c>
      <c r="G475" t="s">
        <v>8</v>
      </c>
      <c r="H475">
        <v>1869.18</v>
      </c>
    </row>
    <row r="476" spans="1:8" x14ac:dyDescent="0.3">
      <c r="A476">
        <v>202007</v>
      </c>
      <c r="B476" s="1">
        <v>44013</v>
      </c>
      <c r="C476">
        <v>2020</v>
      </c>
      <c r="D476" t="s">
        <v>14</v>
      </c>
      <c r="E476" t="s">
        <v>24</v>
      </c>
      <c r="F476" t="s">
        <v>40</v>
      </c>
      <c r="G476" t="s">
        <v>8</v>
      </c>
      <c r="H476">
        <v>1031.76</v>
      </c>
    </row>
    <row r="477" spans="1:8" x14ac:dyDescent="0.3">
      <c r="A477">
        <v>202008</v>
      </c>
      <c r="B477" s="1">
        <v>44044</v>
      </c>
      <c r="C477">
        <v>2020</v>
      </c>
      <c r="D477" t="s">
        <v>15</v>
      </c>
      <c r="E477" t="s">
        <v>24</v>
      </c>
      <c r="F477" t="s">
        <v>40</v>
      </c>
      <c r="G477" t="s">
        <v>8</v>
      </c>
      <c r="H477">
        <v>930.3</v>
      </c>
    </row>
    <row r="478" spans="1:8" x14ac:dyDescent="0.3">
      <c r="A478">
        <v>202009</v>
      </c>
      <c r="B478" s="1">
        <v>44075</v>
      </c>
      <c r="C478">
        <v>2020</v>
      </c>
      <c r="D478" t="s">
        <v>16</v>
      </c>
      <c r="E478" t="s">
        <v>24</v>
      </c>
      <c r="F478" t="s">
        <v>40</v>
      </c>
      <c r="G478" t="s">
        <v>8</v>
      </c>
      <c r="H478">
        <v>891.36</v>
      </c>
    </row>
    <row r="479" spans="1:8" x14ac:dyDescent="0.3">
      <c r="A479">
        <v>202010</v>
      </c>
      <c r="B479" s="1">
        <v>44105</v>
      </c>
      <c r="C479">
        <v>2020</v>
      </c>
      <c r="D479" t="s">
        <v>17</v>
      </c>
      <c r="E479" t="s">
        <v>24</v>
      </c>
      <c r="F479" t="s">
        <v>40</v>
      </c>
      <c r="G479" t="s">
        <v>8</v>
      </c>
      <c r="H479">
        <v>1051.25</v>
      </c>
    </row>
    <row r="480" spans="1:8" x14ac:dyDescent="0.3">
      <c r="A480">
        <v>202011</v>
      </c>
      <c r="B480" s="1">
        <v>44136</v>
      </c>
      <c r="C480">
        <v>2020</v>
      </c>
      <c r="D480" t="s">
        <v>18</v>
      </c>
      <c r="E480" t="s">
        <v>24</v>
      </c>
      <c r="F480" t="s">
        <v>40</v>
      </c>
      <c r="G480" t="s">
        <v>8</v>
      </c>
      <c r="H480">
        <v>1235.9000000000001</v>
      </c>
    </row>
    <row r="481" spans="1:8" x14ac:dyDescent="0.3">
      <c r="A481">
        <v>202012</v>
      </c>
      <c r="B481" s="1">
        <v>44166</v>
      </c>
      <c r="C481">
        <v>2020</v>
      </c>
      <c r="D481" t="s">
        <v>19</v>
      </c>
      <c r="E481" t="s">
        <v>24</v>
      </c>
      <c r="F481" t="s">
        <v>40</v>
      </c>
      <c r="G481" t="s">
        <v>8</v>
      </c>
      <c r="H481">
        <v>1268.03</v>
      </c>
    </row>
    <row r="482" spans="1:8" x14ac:dyDescent="0.3">
      <c r="A482">
        <v>202001</v>
      </c>
      <c r="B482" s="1">
        <v>43831</v>
      </c>
      <c r="C482">
        <v>2020</v>
      </c>
      <c r="D482" t="s">
        <v>6</v>
      </c>
      <c r="E482" t="s">
        <v>24</v>
      </c>
      <c r="F482" t="s">
        <v>40</v>
      </c>
      <c r="G482" t="s">
        <v>8</v>
      </c>
      <c r="H482">
        <v>2211.71</v>
      </c>
    </row>
    <row r="483" spans="1:8" x14ac:dyDescent="0.3">
      <c r="A483">
        <v>202002</v>
      </c>
      <c r="B483" s="1">
        <v>43862</v>
      </c>
      <c r="C483">
        <v>2020</v>
      </c>
      <c r="D483" t="s">
        <v>9</v>
      </c>
      <c r="E483" t="s">
        <v>24</v>
      </c>
      <c r="F483" t="s">
        <v>40</v>
      </c>
      <c r="G483" t="s">
        <v>8</v>
      </c>
      <c r="H483">
        <v>1377.25</v>
      </c>
    </row>
    <row r="484" spans="1:8" x14ac:dyDescent="0.3">
      <c r="A484">
        <v>202003</v>
      </c>
      <c r="B484" s="1">
        <v>43891</v>
      </c>
      <c r="C484">
        <v>2020</v>
      </c>
      <c r="D484" t="s">
        <v>10</v>
      </c>
      <c r="E484" t="s">
        <v>24</v>
      </c>
      <c r="F484" t="s">
        <v>40</v>
      </c>
      <c r="G484" t="s">
        <v>8</v>
      </c>
      <c r="H484">
        <v>1081.5</v>
      </c>
    </row>
    <row r="485" spans="1:8" x14ac:dyDescent="0.3">
      <c r="A485">
        <v>202004</v>
      </c>
      <c r="B485" s="1">
        <v>43922</v>
      </c>
      <c r="C485">
        <v>2020</v>
      </c>
      <c r="D485" t="s">
        <v>11</v>
      </c>
      <c r="E485" t="s">
        <v>24</v>
      </c>
      <c r="F485" t="s">
        <v>40</v>
      </c>
      <c r="G485" t="s">
        <v>8</v>
      </c>
      <c r="H485">
        <v>341.14</v>
      </c>
    </row>
    <row r="486" spans="1:8" x14ac:dyDescent="0.3">
      <c r="A486">
        <v>202005</v>
      </c>
      <c r="B486" s="1">
        <v>43952</v>
      </c>
      <c r="C486">
        <v>2020</v>
      </c>
      <c r="D486" t="s">
        <v>12</v>
      </c>
      <c r="E486" t="s">
        <v>24</v>
      </c>
      <c r="F486" t="s">
        <v>40</v>
      </c>
      <c r="G486" t="s">
        <v>8</v>
      </c>
      <c r="H486">
        <v>603.88</v>
      </c>
    </row>
    <row r="487" spans="1:8" x14ac:dyDescent="0.3">
      <c r="A487">
        <v>202006</v>
      </c>
      <c r="B487" s="1">
        <v>43983</v>
      </c>
      <c r="C487">
        <v>2020</v>
      </c>
      <c r="D487" t="s">
        <v>13</v>
      </c>
      <c r="E487" t="s">
        <v>24</v>
      </c>
      <c r="F487" t="s">
        <v>40</v>
      </c>
      <c r="G487" t="s">
        <v>8</v>
      </c>
      <c r="H487">
        <v>2383.04</v>
      </c>
    </row>
    <row r="488" spans="1:8" x14ac:dyDescent="0.3">
      <c r="A488">
        <v>202007</v>
      </c>
      <c r="B488" s="1">
        <v>44013</v>
      </c>
      <c r="C488">
        <v>2020</v>
      </c>
      <c r="D488" t="s">
        <v>14</v>
      </c>
      <c r="E488" t="s">
        <v>24</v>
      </c>
      <c r="F488" t="s">
        <v>40</v>
      </c>
      <c r="G488" t="s">
        <v>8</v>
      </c>
      <c r="H488">
        <v>1460.7</v>
      </c>
    </row>
    <row r="489" spans="1:8" x14ac:dyDescent="0.3">
      <c r="A489">
        <v>202008</v>
      </c>
      <c r="B489" s="1">
        <v>44044</v>
      </c>
      <c r="C489">
        <v>2020</v>
      </c>
      <c r="D489" t="s">
        <v>15</v>
      </c>
      <c r="E489" t="s">
        <v>24</v>
      </c>
      <c r="F489" t="s">
        <v>40</v>
      </c>
      <c r="G489" t="s">
        <v>8</v>
      </c>
      <c r="H489">
        <v>1425.01</v>
      </c>
    </row>
    <row r="490" spans="1:8" x14ac:dyDescent="0.3">
      <c r="A490">
        <v>202009</v>
      </c>
      <c r="B490" s="1">
        <v>44075</v>
      </c>
      <c r="C490">
        <v>2020</v>
      </c>
      <c r="D490" t="s">
        <v>16</v>
      </c>
      <c r="E490" t="s">
        <v>24</v>
      </c>
      <c r="F490" t="s">
        <v>40</v>
      </c>
      <c r="G490" t="s">
        <v>8</v>
      </c>
      <c r="H490">
        <v>1171.3</v>
      </c>
    </row>
    <row r="491" spans="1:8" x14ac:dyDescent="0.3">
      <c r="A491">
        <v>202010</v>
      </c>
      <c r="B491" s="1">
        <v>44105</v>
      </c>
      <c r="C491">
        <v>2020</v>
      </c>
      <c r="D491" t="s">
        <v>17</v>
      </c>
      <c r="E491" t="s">
        <v>24</v>
      </c>
      <c r="F491" t="s">
        <v>40</v>
      </c>
      <c r="G491" t="s">
        <v>8</v>
      </c>
      <c r="H491">
        <v>1735.15</v>
      </c>
    </row>
    <row r="492" spans="1:8" x14ac:dyDescent="0.3">
      <c r="A492">
        <v>202011</v>
      </c>
      <c r="B492" s="1">
        <v>44136</v>
      </c>
      <c r="C492">
        <v>2020</v>
      </c>
      <c r="D492" t="s">
        <v>18</v>
      </c>
      <c r="E492" t="s">
        <v>24</v>
      </c>
      <c r="F492" t="s">
        <v>40</v>
      </c>
      <c r="G492" t="s">
        <v>8</v>
      </c>
      <c r="H492">
        <v>1705.96</v>
      </c>
    </row>
    <row r="493" spans="1:8" x14ac:dyDescent="0.3">
      <c r="A493">
        <v>202012</v>
      </c>
      <c r="B493" s="1">
        <v>44166</v>
      </c>
      <c r="C493">
        <v>2020</v>
      </c>
      <c r="D493" t="s">
        <v>19</v>
      </c>
      <c r="E493" t="s">
        <v>24</v>
      </c>
      <c r="F493" t="s">
        <v>40</v>
      </c>
      <c r="G493" t="s">
        <v>8</v>
      </c>
      <c r="H493">
        <v>1733.76</v>
      </c>
    </row>
    <row r="494" spans="1:8" x14ac:dyDescent="0.3">
      <c r="A494">
        <v>202001</v>
      </c>
      <c r="B494" s="1">
        <v>43831</v>
      </c>
      <c r="C494">
        <v>2020</v>
      </c>
      <c r="D494" t="s">
        <v>6</v>
      </c>
      <c r="E494" t="s">
        <v>24</v>
      </c>
      <c r="F494" t="s">
        <v>40</v>
      </c>
      <c r="G494" t="s">
        <v>8</v>
      </c>
      <c r="H494">
        <v>2402.5100000000002</v>
      </c>
    </row>
    <row r="495" spans="1:8" x14ac:dyDescent="0.3">
      <c r="A495">
        <v>202002</v>
      </c>
      <c r="B495" s="1">
        <v>43862</v>
      </c>
      <c r="C495">
        <v>2020</v>
      </c>
      <c r="D495" t="s">
        <v>9</v>
      </c>
      <c r="E495" t="s">
        <v>24</v>
      </c>
      <c r="F495" t="s">
        <v>40</v>
      </c>
      <c r="G495" t="s">
        <v>8</v>
      </c>
      <c r="H495">
        <v>1548.9</v>
      </c>
    </row>
    <row r="496" spans="1:8" x14ac:dyDescent="0.3">
      <c r="A496">
        <v>202003</v>
      </c>
      <c r="B496" s="1">
        <v>43891</v>
      </c>
      <c r="C496">
        <v>2020</v>
      </c>
      <c r="D496" t="s">
        <v>10</v>
      </c>
      <c r="E496" t="s">
        <v>24</v>
      </c>
      <c r="F496" t="s">
        <v>40</v>
      </c>
      <c r="G496" t="s">
        <v>8</v>
      </c>
      <c r="H496">
        <v>1403.3</v>
      </c>
    </row>
    <row r="497" spans="1:8" x14ac:dyDescent="0.3">
      <c r="A497">
        <v>202004</v>
      </c>
      <c r="B497" s="1">
        <v>43922</v>
      </c>
      <c r="C497">
        <v>2020</v>
      </c>
      <c r="D497" t="s">
        <v>11</v>
      </c>
      <c r="E497" t="s">
        <v>24</v>
      </c>
      <c r="F497" t="s">
        <v>40</v>
      </c>
      <c r="G497" t="s">
        <v>8</v>
      </c>
      <c r="H497">
        <v>805.88</v>
      </c>
    </row>
    <row r="498" spans="1:8" x14ac:dyDescent="0.3">
      <c r="A498">
        <v>202005</v>
      </c>
      <c r="B498" s="1">
        <v>43952</v>
      </c>
      <c r="C498">
        <v>2020</v>
      </c>
      <c r="D498" t="s">
        <v>12</v>
      </c>
      <c r="E498" t="s">
        <v>24</v>
      </c>
      <c r="F498" t="s">
        <v>40</v>
      </c>
      <c r="G498" t="s">
        <v>8</v>
      </c>
      <c r="H498">
        <v>1051.3499999999999</v>
      </c>
    </row>
    <row r="499" spans="1:8" x14ac:dyDescent="0.3">
      <c r="A499">
        <v>202006</v>
      </c>
      <c r="B499" s="1">
        <v>43983</v>
      </c>
      <c r="C499">
        <v>2020</v>
      </c>
      <c r="D499" t="s">
        <v>13</v>
      </c>
      <c r="E499" t="s">
        <v>24</v>
      </c>
      <c r="F499" t="s">
        <v>40</v>
      </c>
      <c r="G499" t="s">
        <v>8</v>
      </c>
      <c r="H499">
        <v>3583.66</v>
      </c>
    </row>
    <row r="500" spans="1:8" x14ac:dyDescent="0.3">
      <c r="A500">
        <v>202007</v>
      </c>
      <c r="B500" s="1">
        <v>44013</v>
      </c>
      <c r="C500">
        <v>2020</v>
      </c>
      <c r="D500" t="s">
        <v>14</v>
      </c>
      <c r="E500" t="s">
        <v>24</v>
      </c>
      <c r="F500" t="s">
        <v>40</v>
      </c>
      <c r="G500" t="s">
        <v>8</v>
      </c>
      <c r="H500">
        <v>1610.08</v>
      </c>
    </row>
    <row r="501" spans="1:8" x14ac:dyDescent="0.3">
      <c r="A501">
        <v>202008</v>
      </c>
      <c r="B501" s="1">
        <v>44044</v>
      </c>
      <c r="C501">
        <v>2020</v>
      </c>
      <c r="D501" t="s">
        <v>15</v>
      </c>
      <c r="E501" t="s">
        <v>24</v>
      </c>
      <c r="F501" t="s">
        <v>40</v>
      </c>
      <c r="G501" t="s">
        <v>8</v>
      </c>
      <c r="H501">
        <v>1918.82</v>
      </c>
    </row>
    <row r="502" spans="1:8" x14ac:dyDescent="0.3">
      <c r="A502">
        <v>202009</v>
      </c>
      <c r="B502" s="1">
        <v>44075</v>
      </c>
      <c r="C502">
        <v>2020</v>
      </c>
      <c r="D502" t="s">
        <v>16</v>
      </c>
      <c r="E502" t="s">
        <v>24</v>
      </c>
      <c r="F502" t="s">
        <v>40</v>
      </c>
      <c r="G502" t="s">
        <v>8</v>
      </c>
      <c r="H502">
        <v>1458.81</v>
      </c>
    </row>
    <row r="503" spans="1:8" x14ac:dyDescent="0.3">
      <c r="A503">
        <v>202010</v>
      </c>
      <c r="B503" s="1">
        <v>44105</v>
      </c>
      <c r="C503">
        <v>2020</v>
      </c>
      <c r="D503" t="s">
        <v>17</v>
      </c>
      <c r="E503" t="s">
        <v>24</v>
      </c>
      <c r="F503" t="s">
        <v>40</v>
      </c>
      <c r="G503" t="s">
        <v>8</v>
      </c>
      <c r="H503">
        <v>1816.91</v>
      </c>
    </row>
    <row r="504" spans="1:8" x14ac:dyDescent="0.3">
      <c r="A504">
        <v>202011</v>
      </c>
      <c r="B504" s="1">
        <v>44136</v>
      </c>
      <c r="C504">
        <v>2020</v>
      </c>
      <c r="D504" t="s">
        <v>18</v>
      </c>
      <c r="E504" t="s">
        <v>24</v>
      </c>
      <c r="F504" t="s">
        <v>40</v>
      </c>
      <c r="G504" t="s">
        <v>8</v>
      </c>
      <c r="H504">
        <v>2328.91</v>
      </c>
    </row>
    <row r="505" spans="1:8" x14ac:dyDescent="0.3">
      <c r="A505">
        <v>202012</v>
      </c>
      <c r="B505" s="1">
        <v>44166</v>
      </c>
      <c r="C505">
        <v>2020</v>
      </c>
      <c r="D505" t="s">
        <v>19</v>
      </c>
      <c r="E505" t="s">
        <v>24</v>
      </c>
      <c r="F505" t="s">
        <v>40</v>
      </c>
      <c r="G505" t="s">
        <v>8</v>
      </c>
      <c r="H505">
        <v>1872.59</v>
      </c>
    </row>
    <row r="506" spans="1:8" x14ac:dyDescent="0.3">
      <c r="A506">
        <v>202001</v>
      </c>
      <c r="B506" s="1">
        <v>43831</v>
      </c>
      <c r="C506">
        <v>2020</v>
      </c>
      <c r="D506" t="s">
        <v>6</v>
      </c>
      <c r="E506" t="s">
        <v>24</v>
      </c>
      <c r="F506" t="s">
        <v>40</v>
      </c>
      <c r="G506" t="s">
        <v>8</v>
      </c>
      <c r="H506">
        <v>73.06</v>
      </c>
    </row>
    <row r="507" spans="1:8" x14ac:dyDescent="0.3">
      <c r="A507">
        <v>202002</v>
      </c>
      <c r="B507" s="1">
        <v>43862</v>
      </c>
      <c r="C507">
        <v>2020</v>
      </c>
      <c r="D507" t="s">
        <v>9</v>
      </c>
      <c r="E507" t="s">
        <v>24</v>
      </c>
      <c r="F507" t="s">
        <v>40</v>
      </c>
      <c r="G507" t="s">
        <v>8</v>
      </c>
      <c r="H507">
        <v>36.64</v>
      </c>
    </row>
    <row r="508" spans="1:8" x14ac:dyDescent="0.3">
      <c r="A508">
        <v>202003</v>
      </c>
      <c r="B508" s="1">
        <v>43891</v>
      </c>
      <c r="C508">
        <v>2020</v>
      </c>
      <c r="D508" t="s">
        <v>10</v>
      </c>
      <c r="E508" t="s">
        <v>24</v>
      </c>
      <c r="F508" t="s">
        <v>40</v>
      </c>
      <c r="G508" t="s">
        <v>8</v>
      </c>
      <c r="H508">
        <v>34.47</v>
      </c>
    </row>
    <row r="509" spans="1:8" x14ac:dyDescent="0.3">
      <c r="A509">
        <v>202004</v>
      </c>
      <c r="B509" s="1">
        <v>43922</v>
      </c>
      <c r="C509">
        <v>2020</v>
      </c>
      <c r="D509" t="s">
        <v>11</v>
      </c>
      <c r="E509" t="s">
        <v>24</v>
      </c>
      <c r="F509" t="s">
        <v>40</v>
      </c>
      <c r="G509" t="s">
        <v>8</v>
      </c>
      <c r="H509">
        <v>22.43</v>
      </c>
    </row>
    <row r="510" spans="1:8" x14ac:dyDescent="0.3">
      <c r="A510">
        <v>202005</v>
      </c>
      <c r="B510" s="1">
        <v>43952</v>
      </c>
      <c r="C510">
        <v>2020</v>
      </c>
      <c r="D510" t="s">
        <v>12</v>
      </c>
      <c r="E510" t="s">
        <v>24</v>
      </c>
      <c r="F510" t="s">
        <v>40</v>
      </c>
      <c r="G510" t="s">
        <v>8</v>
      </c>
      <c r="H510">
        <v>30.57</v>
      </c>
    </row>
    <row r="511" spans="1:8" x14ac:dyDescent="0.3">
      <c r="A511">
        <v>202006</v>
      </c>
      <c r="B511" s="1">
        <v>43983</v>
      </c>
      <c r="C511">
        <v>2020</v>
      </c>
      <c r="D511" t="s">
        <v>13</v>
      </c>
      <c r="E511" t="s">
        <v>24</v>
      </c>
      <c r="F511" t="s">
        <v>40</v>
      </c>
      <c r="G511" t="s">
        <v>8</v>
      </c>
      <c r="H511">
        <v>56.48</v>
      </c>
    </row>
    <row r="512" spans="1:8" x14ac:dyDescent="0.3">
      <c r="A512">
        <v>202007</v>
      </c>
      <c r="B512" s="1">
        <v>44013</v>
      </c>
      <c r="C512">
        <v>2020</v>
      </c>
      <c r="D512" t="s">
        <v>14</v>
      </c>
      <c r="E512" t="s">
        <v>24</v>
      </c>
      <c r="F512" t="s">
        <v>40</v>
      </c>
      <c r="G512" t="s">
        <v>8</v>
      </c>
      <c r="H512">
        <v>46.46</v>
      </c>
    </row>
    <row r="513" spans="1:8" x14ac:dyDescent="0.3">
      <c r="A513">
        <v>202008</v>
      </c>
      <c r="B513" s="1">
        <v>44044</v>
      </c>
      <c r="C513">
        <v>2020</v>
      </c>
      <c r="D513" t="s">
        <v>15</v>
      </c>
      <c r="E513" t="s">
        <v>24</v>
      </c>
      <c r="F513" t="s">
        <v>40</v>
      </c>
      <c r="G513" t="s">
        <v>8</v>
      </c>
      <c r="H513">
        <v>35.64</v>
      </c>
    </row>
    <row r="514" spans="1:8" x14ac:dyDescent="0.3">
      <c r="A514">
        <v>202009</v>
      </c>
      <c r="B514" s="1">
        <v>44075</v>
      </c>
      <c r="C514">
        <v>2020</v>
      </c>
      <c r="D514" t="s">
        <v>16</v>
      </c>
      <c r="E514" t="s">
        <v>24</v>
      </c>
      <c r="F514" t="s">
        <v>40</v>
      </c>
      <c r="G514" t="s">
        <v>8</v>
      </c>
      <c r="H514">
        <v>37.229999999999997</v>
      </c>
    </row>
    <row r="515" spans="1:8" x14ac:dyDescent="0.3">
      <c r="A515">
        <v>202010</v>
      </c>
      <c r="B515" s="1">
        <v>44105</v>
      </c>
      <c r="C515">
        <v>2020</v>
      </c>
      <c r="D515" t="s">
        <v>17</v>
      </c>
      <c r="E515" t="s">
        <v>24</v>
      </c>
      <c r="F515" t="s">
        <v>40</v>
      </c>
      <c r="G515" t="s">
        <v>8</v>
      </c>
      <c r="H515">
        <v>53</v>
      </c>
    </row>
    <row r="516" spans="1:8" x14ac:dyDescent="0.3">
      <c r="A516">
        <v>202011</v>
      </c>
      <c r="B516" s="1">
        <v>44136</v>
      </c>
      <c r="C516">
        <v>2020</v>
      </c>
      <c r="D516" t="s">
        <v>18</v>
      </c>
      <c r="E516" t="s">
        <v>24</v>
      </c>
      <c r="F516" t="s">
        <v>40</v>
      </c>
      <c r="G516" t="s">
        <v>8</v>
      </c>
      <c r="H516">
        <v>40.96</v>
      </c>
    </row>
    <row r="517" spans="1:8" x14ac:dyDescent="0.3">
      <c r="A517">
        <v>202012</v>
      </c>
      <c r="B517" s="1">
        <v>44166</v>
      </c>
      <c r="C517">
        <v>2020</v>
      </c>
      <c r="D517" t="s">
        <v>19</v>
      </c>
      <c r="E517" t="s">
        <v>24</v>
      </c>
      <c r="F517" t="s">
        <v>40</v>
      </c>
      <c r="G517" t="s">
        <v>8</v>
      </c>
      <c r="H517">
        <v>45.83</v>
      </c>
    </row>
    <row r="518" spans="1:8" x14ac:dyDescent="0.3">
      <c r="A518">
        <v>202001</v>
      </c>
      <c r="B518" s="1">
        <v>43831</v>
      </c>
      <c r="C518">
        <v>2020</v>
      </c>
      <c r="D518" t="s">
        <v>6</v>
      </c>
      <c r="E518" t="s">
        <v>24</v>
      </c>
      <c r="F518" t="s">
        <v>40</v>
      </c>
      <c r="G518" t="s">
        <v>8</v>
      </c>
      <c r="H518">
        <v>546.53</v>
      </c>
    </row>
    <row r="519" spans="1:8" x14ac:dyDescent="0.3">
      <c r="A519">
        <v>202002</v>
      </c>
      <c r="B519" s="1">
        <v>43862</v>
      </c>
      <c r="C519">
        <v>2020</v>
      </c>
      <c r="D519" t="s">
        <v>9</v>
      </c>
      <c r="E519" t="s">
        <v>24</v>
      </c>
      <c r="F519" t="s">
        <v>40</v>
      </c>
      <c r="G519" t="s">
        <v>8</v>
      </c>
      <c r="H519">
        <v>381.26</v>
      </c>
    </row>
    <row r="520" spans="1:8" x14ac:dyDescent="0.3">
      <c r="A520">
        <v>202003</v>
      </c>
      <c r="B520" s="1">
        <v>43891</v>
      </c>
      <c r="C520">
        <v>2020</v>
      </c>
      <c r="D520" t="s">
        <v>10</v>
      </c>
      <c r="E520" t="s">
        <v>24</v>
      </c>
      <c r="F520" t="s">
        <v>40</v>
      </c>
      <c r="G520" t="s">
        <v>8</v>
      </c>
      <c r="H520">
        <v>279.66000000000003</v>
      </c>
    </row>
    <row r="521" spans="1:8" x14ac:dyDescent="0.3">
      <c r="A521">
        <v>202004</v>
      </c>
      <c r="B521" s="1">
        <v>43922</v>
      </c>
      <c r="C521">
        <v>2020</v>
      </c>
      <c r="D521" t="s">
        <v>11</v>
      </c>
      <c r="E521" t="s">
        <v>24</v>
      </c>
      <c r="F521" t="s">
        <v>40</v>
      </c>
      <c r="G521" t="s">
        <v>8</v>
      </c>
      <c r="H521">
        <v>218.96</v>
      </c>
    </row>
    <row r="522" spans="1:8" x14ac:dyDescent="0.3">
      <c r="A522">
        <v>202005</v>
      </c>
      <c r="B522" s="1">
        <v>43952</v>
      </c>
      <c r="C522">
        <v>2020</v>
      </c>
      <c r="D522" t="s">
        <v>12</v>
      </c>
      <c r="E522" t="s">
        <v>24</v>
      </c>
      <c r="F522" t="s">
        <v>40</v>
      </c>
      <c r="G522" t="s">
        <v>8</v>
      </c>
      <c r="H522">
        <v>161.19999999999999</v>
      </c>
    </row>
    <row r="523" spans="1:8" x14ac:dyDescent="0.3">
      <c r="A523">
        <v>202006</v>
      </c>
      <c r="B523" s="1">
        <v>43983</v>
      </c>
      <c r="C523">
        <v>2020</v>
      </c>
      <c r="D523" t="s">
        <v>13</v>
      </c>
      <c r="E523" t="s">
        <v>24</v>
      </c>
      <c r="F523" t="s">
        <v>40</v>
      </c>
      <c r="G523" t="s">
        <v>8</v>
      </c>
      <c r="H523">
        <v>585.48</v>
      </c>
    </row>
    <row r="524" spans="1:8" x14ac:dyDescent="0.3">
      <c r="A524">
        <v>202007</v>
      </c>
      <c r="B524" s="1">
        <v>44013</v>
      </c>
      <c r="C524">
        <v>2020</v>
      </c>
      <c r="D524" t="s">
        <v>14</v>
      </c>
      <c r="E524" t="s">
        <v>24</v>
      </c>
      <c r="F524" t="s">
        <v>40</v>
      </c>
      <c r="G524" t="s">
        <v>8</v>
      </c>
      <c r="H524">
        <v>314.2</v>
      </c>
    </row>
    <row r="525" spans="1:8" x14ac:dyDescent="0.3">
      <c r="A525">
        <v>202008</v>
      </c>
      <c r="B525" s="1">
        <v>44044</v>
      </c>
      <c r="C525">
        <v>2020</v>
      </c>
      <c r="D525" t="s">
        <v>15</v>
      </c>
      <c r="E525" t="s">
        <v>24</v>
      </c>
      <c r="F525" t="s">
        <v>40</v>
      </c>
      <c r="G525" t="s">
        <v>8</v>
      </c>
      <c r="H525">
        <v>317.82</v>
      </c>
    </row>
    <row r="526" spans="1:8" x14ac:dyDescent="0.3">
      <c r="A526">
        <v>202009</v>
      </c>
      <c r="B526" s="1">
        <v>44075</v>
      </c>
      <c r="C526">
        <v>2020</v>
      </c>
      <c r="D526" t="s">
        <v>16</v>
      </c>
      <c r="E526" t="s">
        <v>24</v>
      </c>
      <c r="F526" t="s">
        <v>40</v>
      </c>
      <c r="G526" t="s">
        <v>8</v>
      </c>
      <c r="H526">
        <v>298.7</v>
      </c>
    </row>
    <row r="527" spans="1:8" x14ac:dyDescent="0.3">
      <c r="A527">
        <v>202010</v>
      </c>
      <c r="B527" s="1">
        <v>44105</v>
      </c>
      <c r="C527">
        <v>2020</v>
      </c>
      <c r="D527" t="s">
        <v>17</v>
      </c>
      <c r="E527" t="s">
        <v>24</v>
      </c>
      <c r="F527" t="s">
        <v>40</v>
      </c>
      <c r="G527" t="s">
        <v>8</v>
      </c>
      <c r="H527">
        <v>381.22</v>
      </c>
    </row>
    <row r="528" spans="1:8" x14ac:dyDescent="0.3">
      <c r="A528">
        <v>202011</v>
      </c>
      <c r="B528" s="1">
        <v>44136</v>
      </c>
      <c r="C528">
        <v>2020</v>
      </c>
      <c r="D528" t="s">
        <v>18</v>
      </c>
      <c r="E528" t="s">
        <v>24</v>
      </c>
      <c r="F528" t="s">
        <v>40</v>
      </c>
      <c r="G528" t="s">
        <v>8</v>
      </c>
      <c r="H528">
        <v>400.47</v>
      </c>
    </row>
    <row r="529" spans="1:8" x14ac:dyDescent="0.3">
      <c r="A529">
        <v>202012</v>
      </c>
      <c r="B529" s="1">
        <v>44166</v>
      </c>
      <c r="C529">
        <v>2020</v>
      </c>
      <c r="D529" t="s">
        <v>19</v>
      </c>
      <c r="E529" t="s">
        <v>24</v>
      </c>
      <c r="F529" t="s">
        <v>40</v>
      </c>
      <c r="G529" t="s">
        <v>8</v>
      </c>
      <c r="H529">
        <v>421.7</v>
      </c>
    </row>
    <row r="530" spans="1:8" x14ac:dyDescent="0.3">
      <c r="A530">
        <v>202001</v>
      </c>
      <c r="B530" s="1">
        <v>43831</v>
      </c>
      <c r="C530">
        <v>2020</v>
      </c>
      <c r="D530" t="s">
        <v>6</v>
      </c>
      <c r="E530" t="s">
        <v>24</v>
      </c>
      <c r="F530" t="s">
        <v>40</v>
      </c>
      <c r="G530" t="s">
        <v>8</v>
      </c>
      <c r="H530">
        <v>360.29</v>
      </c>
    </row>
    <row r="531" spans="1:8" x14ac:dyDescent="0.3">
      <c r="A531">
        <v>202002</v>
      </c>
      <c r="B531" s="1">
        <v>43862</v>
      </c>
      <c r="C531">
        <v>2020</v>
      </c>
      <c r="D531" t="s">
        <v>9</v>
      </c>
      <c r="E531" t="s">
        <v>24</v>
      </c>
      <c r="F531" t="s">
        <v>40</v>
      </c>
      <c r="G531" t="s">
        <v>8</v>
      </c>
      <c r="H531">
        <v>233.54</v>
      </c>
    </row>
    <row r="532" spans="1:8" x14ac:dyDescent="0.3">
      <c r="A532">
        <v>202003</v>
      </c>
      <c r="B532" s="1">
        <v>43891</v>
      </c>
      <c r="C532">
        <v>2020</v>
      </c>
      <c r="D532" t="s">
        <v>10</v>
      </c>
      <c r="E532" t="s">
        <v>24</v>
      </c>
      <c r="F532" t="s">
        <v>40</v>
      </c>
      <c r="G532" t="s">
        <v>8</v>
      </c>
      <c r="H532">
        <v>215.64</v>
      </c>
    </row>
    <row r="533" spans="1:8" x14ac:dyDescent="0.3">
      <c r="A533">
        <v>202004</v>
      </c>
      <c r="B533" s="1">
        <v>43922</v>
      </c>
      <c r="C533">
        <v>2020</v>
      </c>
      <c r="D533" t="s">
        <v>11</v>
      </c>
      <c r="E533" t="s">
        <v>24</v>
      </c>
      <c r="F533" t="s">
        <v>40</v>
      </c>
      <c r="G533" t="s">
        <v>8</v>
      </c>
      <c r="H533">
        <v>94.72</v>
      </c>
    </row>
    <row r="534" spans="1:8" x14ac:dyDescent="0.3">
      <c r="A534">
        <v>202005</v>
      </c>
      <c r="B534" s="1">
        <v>43952</v>
      </c>
      <c r="C534">
        <v>2020</v>
      </c>
      <c r="D534" t="s">
        <v>12</v>
      </c>
      <c r="E534" t="s">
        <v>24</v>
      </c>
      <c r="F534" t="s">
        <v>40</v>
      </c>
      <c r="G534" t="s">
        <v>8</v>
      </c>
      <c r="H534">
        <v>122.58</v>
      </c>
    </row>
    <row r="535" spans="1:8" x14ac:dyDescent="0.3">
      <c r="A535">
        <v>202006</v>
      </c>
      <c r="B535" s="1">
        <v>43983</v>
      </c>
      <c r="C535">
        <v>2020</v>
      </c>
      <c r="D535" t="s">
        <v>13</v>
      </c>
      <c r="E535" t="s">
        <v>24</v>
      </c>
      <c r="F535" t="s">
        <v>40</v>
      </c>
      <c r="G535" t="s">
        <v>8</v>
      </c>
      <c r="H535">
        <v>359.55</v>
      </c>
    </row>
    <row r="536" spans="1:8" x14ac:dyDescent="0.3">
      <c r="A536">
        <v>202007</v>
      </c>
      <c r="B536" s="1">
        <v>44013</v>
      </c>
      <c r="C536">
        <v>2020</v>
      </c>
      <c r="D536" t="s">
        <v>14</v>
      </c>
      <c r="E536" t="s">
        <v>24</v>
      </c>
      <c r="F536" t="s">
        <v>40</v>
      </c>
      <c r="G536" t="s">
        <v>8</v>
      </c>
      <c r="H536">
        <v>269.3</v>
      </c>
    </row>
    <row r="537" spans="1:8" x14ac:dyDescent="0.3">
      <c r="A537">
        <v>202008</v>
      </c>
      <c r="B537" s="1">
        <v>44044</v>
      </c>
      <c r="C537">
        <v>2020</v>
      </c>
      <c r="D537" t="s">
        <v>15</v>
      </c>
      <c r="E537" t="s">
        <v>24</v>
      </c>
      <c r="F537" t="s">
        <v>40</v>
      </c>
      <c r="G537" t="s">
        <v>8</v>
      </c>
      <c r="H537">
        <v>239.9</v>
      </c>
    </row>
    <row r="538" spans="1:8" x14ac:dyDescent="0.3">
      <c r="A538">
        <v>202009</v>
      </c>
      <c r="B538" s="1">
        <v>44075</v>
      </c>
      <c r="C538">
        <v>2020</v>
      </c>
      <c r="D538" t="s">
        <v>16</v>
      </c>
      <c r="E538" t="s">
        <v>24</v>
      </c>
      <c r="F538" t="s">
        <v>40</v>
      </c>
      <c r="G538" t="s">
        <v>8</v>
      </c>
      <c r="H538">
        <v>234.12</v>
      </c>
    </row>
    <row r="539" spans="1:8" x14ac:dyDescent="0.3">
      <c r="A539">
        <v>202010</v>
      </c>
      <c r="B539" s="1">
        <v>44105</v>
      </c>
      <c r="C539">
        <v>2020</v>
      </c>
      <c r="D539" t="s">
        <v>17</v>
      </c>
      <c r="E539" t="s">
        <v>24</v>
      </c>
      <c r="F539" t="s">
        <v>40</v>
      </c>
      <c r="G539" t="s">
        <v>8</v>
      </c>
      <c r="H539">
        <v>251.45</v>
      </c>
    </row>
    <row r="540" spans="1:8" x14ac:dyDescent="0.3">
      <c r="A540">
        <v>202011</v>
      </c>
      <c r="B540" s="1">
        <v>44136</v>
      </c>
      <c r="C540">
        <v>2020</v>
      </c>
      <c r="D540" t="s">
        <v>18</v>
      </c>
      <c r="E540" t="s">
        <v>24</v>
      </c>
      <c r="F540" t="s">
        <v>40</v>
      </c>
      <c r="G540" t="s">
        <v>8</v>
      </c>
      <c r="H540">
        <v>252.74</v>
      </c>
    </row>
    <row r="541" spans="1:8" x14ac:dyDescent="0.3">
      <c r="A541">
        <v>202012</v>
      </c>
      <c r="B541" s="1">
        <v>44166</v>
      </c>
      <c r="C541">
        <v>2020</v>
      </c>
      <c r="D541" t="s">
        <v>19</v>
      </c>
      <c r="E541" t="s">
        <v>24</v>
      </c>
      <c r="F541" t="s">
        <v>40</v>
      </c>
      <c r="G541" t="s">
        <v>8</v>
      </c>
      <c r="H541">
        <v>239.55</v>
      </c>
    </row>
    <row r="542" spans="1:8" x14ac:dyDescent="0.3">
      <c r="A542">
        <v>202001</v>
      </c>
      <c r="B542" s="1">
        <v>43831</v>
      </c>
      <c r="C542">
        <v>2020</v>
      </c>
      <c r="D542" t="s">
        <v>6</v>
      </c>
      <c r="E542" t="s">
        <v>25</v>
      </c>
      <c r="F542" t="s">
        <v>40</v>
      </c>
      <c r="G542" t="s">
        <v>8</v>
      </c>
      <c r="H542">
        <v>28.33</v>
      </c>
    </row>
    <row r="543" spans="1:8" x14ac:dyDescent="0.3">
      <c r="A543">
        <v>202002</v>
      </c>
      <c r="B543" s="1">
        <v>43862</v>
      </c>
      <c r="C543">
        <v>2020</v>
      </c>
      <c r="D543" t="s">
        <v>9</v>
      </c>
      <c r="E543" t="s">
        <v>25</v>
      </c>
      <c r="F543" t="s">
        <v>40</v>
      </c>
      <c r="G543" t="s">
        <v>8</v>
      </c>
      <c r="H543">
        <v>13.76</v>
      </c>
    </row>
    <row r="544" spans="1:8" x14ac:dyDescent="0.3">
      <c r="A544">
        <v>202003</v>
      </c>
      <c r="B544" s="1">
        <v>43891</v>
      </c>
      <c r="C544">
        <v>2020</v>
      </c>
      <c r="D544" t="s">
        <v>10</v>
      </c>
      <c r="E544" t="s">
        <v>25</v>
      </c>
      <c r="F544" t="s">
        <v>40</v>
      </c>
      <c r="G544" t="s">
        <v>8</v>
      </c>
      <c r="H544">
        <v>15.36</v>
      </c>
    </row>
    <row r="545" spans="1:8" x14ac:dyDescent="0.3">
      <c r="A545">
        <v>202004</v>
      </c>
      <c r="B545" s="1">
        <v>43922</v>
      </c>
      <c r="C545">
        <v>2020</v>
      </c>
      <c r="D545" t="s">
        <v>11</v>
      </c>
      <c r="E545" t="s">
        <v>25</v>
      </c>
      <c r="F545" t="s">
        <v>40</v>
      </c>
      <c r="G545" t="s">
        <v>8</v>
      </c>
      <c r="H545">
        <v>10.15</v>
      </c>
    </row>
    <row r="546" spans="1:8" x14ac:dyDescent="0.3">
      <c r="A546">
        <v>202005</v>
      </c>
      <c r="B546" s="1">
        <v>43952</v>
      </c>
      <c r="C546">
        <v>2020</v>
      </c>
      <c r="D546" t="s">
        <v>12</v>
      </c>
      <c r="E546" t="s">
        <v>25</v>
      </c>
      <c r="F546" t="s">
        <v>40</v>
      </c>
      <c r="G546" t="s">
        <v>8</v>
      </c>
      <c r="H546">
        <v>17.09</v>
      </c>
    </row>
    <row r="547" spans="1:8" x14ac:dyDescent="0.3">
      <c r="A547">
        <v>202006</v>
      </c>
      <c r="B547" s="1">
        <v>43983</v>
      </c>
      <c r="C547">
        <v>2020</v>
      </c>
      <c r="D547" t="s">
        <v>13</v>
      </c>
      <c r="E547" t="s">
        <v>25</v>
      </c>
      <c r="F547" t="s">
        <v>40</v>
      </c>
      <c r="G547" t="s">
        <v>8</v>
      </c>
      <c r="H547">
        <v>19.38</v>
      </c>
    </row>
    <row r="548" spans="1:8" x14ac:dyDescent="0.3">
      <c r="A548">
        <v>202007</v>
      </c>
      <c r="B548" s="1">
        <v>44013</v>
      </c>
      <c r="C548">
        <v>2020</v>
      </c>
      <c r="D548" t="s">
        <v>14</v>
      </c>
      <c r="E548" t="s">
        <v>25</v>
      </c>
      <c r="F548" t="s">
        <v>40</v>
      </c>
      <c r="G548" t="s">
        <v>8</v>
      </c>
      <c r="H548">
        <v>24.74</v>
      </c>
    </row>
    <row r="549" spans="1:8" x14ac:dyDescent="0.3">
      <c r="A549">
        <v>202008</v>
      </c>
      <c r="B549" s="1">
        <v>44044</v>
      </c>
      <c r="C549">
        <v>2020</v>
      </c>
      <c r="D549" t="s">
        <v>15</v>
      </c>
      <c r="E549" t="s">
        <v>25</v>
      </c>
      <c r="F549" t="s">
        <v>40</v>
      </c>
      <c r="G549" t="s">
        <v>8</v>
      </c>
      <c r="H549">
        <v>19.440000000000001</v>
      </c>
    </row>
    <row r="550" spans="1:8" x14ac:dyDescent="0.3">
      <c r="A550">
        <v>202009</v>
      </c>
      <c r="B550" s="1">
        <v>44075</v>
      </c>
      <c r="C550">
        <v>2020</v>
      </c>
      <c r="D550" t="s">
        <v>16</v>
      </c>
      <c r="E550" t="s">
        <v>25</v>
      </c>
      <c r="F550" t="s">
        <v>40</v>
      </c>
      <c r="G550" t="s">
        <v>8</v>
      </c>
      <c r="H550">
        <v>18.84</v>
      </c>
    </row>
    <row r="551" spans="1:8" x14ac:dyDescent="0.3">
      <c r="A551">
        <v>202010</v>
      </c>
      <c r="B551" s="1">
        <v>44105</v>
      </c>
      <c r="C551">
        <v>2020</v>
      </c>
      <c r="D551" t="s">
        <v>17</v>
      </c>
      <c r="E551" t="s">
        <v>25</v>
      </c>
      <c r="F551" t="s">
        <v>40</v>
      </c>
      <c r="G551" t="s">
        <v>8</v>
      </c>
      <c r="H551">
        <v>20.95</v>
      </c>
    </row>
    <row r="552" spans="1:8" x14ac:dyDescent="0.3">
      <c r="A552">
        <v>202011</v>
      </c>
      <c r="B552" s="1">
        <v>44136</v>
      </c>
      <c r="C552">
        <v>2020</v>
      </c>
      <c r="D552" t="s">
        <v>18</v>
      </c>
      <c r="E552" t="s">
        <v>25</v>
      </c>
      <c r="F552" t="s">
        <v>40</v>
      </c>
      <c r="G552" t="s">
        <v>8</v>
      </c>
      <c r="H552">
        <v>14.87</v>
      </c>
    </row>
    <row r="553" spans="1:8" x14ac:dyDescent="0.3">
      <c r="A553">
        <v>202012</v>
      </c>
      <c r="B553" s="1">
        <v>44166</v>
      </c>
      <c r="C553">
        <v>2020</v>
      </c>
      <c r="D553" t="s">
        <v>19</v>
      </c>
      <c r="E553" t="s">
        <v>25</v>
      </c>
      <c r="F553" t="s">
        <v>40</v>
      </c>
      <c r="G553" t="s">
        <v>8</v>
      </c>
      <c r="H553">
        <v>15.65</v>
      </c>
    </row>
    <row r="554" spans="1:8" x14ac:dyDescent="0.3">
      <c r="A554">
        <v>202001</v>
      </c>
      <c r="B554" s="1">
        <v>43831</v>
      </c>
      <c r="C554">
        <v>2020</v>
      </c>
      <c r="D554" t="s">
        <v>6</v>
      </c>
      <c r="E554" t="s">
        <v>25</v>
      </c>
      <c r="F554" t="s">
        <v>40</v>
      </c>
      <c r="G554" t="s">
        <v>8</v>
      </c>
      <c r="H554">
        <v>55.01</v>
      </c>
    </row>
    <row r="555" spans="1:8" x14ac:dyDescent="0.3">
      <c r="A555">
        <v>202002</v>
      </c>
      <c r="B555" s="1">
        <v>43862</v>
      </c>
      <c r="C555">
        <v>2020</v>
      </c>
      <c r="D555" t="s">
        <v>9</v>
      </c>
      <c r="E555" t="s">
        <v>25</v>
      </c>
      <c r="F555" t="s">
        <v>40</v>
      </c>
      <c r="G555" t="s">
        <v>8</v>
      </c>
      <c r="H555">
        <v>47.59</v>
      </c>
    </row>
    <row r="556" spans="1:8" x14ac:dyDescent="0.3">
      <c r="A556">
        <v>202003</v>
      </c>
      <c r="B556" s="1">
        <v>43891</v>
      </c>
      <c r="C556">
        <v>2020</v>
      </c>
      <c r="D556" t="s">
        <v>10</v>
      </c>
      <c r="E556" t="s">
        <v>25</v>
      </c>
      <c r="F556" t="s">
        <v>40</v>
      </c>
      <c r="G556" t="s">
        <v>8</v>
      </c>
      <c r="H556">
        <v>63.23</v>
      </c>
    </row>
    <row r="557" spans="1:8" x14ac:dyDescent="0.3">
      <c r="A557">
        <v>202004</v>
      </c>
      <c r="B557" s="1">
        <v>43922</v>
      </c>
      <c r="C557">
        <v>2020</v>
      </c>
      <c r="D557" t="s">
        <v>11</v>
      </c>
      <c r="E557" t="s">
        <v>25</v>
      </c>
      <c r="F557" t="s">
        <v>40</v>
      </c>
      <c r="G557" t="s">
        <v>8</v>
      </c>
      <c r="H557">
        <v>30.61</v>
      </c>
    </row>
    <row r="558" spans="1:8" x14ac:dyDescent="0.3">
      <c r="A558">
        <v>202005</v>
      </c>
      <c r="B558" s="1">
        <v>43952</v>
      </c>
      <c r="C558">
        <v>2020</v>
      </c>
      <c r="D558" t="s">
        <v>12</v>
      </c>
      <c r="E558" t="s">
        <v>25</v>
      </c>
      <c r="F558" t="s">
        <v>40</v>
      </c>
      <c r="G558" t="s">
        <v>8</v>
      </c>
      <c r="H558">
        <v>35.92</v>
      </c>
    </row>
    <row r="559" spans="1:8" x14ac:dyDescent="0.3">
      <c r="A559">
        <v>202006</v>
      </c>
      <c r="B559" s="1">
        <v>43983</v>
      </c>
      <c r="C559">
        <v>2020</v>
      </c>
      <c r="D559" t="s">
        <v>13</v>
      </c>
      <c r="E559" t="s">
        <v>25</v>
      </c>
      <c r="F559" t="s">
        <v>40</v>
      </c>
      <c r="G559" t="s">
        <v>8</v>
      </c>
      <c r="H559">
        <v>68.290000000000006</v>
      </c>
    </row>
    <row r="560" spans="1:8" x14ac:dyDescent="0.3">
      <c r="A560">
        <v>202007</v>
      </c>
      <c r="B560" s="1">
        <v>44013</v>
      </c>
      <c r="C560">
        <v>2020</v>
      </c>
      <c r="D560" t="s">
        <v>14</v>
      </c>
      <c r="E560" t="s">
        <v>25</v>
      </c>
      <c r="F560" t="s">
        <v>40</v>
      </c>
      <c r="G560" t="s">
        <v>8</v>
      </c>
      <c r="H560">
        <v>53</v>
      </c>
    </row>
    <row r="561" spans="1:8" x14ac:dyDescent="0.3">
      <c r="A561">
        <v>202008</v>
      </c>
      <c r="B561" s="1">
        <v>44044</v>
      </c>
      <c r="C561">
        <v>2020</v>
      </c>
      <c r="D561" t="s">
        <v>15</v>
      </c>
      <c r="E561" t="s">
        <v>25</v>
      </c>
      <c r="F561" t="s">
        <v>40</v>
      </c>
      <c r="G561" t="s">
        <v>8</v>
      </c>
      <c r="H561">
        <v>46.48</v>
      </c>
    </row>
    <row r="562" spans="1:8" x14ac:dyDescent="0.3">
      <c r="A562">
        <v>202009</v>
      </c>
      <c r="B562" s="1">
        <v>44075</v>
      </c>
      <c r="C562">
        <v>2020</v>
      </c>
      <c r="D562" t="s">
        <v>16</v>
      </c>
      <c r="E562" t="s">
        <v>25</v>
      </c>
      <c r="F562" t="s">
        <v>40</v>
      </c>
      <c r="G562" t="s">
        <v>8</v>
      </c>
      <c r="H562">
        <v>48.52</v>
      </c>
    </row>
    <row r="563" spans="1:8" x14ac:dyDescent="0.3">
      <c r="A563">
        <v>202010</v>
      </c>
      <c r="B563" s="1">
        <v>44105</v>
      </c>
      <c r="C563">
        <v>2020</v>
      </c>
      <c r="D563" t="s">
        <v>17</v>
      </c>
      <c r="E563" t="s">
        <v>25</v>
      </c>
      <c r="F563" t="s">
        <v>40</v>
      </c>
      <c r="G563" t="s">
        <v>8</v>
      </c>
      <c r="H563">
        <v>55.1</v>
      </c>
    </row>
    <row r="564" spans="1:8" x14ac:dyDescent="0.3">
      <c r="A564">
        <v>202011</v>
      </c>
      <c r="B564" s="1">
        <v>44136</v>
      </c>
      <c r="C564">
        <v>2020</v>
      </c>
      <c r="D564" t="s">
        <v>18</v>
      </c>
      <c r="E564" t="s">
        <v>25</v>
      </c>
      <c r="F564" t="s">
        <v>40</v>
      </c>
      <c r="G564" t="s">
        <v>8</v>
      </c>
      <c r="H564">
        <v>62.06</v>
      </c>
    </row>
    <row r="565" spans="1:8" x14ac:dyDescent="0.3">
      <c r="A565">
        <v>202012</v>
      </c>
      <c r="B565" s="1">
        <v>44166</v>
      </c>
      <c r="C565">
        <v>2020</v>
      </c>
      <c r="D565" t="s">
        <v>19</v>
      </c>
      <c r="E565" t="s">
        <v>25</v>
      </c>
      <c r="F565" t="s">
        <v>40</v>
      </c>
      <c r="G565" t="s">
        <v>8</v>
      </c>
      <c r="H565">
        <v>52.06</v>
      </c>
    </row>
    <row r="566" spans="1:8" x14ac:dyDescent="0.3">
      <c r="A566">
        <v>202001</v>
      </c>
      <c r="B566" s="1">
        <v>43831</v>
      </c>
      <c r="C566">
        <v>2020</v>
      </c>
      <c r="D566" t="s">
        <v>6</v>
      </c>
      <c r="E566" t="s">
        <v>25</v>
      </c>
      <c r="F566" t="s">
        <v>40</v>
      </c>
      <c r="G566" t="s">
        <v>8</v>
      </c>
      <c r="H566">
        <v>193.11</v>
      </c>
    </row>
    <row r="567" spans="1:8" x14ac:dyDescent="0.3">
      <c r="A567">
        <v>202002</v>
      </c>
      <c r="B567" s="1">
        <v>43862</v>
      </c>
      <c r="C567">
        <v>2020</v>
      </c>
      <c r="D567" t="s">
        <v>9</v>
      </c>
      <c r="E567" t="s">
        <v>25</v>
      </c>
      <c r="F567" t="s">
        <v>40</v>
      </c>
      <c r="G567" t="s">
        <v>8</v>
      </c>
      <c r="H567">
        <v>111.71</v>
      </c>
    </row>
    <row r="568" spans="1:8" x14ac:dyDescent="0.3">
      <c r="A568">
        <v>202003</v>
      </c>
      <c r="B568" s="1">
        <v>43891</v>
      </c>
      <c r="C568">
        <v>2020</v>
      </c>
      <c r="D568" t="s">
        <v>10</v>
      </c>
      <c r="E568" t="s">
        <v>25</v>
      </c>
      <c r="F568" t="s">
        <v>40</v>
      </c>
      <c r="G568" t="s">
        <v>8</v>
      </c>
      <c r="H568">
        <v>107.46</v>
      </c>
    </row>
    <row r="569" spans="1:8" x14ac:dyDescent="0.3">
      <c r="A569">
        <v>202004</v>
      </c>
      <c r="B569" s="1">
        <v>43922</v>
      </c>
      <c r="C569">
        <v>2020</v>
      </c>
      <c r="D569" t="s">
        <v>11</v>
      </c>
      <c r="E569" t="s">
        <v>25</v>
      </c>
      <c r="F569" t="s">
        <v>40</v>
      </c>
      <c r="G569" t="s">
        <v>8</v>
      </c>
      <c r="H569">
        <v>51.35</v>
      </c>
    </row>
    <row r="570" spans="1:8" x14ac:dyDescent="0.3">
      <c r="A570">
        <v>202005</v>
      </c>
      <c r="B570" s="1">
        <v>43952</v>
      </c>
      <c r="C570">
        <v>2020</v>
      </c>
      <c r="D570" t="s">
        <v>12</v>
      </c>
      <c r="E570" t="s">
        <v>25</v>
      </c>
      <c r="F570" t="s">
        <v>40</v>
      </c>
      <c r="G570" t="s">
        <v>8</v>
      </c>
      <c r="H570">
        <v>85.77</v>
      </c>
    </row>
    <row r="571" spans="1:8" x14ac:dyDescent="0.3">
      <c r="A571">
        <v>202006</v>
      </c>
      <c r="B571" s="1">
        <v>43983</v>
      </c>
      <c r="C571">
        <v>2020</v>
      </c>
      <c r="D571" t="s">
        <v>13</v>
      </c>
      <c r="E571" t="s">
        <v>25</v>
      </c>
      <c r="F571" t="s">
        <v>40</v>
      </c>
      <c r="G571" t="s">
        <v>8</v>
      </c>
      <c r="H571">
        <v>198.77</v>
      </c>
    </row>
    <row r="572" spans="1:8" x14ac:dyDescent="0.3">
      <c r="A572">
        <v>202007</v>
      </c>
      <c r="B572" s="1">
        <v>44013</v>
      </c>
      <c r="C572">
        <v>2020</v>
      </c>
      <c r="D572" t="s">
        <v>14</v>
      </c>
      <c r="E572" t="s">
        <v>25</v>
      </c>
      <c r="F572" t="s">
        <v>40</v>
      </c>
      <c r="G572" t="s">
        <v>8</v>
      </c>
      <c r="H572">
        <v>130.38</v>
      </c>
    </row>
    <row r="573" spans="1:8" x14ac:dyDescent="0.3">
      <c r="A573">
        <v>202008</v>
      </c>
      <c r="B573" s="1">
        <v>44044</v>
      </c>
      <c r="C573">
        <v>2020</v>
      </c>
      <c r="D573" t="s">
        <v>15</v>
      </c>
      <c r="E573" t="s">
        <v>25</v>
      </c>
      <c r="F573" t="s">
        <v>40</v>
      </c>
      <c r="G573" t="s">
        <v>8</v>
      </c>
      <c r="H573">
        <v>132.85</v>
      </c>
    </row>
    <row r="574" spans="1:8" x14ac:dyDescent="0.3">
      <c r="A574">
        <v>202009</v>
      </c>
      <c r="B574" s="1">
        <v>44075</v>
      </c>
      <c r="C574">
        <v>2020</v>
      </c>
      <c r="D574" t="s">
        <v>16</v>
      </c>
      <c r="E574" t="s">
        <v>25</v>
      </c>
      <c r="F574" t="s">
        <v>40</v>
      </c>
      <c r="G574" t="s">
        <v>8</v>
      </c>
      <c r="H574">
        <v>115</v>
      </c>
    </row>
    <row r="575" spans="1:8" x14ac:dyDescent="0.3">
      <c r="A575">
        <v>202010</v>
      </c>
      <c r="B575" s="1">
        <v>44105</v>
      </c>
      <c r="C575">
        <v>2020</v>
      </c>
      <c r="D575" t="s">
        <v>17</v>
      </c>
      <c r="E575" t="s">
        <v>25</v>
      </c>
      <c r="F575" t="s">
        <v>40</v>
      </c>
      <c r="G575" t="s">
        <v>8</v>
      </c>
      <c r="H575">
        <v>139.99</v>
      </c>
    </row>
    <row r="576" spans="1:8" x14ac:dyDescent="0.3">
      <c r="A576">
        <v>202011</v>
      </c>
      <c r="B576" s="1">
        <v>44136</v>
      </c>
      <c r="C576">
        <v>2020</v>
      </c>
      <c r="D576" t="s">
        <v>18</v>
      </c>
      <c r="E576" t="s">
        <v>25</v>
      </c>
      <c r="F576" t="s">
        <v>40</v>
      </c>
      <c r="G576" t="s">
        <v>8</v>
      </c>
      <c r="H576">
        <v>150.68</v>
      </c>
    </row>
    <row r="577" spans="1:8" x14ac:dyDescent="0.3">
      <c r="A577">
        <v>202012</v>
      </c>
      <c r="B577" s="1">
        <v>44166</v>
      </c>
      <c r="C577">
        <v>2020</v>
      </c>
      <c r="D577" t="s">
        <v>19</v>
      </c>
      <c r="E577" t="s">
        <v>25</v>
      </c>
      <c r="F577" t="s">
        <v>40</v>
      </c>
      <c r="G577" t="s">
        <v>8</v>
      </c>
      <c r="H577">
        <v>130.71</v>
      </c>
    </row>
    <row r="578" spans="1:8" x14ac:dyDescent="0.3">
      <c r="A578">
        <v>202001</v>
      </c>
      <c r="B578" s="1">
        <v>43831</v>
      </c>
      <c r="C578">
        <v>2020</v>
      </c>
      <c r="D578" t="s">
        <v>6</v>
      </c>
      <c r="E578" t="s">
        <v>25</v>
      </c>
      <c r="F578" t="s">
        <v>40</v>
      </c>
      <c r="G578" t="s">
        <v>8</v>
      </c>
      <c r="H578">
        <v>369.09</v>
      </c>
    </row>
    <row r="579" spans="1:8" x14ac:dyDescent="0.3">
      <c r="A579">
        <v>202002</v>
      </c>
      <c r="B579" s="1">
        <v>43862</v>
      </c>
      <c r="C579">
        <v>2020</v>
      </c>
      <c r="D579" t="s">
        <v>9</v>
      </c>
      <c r="E579" t="s">
        <v>25</v>
      </c>
      <c r="F579" t="s">
        <v>40</v>
      </c>
      <c r="G579" t="s">
        <v>8</v>
      </c>
      <c r="H579">
        <v>288.69</v>
      </c>
    </row>
    <row r="580" spans="1:8" x14ac:dyDescent="0.3">
      <c r="A580">
        <v>202003</v>
      </c>
      <c r="B580" s="1">
        <v>43891</v>
      </c>
      <c r="C580">
        <v>2020</v>
      </c>
      <c r="D580" t="s">
        <v>10</v>
      </c>
      <c r="E580" t="s">
        <v>25</v>
      </c>
      <c r="F580" t="s">
        <v>40</v>
      </c>
      <c r="G580" t="s">
        <v>8</v>
      </c>
      <c r="H580">
        <v>194.39</v>
      </c>
    </row>
    <row r="581" spans="1:8" x14ac:dyDescent="0.3">
      <c r="A581">
        <v>202004</v>
      </c>
      <c r="B581" s="1">
        <v>43922</v>
      </c>
      <c r="C581">
        <v>2020</v>
      </c>
      <c r="D581" t="s">
        <v>11</v>
      </c>
      <c r="E581" t="s">
        <v>25</v>
      </c>
      <c r="F581" t="s">
        <v>40</v>
      </c>
      <c r="G581" t="s">
        <v>8</v>
      </c>
      <c r="H581">
        <v>124.04</v>
      </c>
    </row>
    <row r="582" spans="1:8" x14ac:dyDescent="0.3">
      <c r="A582">
        <v>202005</v>
      </c>
      <c r="B582" s="1">
        <v>43952</v>
      </c>
      <c r="C582">
        <v>2020</v>
      </c>
      <c r="D582" t="s">
        <v>12</v>
      </c>
      <c r="E582" t="s">
        <v>25</v>
      </c>
      <c r="F582" t="s">
        <v>40</v>
      </c>
      <c r="G582" t="s">
        <v>8</v>
      </c>
      <c r="H582">
        <v>189.5</v>
      </c>
    </row>
    <row r="583" spans="1:8" x14ac:dyDescent="0.3">
      <c r="A583">
        <v>202006</v>
      </c>
      <c r="B583" s="1">
        <v>43983</v>
      </c>
      <c r="C583">
        <v>2020</v>
      </c>
      <c r="D583" t="s">
        <v>13</v>
      </c>
      <c r="E583" t="s">
        <v>25</v>
      </c>
      <c r="F583" t="s">
        <v>40</v>
      </c>
      <c r="G583" t="s">
        <v>8</v>
      </c>
      <c r="H583">
        <v>429.69</v>
      </c>
    </row>
    <row r="584" spans="1:8" x14ac:dyDescent="0.3">
      <c r="A584">
        <v>202007</v>
      </c>
      <c r="B584" s="1">
        <v>44013</v>
      </c>
      <c r="C584">
        <v>2020</v>
      </c>
      <c r="D584" t="s">
        <v>14</v>
      </c>
      <c r="E584" t="s">
        <v>25</v>
      </c>
      <c r="F584" t="s">
        <v>40</v>
      </c>
      <c r="G584" t="s">
        <v>8</v>
      </c>
      <c r="H584">
        <v>228.92</v>
      </c>
    </row>
    <row r="585" spans="1:8" x14ac:dyDescent="0.3">
      <c r="A585">
        <v>202008</v>
      </c>
      <c r="B585" s="1">
        <v>44044</v>
      </c>
      <c r="C585">
        <v>2020</v>
      </c>
      <c r="D585" t="s">
        <v>15</v>
      </c>
      <c r="E585" t="s">
        <v>25</v>
      </c>
      <c r="F585" t="s">
        <v>40</v>
      </c>
      <c r="G585" t="s">
        <v>8</v>
      </c>
      <c r="H585">
        <v>228.11</v>
      </c>
    </row>
    <row r="586" spans="1:8" x14ac:dyDescent="0.3">
      <c r="A586">
        <v>202009</v>
      </c>
      <c r="B586" s="1">
        <v>44075</v>
      </c>
      <c r="C586">
        <v>2020</v>
      </c>
      <c r="D586" t="s">
        <v>16</v>
      </c>
      <c r="E586" t="s">
        <v>25</v>
      </c>
      <c r="F586" t="s">
        <v>40</v>
      </c>
      <c r="G586" t="s">
        <v>8</v>
      </c>
      <c r="H586">
        <v>201.59</v>
      </c>
    </row>
    <row r="587" spans="1:8" x14ac:dyDescent="0.3">
      <c r="A587">
        <v>202010</v>
      </c>
      <c r="B587" s="1">
        <v>44105</v>
      </c>
      <c r="C587">
        <v>2020</v>
      </c>
      <c r="D587" t="s">
        <v>17</v>
      </c>
      <c r="E587" t="s">
        <v>25</v>
      </c>
      <c r="F587" t="s">
        <v>40</v>
      </c>
      <c r="G587" t="s">
        <v>8</v>
      </c>
      <c r="H587">
        <v>263.64999999999998</v>
      </c>
    </row>
    <row r="588" spans="1:8" x14ac:dyDescent="0.3">
      <c r="A588">
        <v>202011</v>
      </c>
      <c r="B588" s="1">
        <v>44136</v>
      </c>
      <c r="C588">
        <v>2020</v>
      </c>
      <c r="D588" t="s">
        <v>18</v>
      </c>
      <c r="E588" t="s">
        <v>25</v>
      </c>
      <c r="F588" t="s">
        <v>40</v>
      </c>
      <c r="G588" t="s">
        <v>8</v>
      </c>
      <c r="H588">
        <v>304.39999999999998</v>
      </c>
    </row>
    <row r="589" spans="1:8" x14ac:dyDescent="0.3">
      <c r="A589">
        <v>202012</v>
      </c>
      <c r="B589" s="1">
        <v>44166</v>
      </c>
      <c r="C589">
        <v>2020</v>
      </c>
      <c r="D589" t="s">
        <v>19</v>
      </c>
      <c r="E589" t="s">
        <v>25</v>
      </c>
      <c r="F589" t="s">
        <v>40</v>
      </c>
      <c r="G589" t="s">
        <v>8</v>
      </c>
      <c r="H589">
        <v>269.26</v>
      </c>
    </row>
    <row r="590" spans="1:8" x14ac:dyDescent="0.3">
      <c r="A590">
        <v>202001</v>
      </c>
      <c r="B590" s="1">
        <v>43831</v>
      </c>
      <c r="C590">
        <v>2020</v>
      </c>
      <c r="D590" t="s">
        <v>6</v>
      </c>
      <c r="E590" t="s">
        <v>25</v>
      </c>
      <c r="F590" t="s">
        <v>40</v>
      </c>
      <c r="G590" t="s">
        <v>8</v>
      </c>
      <c r="H590">
        <v>42.78</v>
      </c>
    </row>
    <row r="591" spans="1:8" x14ac:dyDescent="0.3">
      <c r="A591">
        <v>202002</v>
      </c>
      <c r="B591" s="1">
        <v>43862</v>
      </c>
      <c r="C591">
        <v>2020</v>
      </c>
      <c r="D591" t="s">
        <v>9</v>
      </c>
      <c r="E591" t="s">
        <v>25</v>
      </c>
      <c r="F591" t="s">
        <v>40</v>
      </c>
      <c r="G591" t="s">
        <v>8</v>
      </c>
      <c r="H591">
        <v>21.89</v>
      </c>
    </row>
    <row r="592" spans="1:8" x14ac:dyDescent="0.3">
      <c r="A592">
        <v>202003</v>
      </c>
      <c r="B592" s="1">
        <v>43891</v>
      </c>
      <c r="C592">
        <v>2020</v>
      </c>
      <c r="D592" t="s">
        <v>10</v>
      </c>
      <c r="E592" t="s">
        <v>25</v>
      </c>
      <c r="F592" t="s">
        <v>40</v>
      </c>
      <c r="G592" t="s">
        <v>8</v>
      </c>
      <c r="H592">
        <v>25.76</v>
      </c>
    </row>
    <row r="593" spans="1:8" x14ac:dyDescent="0.3">
      <c r="A593">
        <v>202004</v>
      </c>
      <c r="B593" s="1">
        <v>43922</v>
      </c>
      <c r="C593">
        <v>2020</v>
      </c>
      <c r="D593" t="s">
        <v>11</v>
      </c>
      <c r="E593" t="s">
        <v>25</v>
      </c>
      <c r="F593" t="s">
        <v>40</v>
      </c>
      <c r="G593" t="s">
        <v>8</v>
      </c>
      <c r="H593">
        <v>15.52</v>
      </c>
    </row>
    <row r="594" spans="1:8" x14ac:dyDescent="0.3">
      <c r="A594">
        <v>202005</v>
      </c>
      <c r="B594" s="1">
        <v>43952</v>
      </c>
      <c r="C594">
        <v>2020</v>
      </c>
      <c r="D594" t="s">
        <v>12</v>
      </c>
      <c r="E594" t="s">
        <v>25</v>
      </c>
      <c r="F594" t="s">
        <v>40</v>
      </c>
      <c r="G594" t="s">
        <v>8</v>
      </c>
      <c r="H594">
        <v>24.72</v>
      </c>
    </row>
    <row r="595" spans="1:8" x14ac:dyDescent="0.3">
      <c r="A595">
        <v>202006</v>
      </c>
      <c r="B595" s="1">
        <v>43983</v>
      </c>
      <c r="C595">
        <v>2020</v>
      </c>
      <c r="D595" t="s">
        <v>13</v>
      </c>
      <c r="E595" t="s">
        <v>25</v>
      </c>
      <c r="F595" t="s">
        <v>40</v>
      </c>
      <c r="G595" t="s">
        <v>8</v>
      </c>
      <c r="H595">
        <v>38.93</v>
      </c>
    </row>
    <row r="596" spans="1:8" x14ac:dyDescent="0.3">
      <c r="A596">
        <v>202007</v>
      </c>
      <c r="B596" s="1">
        <v>44013</v>
      </c>
      <c r="C596">
        <v>2020</v>
      </c>
      <c r="D596" t="s">
        <v>14</v>
      </c>
      <c r="E596" t="s">
        <v>25</v>
      </c>
      <c r="F596" t="s">
        <v>40</v>
      </c>
      <c r="G596" t="s">
        <v>8</v>
      </c>
      <c r="H596">
        <v>29.27</v>
      </c>
    </row>
    <row r="597" spans="1:8" x14ac:dyDescent="0.3">
      <c r="A597">
        <v>202008</v>
      </c>
      <c r="B597" s="1">
        <v>44044</v>
      </c>
      <c r="C597">
        <v>2020</v>
      </c>
      <c r="D597" t="s">
        <v>15</v>
      </c>
      <c r="E597" t="s">
        <v>25</v>
      </c>
      <c r="F597" t="s">
        <v>40</v>
      </c>
      <c r="G597" t="s">
        <v>8</v>
      </c>
      <c r="H597">
        <v>29.02</v>
      </c>
    </row>
    <row r="598" spans="1:8" x14ac:dyDescent="0.3">
      <c r="A598">
        <v>202009</v>
      </c>
      <c r="B598" s="1">
        <v>44075</v>
      </c>
      <c r="C598">
        <v>2020</v>
      </c>
      <c r="D598" t="s">
        <v>16</v>
      </c>
      <c r="E598" t="s">
        <v>25</v>
      </c>
      <c r="F598" t="s">
        <v>40</v>
      </c>
      <c r="G598" t="s">
        <v>8</v>
      </c>
      <c r="H598">
        <v>27.57</v>
      </c>
    </row>
    <row r="599" spans="1:8" x14ac:dyDescent="0.3">
      <c r="A599">
        <v>202010</v>
      </c>
      <c r="B599" s="1">
        <v>44105</v>
      </c>
      <c r="C599">
        <v>2020</v>
      </c>
      <c r="D599" t="s">
        <v>17</v>
      </c>
      <c r="E599" t="s">
        <v>25</v>
      </c>
      <c r="F599" t="s">
        <v>40</v>
      </c>
      <c r="G599" t="s">
        <v>8</v>
      </c>
      <c r="H599">
        <v>34.590000000000003</v>
      </c>
    </row>
    <row r="600" spans="1:8" x14ac:dyDescent="0.3">
      <c r="A600">
        <v>202011</v>
      </c>
      <c r="B600" s="1">
        <v>44136</v>
      </c>
      <c r="C600">
        <v>2020</v>
      </c>
      <c r="D600" t="s">
        <v>18</v>
      </c>
      <c r="E600" t="s">
        <v>25</v>
      </c>
      <c r="F600" t="s">
        <v>40</v>
      </c>
      <c r="G600" t="s">
        <v>8</v>
      </c>
      <c r="H600">
        <v>28.39</v>
      </c>
    </row>
    <row r="601" spans="1:8" x14ac:dyDescent="0.3">
      <c r="A601">
        <v>202012</v>
      </c>
      <c r="B601" s="1">
        <v>44166</v>
      </c>
      <c r="C601">
        <v>2020</v>
      </c>
      <c r="D601" t="s">
        <v>19</v>
      </c>
      <c r="E601" t="s">
        <v>25</v>
      </c>
      <c r="F601" t="s">
        <v>40</v>
      </c>
      <c r="G601" t="s">
        <v>8</v>
      </c>
      <c r="H601">
        <v>28.1</v>
      </c>
    </row>
    <row r="602" spans="1:8" x14ac:dyDescent="0.3">
      <c r="A602">
        <v>202001</v>
      </c>
      <c r="B602" s="1">
        <v>43831</v>
      </c>
      <c r="C602">
        <v>2020</v>
      </c>
      <c r="D602" t="s">
        <v>6</v>
      </c>
      <c r="E602" t="s">
        <v>26</v>
      </c>
      <c r="F602" t="s">
        <v>40</v>
      </c>
      <c r="G602" t="s">
        <v>8</v>
      </c>
      <c r="H602">
        <v>401.27</v>
      </c>
    </row>
    <row r="603" spans="1:8" x14ac:dyDescent="0.3">
      <c r="A603">
        <v>202002</v>
      </c>
      <c r="B603" s="1">
        <v>43862</v>
      </c>
      <c r="C603">
        <v>2020</v>
      </c>
      <c r="D603" t="s">
        <v>9</v>
      </c>
      <c r="E603" t="s">
        <v>26</v>
      </c>
      <c r="F603" t="s">
        <v>40</v>
      </c>
      <c r="G603" t="s">
        <v>8</v>
      </c>
      <c r="H603">
        <v>217.23</v>
      </c>
    </row>
    <row r="604" spans="1:8" x14ac:dyDescent="0.3">
      <c r="A604">
        <v>202003</v>
      </c>
      <c r="B604" s="1">
        <v>43891</v>
      </c>
      <c r="C604">
        <v>2020</v>
      </c>
      <c r="D604" t="s">
        <v>10</v>
      </c>
      <c r="E604" t="s">
        <v>26</v>
      </c>
      <c r="F604" t="s">
        <v>40</v>
      </c>
      <c r="G604" t="s">
        <v>8</v>
      </c>
      <c r="H604">
        <v>184.7</v>
      </c>
    </row>
    <row r="605" spans="1:8" x14ac:dyDescent="0.3">
      <c r="A605">
        <v>202004</v>
      </c>
      <c r="B605" s="1">
        <v>43922</v>
      </c>
      <c r="C605">
        <v>2020</v>
      </c>
      <c r="D605" t="s">
        <v>11</v>
      </c>
      <c r="E605" t="s">
        <v>26</v>
      </c>
      <c r="F605" t="s">
        <v>40</v>
      </c>
      <c r="G605" t="s">
        <v>8</v>
      </c>
      <c r="H605">
        <v>102.48</v>
      </c>
    </row>
    <row r="606" spans="1:8" x14ac:dyDescent="0.3">
      <c r="A606">
        <v>202005</v>
      </c>
      <c r="B606" s="1">
        <v>43952</v>
      </c>
      <c r="C606">
        <v>2020</v>
      </c>
      <c r="D606" t="s">
        <v>12</v>
      </c>
      <c r="E606" t="s">
        <v>26</v>
      </c>
      <c r="F606" t="s">
        <v>40</v>
      </c>
      <c r="G606" t="s">
        <v>8</v>
      </c>
      <c r="H606">
        <v>175.06</v>
      </c>
    </row>
    <row r="607" spans="1:8" x14ac:dyDescent="0.3">
      <c r="A607">
        <v>202006</v>
      </c>
      <c r="B607" s="1">
        <v>43983</v>
      </c>
      <c r="C607">
        <v>2020</v>
      </c>
      <c r="D607" t="s">
        <v>13</v>
      </c>
      <c r="E607" t="s">
        <v>26</v>
      </c>
      <c r="F607" t="s">
        <v>40</v>
      </c>
      <c r="G607" t="s">
        <v>8</v>
      </c>
      <c r="H607">
        <v>405.98</v>
      </c>
    </row>
    <row r="608" spans="1:8" x14ac:dyDescent="0.3">
      <c r="A608">
        <v>202007</v>
      </c>
      <c r="B608" s="1">
        <v>44013</v>
      </c>
      <c r="C608">
        <v>2020</v>
      </c>
      <c r="D608" t="s">
        <v>14</v>
      </c>
      <c r="E608" t="s">
        <v>26</v>
      </c>
      <c r="F608" t="s">
        <v>40</v>
      </c>
      <c r="G608" t="s">
        <v>8</v>
      </c>
      <c r="H608">
        <v>256.37</v>
      </c>
    </row>
    <row r="609" spans="1:8" x14ac:dyDescent="0.3">
      <c r="A609">
        <v>202008</v>
      </c>
      <c r="B609" s="1">
        <v>44044</v>
      </c>
      <c r="C609">
        <v>2020</v>
      </c>
      <c r="D609" t="s">
        <v>15</v>
      </c>
      <c r="E609" t="s">
        <v>26</v>
      </c>
      <c r="F609" t="s">
        <v>40</v>
      </c>
      <c r="G609" t="s">
        <v>8</v>
      </c>
      <c r="H609">
        <v>245.37</v>
      </c>
    </row>
    <row r="610" spans="1:8" x14ac:dyDescent="0.3">
      <c r="A610">
        <v>202009</v>
      </c>
      <c r="B610" s="1">
        <v>44075</v>
      </c>
      <c r="C610">
        <v>2020</v>
      </c>
      <c r="D610" t="s">
        <v>16</v>
      </c>
      <c r="E610" t="s">
        <v>26</v>
      </c>
      <c r="F610" t="s">
        <v>40</v>
      </c>
      <c r="G610" t="s">
        <v>8</v>
      </c>
      <c r="H610">
        <v>206.6</v>
      </c>
    </row>
    <row r="611" spans="1:8" x14ac:dyDescent="0.3">
      <c r="A611">
        <v>202010</v>
      </c>
      <c r="B611" s="1">
        <v>44105</v>
      </c>
      <c r="C611">
        <v>2020</v>
      </c>
      <c r="D611" t="s">
        <v>17</v>
      </c>
      <c r="E611" t="s">
        <v>26</v>
      </c>
      <c r="F611" t="s">
        <v>40</v>
      </c>
      <c r="G611" t="s">
        <v>8</v>
      </c>
      <c r="H611">
        <v>281.39999999999998</v>
      </c>
    </row>
    <row r="612" spans="1:8" x14ac:dyDescent="0.3">
      <c r="A612">
        <v>202011</v>
      </c>
      <c r="B612" s="1">
        <v>44136</v>
      </c>
      <c r="C612">
        <v>2020</v>
      </c>
      <c r="D612" t="s">
        <v>18</v>
      </c>
      <c r="E612" t="s">
        <v>26</v>
      </c>
      <c r="F612" t="s">
        <v>40</v>
      </c>
      <c r="G612" t="s">
        <v>8</v>
      </c>
      <c r="H612">
        <v>233.65</v>
      </c>
    </row>
    <row r="613" spans="1:8" x14ac:dyDescent="0.3">
      <c r="A613">
        <v>202012</v>
      </c>
      <c r="B613" s="1">
        <v>44166</v>
      </c>
      <c r="C613">
        <v>2020</v>
      </c>
      <c r="D613" t="s">
        <v>19</v>
      </c>
      <c r="E613" t="s">
        <v>26</v>
      </c>
      <c r="F613" t="s">
        <v>40</v>
      </c>
      <c r="G613" t="s">
        <v>8</v>
      </c>
      <c r="H613">
        <v>256.58</v>
      </c>
    </row>
    <row r="614" spans="1:8" x14ac:dyDescent="0.3">
      <c r="A614">
        <v>202001</v>
      </c>
      <c r="B614" s="1">
        <v>43831</v>
      </c>
      <c r="C614">
        <v>2020</v>
      </c>
      <c r="D614" t="s">
        <v>6</v>
      </c>
      <c r="E614" t="s">
        <v>26</v>
      </c>
      <c r="F614" t="s">
        <v>40</v>
      </c>
      <c r="G614" t="s">
        <v>8</v>
      </c>
      <c r="H614">
        <v>82.55</v>
      </c>
    </row>
    <row r="615" spans="1:8" x14ac:dyDescent="0.3">
      <c r="A615">
        <v>202002</v>
      </c>
      <c r="B615" s="1">
        <v>43862</v>
      </c>
      <c r="C615">
        <v>2020</v>
      </c>
      <c r="D615" t="s">
        <v>9</v>
      </c>
      <c r="E615" t="s">
        <v>26</v>
      </c>
      <c r="F615" t="s">
        <v>40</v>
      </c>
      <c r="G615" t="s">
        <v>8</v>
      </c>
      <c r="H615">
        <v>57.11</v>
      </c>
    </row>
    <row r="616" spans="1:8" x14ac:dyDescent="0.3">
      <c r="A616">
        <v>202003</v>
      </c>
      <c r="B616" s="1">
        <v>43891</v>
      </c>
      <c r="C616">
        <v>2020</v>
      </c>
      <c r="D616" t="s">
        <v>10</v>
      </c>
      <c r="E616" t="s">
        <v>26</v>
      </c>
      <c r="F616" t="s">
        <v>40</v>
      </c>
      <c r="G616" t="s">
        <v>8</v>
      </c>
      <c r="H616">
        <v>56</v>
      </c>
    </row>
    <row r="617" spans="1:8" x14ac:dyDescent="0.3">
      <c r="A617">
        <v>202004</v>
      </c>
      <c r="B617" s="1">
        <v>43922</v>
      </c>
      <c r="C617">
        <v>2020</v>
      </c>
      <c r="D617" t="s">
        <v>11</v>
      </c>
      <c r="E617" t="s">
        <v>26</v>
      </c>
      <c r="F617" t="s">
        <v>40</v>
      </c>
      <c r="G617" t="s">
        <v>8</v>
      </c>
      <c r="H617">
        <v>38.83</v>
      </c>
    </row>
    <row r="618" spans="1:8" x14ac:dyDescent="0.3">
      <c r="A618">
        <v>202005</v>
      </c>
      <c r="B618" s="1">
        <v>43952</v>
      </c>
      <c r="C618">
        <v>2020</v>
      </c>
      <c r="D618" t="s">
        <v>12</v>
      </c>
      <c r="E618" t="s">
        <v>26</v>
      </c>
      <c r="F618" t="s">
        <v>40</v>
      </c>
      <c r="G618" t="s">
        <v>8</v>
      </c>
      <c r="H618">
        <v>47.6</v>
      </c>
    </row>
    <row r="619" spans="1:8" x14ac:dyDescent="0.3">
      <c r="A619">
        <v>202006</v>
      </c>
      <c r="B619" s="1">
        <v>43983</v>
      </c>
      <c r="C619">
        <v>2020</v>
      </c>
      <c r="D619" t="s">
        <v>13</v>
      </c>
      <c r="E619" t="s">
        <v>26</v>
      </c>
      <c r="F619" t="s">
        <v>40</v>
      </c>
      <c r="G619" t="s">
        <v>8</v>
      </c>
      <c r="H619">
        <v>99.84</v>
      </c>
    </row>
    <row r="620" spans="1:8" x14ac:dyDescent="0.3">
      <c r="A620">
        <v>202007</v>
      </c>
      <c r="B620" s="1">
        <v>44013</v>
      </c>
      <c r="C620">
        <v>2020</v>
      </c>
      <c r="D620" t="s">
        <v>14</v>
      </c>
      <c r="E620" t="s">
        <v>26</v>
      </c>
      <c r="F620" t="s">
        <v>40</v>
      </c>
      <c r="G620" t="s">
        <v>8</v>
      </c>
      <c r="H620">
        <v>76.459999999999994</v>
      </c>
    </row>
    <row r="621" spans="1:8" x14ac:dyDescent="0.3">
      <c r="A621">
        <v>202008</v>
      </c>
      <c r="B621" s="1">
        <v>44044</v>
      </c>
      <c r="C621">
        <v>2020</v>
      </c>
      <c r="D621" t="s">
        <v>15</v>
      </c>
      <c r="E621" t="s">
        <v>26</v>
      </c>
      <c r="F621" t="s">
        <v>40</v>
      </c>
      <c r="G621" t="s">
        <v>8</v>
      </c>
      <c r="H621">
        <v>74.56</v>
      </c>
    </row>
    <row r="622" spans="1:8" x14ac:dyDescent="0.3">
      <c r="A622">
        <v>202009</v>
      </c>
      <c r="B622" s="1">
        <v>44075</v>
      </c>
      <c r="C622">
        <v>2020</v>
      </c>
      <c r="D622" t="s">
        <v>16</v>
      </c>
      <c r="E622" t="s">
        <v>26</v>
      </c>
      <c r="F622" t="s">
        <v>40</v>
      </c>
      <c r="G622" t="s">
        <v>8</v>
      </c>
      <c r="H622">
        <v>60.5</v>
      </c>
    </row>
    <row r="623" spans="1:8" x14ac:dyDescent="0.3">
      <c r="A623">
        <v>202010</v>
      </c>
      <c r="B623" s="1">
        <v>44105</v>
      </c>
      <c r="C623">
        <v>2020</v>
      </c>
      <c r="D623" t="s">
        <v>17</v>
      </c>
      <c r="E623" t="s">
        <v>26</v>
      </c>
      <c r="F623" t="s">
        <v>40</v>
      </c>
      <c r="G623" t="s">
        <v>8</v>
      </c>
      <c r="H623">
        <v>68.41</v>
      </c>
    </row>
    <row r="624" spans="1:8" x14ac:dyDescent="0.3">
      <c r="A624">
        <v>202011</v>
      </c>
      <c r="B624" s="1">
        <v>44136</v>
      </c>
      <c r="C624">
        <v>2020</v>
      </c>
      <c r="D624" t="s">
        <v>18</v>
      </c>
      <c r="E624" t="s">
        <v>26</v>
      </c>
      <c r="F624" t="s">
        <v>40</v>
      </c>
      <c r="G624" t="s">
        <v>8</v>
      </c>
      <c r="H624">
        <v>72.97</v>
      </c>
    </row>
    <row r="625" spans="1:8" x14ac:dyDescent="0.3">
      <c r="A625">
        <v>202012</v>
      </c>
      <c r="B625" s="1">
        <v>44166</v>
      </c>
      <c r="C625">
        <v>2020</v>
      </c>
      <c r="D625" t="s">
        <v>19</v>
      </c>
      <c r="E625" t="s">
        <v>26</v>
      </c>
      <c r="F625" t="s">
        <v>40</v>
      </c>
      <c r="G625" t="s">
        <v>8</v>
      </c>
      <c r="H625">
        <v>81.150000000000006</v>
      </c>
    </row>
    <row r="626" spans="1:8" x14ac:dyDescent="0.3">
      <c r="A626">
        <v>202001</v>
      </c>
      <c r="B626" s="1">
        <v>43831</v>
      </c>
      <c r="C626">
        <v>2020</v>
      </c>
      <c r="D626" t="s">
        <v>6</v>
      </c>
      <c r="E626" t="s">
        <v>26</v>
      </c>
      <c r="F626" t="s">
        <v>40</v>
      </c>
      <c r="G626" t="s">
        <v>8</v>
      </c>
      <c r="H626">
        <v>369.11</v>
      </c>
    </row>
    <row r="627" spans="1:8" x14ac:dyDescent="0.3">
      <c r="A627">
        <v>202002</v>
      </c>
      <c r="B627" s="1">
        <v>43862</v>
      </c>
      <c r="C627">
        <v>2020</v>
      </c>
      <c r="D627" t="s">
        <v>9</v>
      </c>
      <c r="E627" t="s">
        <v>26</v>
      </c>
      <c r="F627" t="s">
        <v>40</v>
      </c>
      <c r="G627" t="s">
        <v>8</v>
      </c>
      <c r="H627">
        <v>224.76</v>
      </c>
    </row>
    <row r="628" spans="1:8" x14ac:dyDescent="0.3">
      <c r="A628">
        <v>202003</v>
      </c>
      <c r="B628" s="1">
        <v>43891</v>
      </c>
      <c r="C628">
        <v>2020</v>
      </c>
      <c r="D628" t="s">
        <v>10</v>
      </c>
      <c r="E628" t="s">
        <v>26</v>
      </c>
      <c r="F628" t="s">
        <v>40</v>
      </c>
      <c r="G628" t="s">
        <v>8</v>
      </c>
      <c r="H628">
        <v>279.98</v>
      </c>
    </row>
    <row r="629" spans="1:8" x14ac:dyDescent="0.3">
      <c r="A629">
        <v>202004</v>
      </c>
      <c r="B629" s="1">
        <v>43922</v>
      </c>
      <c r="C629">
        <v>2020</v>
      </c>
      <c r="D629" t="s">
        <v>11</v>
      </c>
      <c r="E629" t="s">
        <v>26</v>
      </c>
      <c r="F629" t="s">
        <v>40</v>
      </c>
      <c r="G629" t="s">
        <v>8</v>
      </c>
      <c r="H629">
        <v>98.69</v>
      </c>
    </row>
    <row r="630" spans="1:8" x14ac:dyDescent="0.3">
      <c r="A630">
        <v>202005</v>
      </c>
      <c r="B630" s="1">
        <v>43952</v>
      </c>
      <c r="C630">
        <v>2020</v>
      </c>
      <c r="D630" t="s">
        <v>12</v>
      </c>
      <c r="E630" t="s">
        <v>26</v>
      </c>
      <c r="F630" t="s">
        <v>40</v>
      </c>
      <c r="G630" t="s">
        <v>8</v>
      </c>
      <c r="H630">
        <v>143.74</v>
      </c>
    </row>
    <row r="631" spans="1:8" x14ac:dyDescent="0.3">
      <c r="A631">
        <v>202006</v>
      </c>
      <c r="B631" s="1">
        <v>43983</v>
      </c>
      <c r="C631">
        <v>2020</v>
      </c>
      <c r="D631" t="s">
        <v>13</v>
      </c>
      <c r="E631" t="s">
        <v>26</v>
      </c>
      <c r="F631" t="s">
        <v>40</v>
      </c>
      <c r="G631" t="s">
        <v>8</v>
      </c>
      <c r="H631">
        <v>414.63</v>
      </c>
    </row>
    <row r="632" spans="1:8" x14ac:dyDescent="0.3">
      <c r="A632">
        <v>202007</v>
      </c>
      <c r="B632" s="1">
        <v>44013</v>
      </c>
      <c r="C632">
        <v>2020</v>
      </c>
      <c r="D632" t="s">
        <v>14</v>
      </c>
      <c r="E632" t="s">
        <v>26</v>
      </c>
      <c r="F632" t="s">
        <v>40</v>
      </c>
      <c r="G632" t="s">
        <v>8</v>
      </c>
      <c r="H632">
        <v>300.58</v>
      </c>
    </row>
    <row r="633" spans="1:8" x14ac:dyDescent="0.3">
      <c r="A633">
        <v>202008</v>
      </c>
      <c r="B633" s="1">
        <v>44044</v>
      </c>
      <c r="C633">
        <v>2020</v>
      </c>
      <c r="D633" t="s">
        <v>15</v>
      </c>
      <c r="E633" t="s">
        <v>26</v>
      </c>
      <c r="F633" t="s">
        <v>40</v>
      </c>
      <c r="G633" t="s">
        <v>8</v>
      </c>
      <c r="H633">
        <v>295.02999999999997</v>
      </c>
    </row>
    <row r="634" spans="1:8" x14ac:dyDescent="0.3">
      <c r="A634">
        <v>202009</v>
      </c>
      <c r="B634" s="1">
        <v>44075</v>
      </c>
      <c r="C634">
        <v>2020</v>
      </c>
      <c r="D634" t="s">
        <v>16</v>
      </c>
      <c r="E634" t="s">
        <v>26</v>
      </c>
      <c r="F634" t="s">
        <v>40</v>
      </c>
      <c r="G634" t="s">
        <v>8</v>
      </c>
      <c r="H634">
        <v>222.04</v>
      </c>
    </row>
    <row r="635" spans="1:8" x14ac:dyDescent="0.3">
      <c r="A635">
        <v>202010</v>
      </c>
      <c r="B635" s="1">
        <v>44105</v>
      </c>
      <c r="C635">
        <v>2020</v>
      </c>
      <c r="D635" t="s">
        <v>17</v>
      </c>
      <c r="E635" t="s">
        <v>26</v>
      </c>
      <c r="F635" t="s">
        <v>40</v>
      </c>
      <c r="G635" t="s">
        <v>8</v>
      </c>
      <c r="H635">
        <v>271.06</v>
      </c>
    </row>
    <row r="636" spans="1:8" x14ac:dyDescent="0.3">
      <c r="A636">
        <v>202011</v>
      </c>
      <c r="B636" s="1">
        <v>44136</v>
      </c>
      <c r="C636">
        <v>2020</v>
      </c>
      <c r="D636" t="s">
        <v>18</v>
      </c>
      <c r="E636" t="s">
        <v>26</v>
      </c>
      <c r="F636" t="s">
        <v>40</v>
      </c>
      <c r="G636" t="s">
        <v>8</v>
      </c>
      <c r="H636">
        <v>281.81</v>
      </c>
    </row>
    <row r="637" spans="1:8" x14ac:dyDescent="0.3">
      <c r="A637">
        <v>202012</v>
      </c>
      <c r="B637" s="1">
        <v>44166</v>
      </c>
      <c r="C637">
        <v>2020</v>
      </c>
      <c r="D637" t="s">
        <v>19</v>
      </c>
      <c r="E637" t="s">
        <v>26</v>
      </c>
      <c r="F637" t="s">
        <v>40</v>
      </c>
      <c r="G637" t="s">
        <v>8</v>
      </c>
      <c r="H637">
        <v>264.87</v>
      </c>
    </row>
    <row r="638" spans="1:8" x14ac:dyDescent="0.3">
      <c r="A638">
        <v>202001</v>
      </c>
      <c r="B638" s="1">
        <v>43831</v>
      </c>
      <c r="C638">
        <v>2020</v>
      </c>
      <c r="D638" t="s">
        <v>6</v>
      </c>
      <c r="E638" t="s">
        <v>26</v>
      </c>
      <c r="F638" t="s">
        <v>40</v>
      </c>
      <c r="G638" t="s">
        <v>8</v>
      </c>
      <c r="H638">
        <v>64.599999999999994</v>
      </c>
    </row>
    <row r="639" spans="1:8" x14ac:dyDescent="0.3">
      <c r="A639">
        <v>202002</v>
      </c>
      <c r="B639" s="1">
        <v>43862</v>
      </c>
      <c r="C639">
        <v>2020</v>
      </c>
      <c r="D639" t="s">
        <v>9</v>
      </c>
      <c r="E639" t="s">
        <v>26</v>
      </c>
      <c r="F639" t="s">
        <v>40</v>
      </c>
      <c r="G639" t="s">
        <v>8</v>
      </c>
      <c r="H639">
        <v>32.76</v>
      </c>
    </row>
    <row r="640" spans="1:8" x14ac:dyDescent="0.3">
      <c r="A640">
        <v>202003</v>
      </c>
      <c r="B640" s="1">
        <v>43891</v>
      </c>
      <c r="C640">
        <v>2020</v>
      </c>
      <c r="D640" t="s">
        <v>10</v>
      </c>
      <c r="E640" t="s">
        <v>26</v>
      </c>
      <c r="F640" t="s">
        <v>40</v>
      </c>
      <c r="G640" t="s">
        <v>8</v>
      </c>
      <c r="H640">
        <v>31.82</v>
      </c>
    </row>
    <row r="641" spans="1:8" x14ac:dyDescent="0.3">
      <c r="A641">
        <v>202004</v>
      </c>
      <c r="B641" s="1">
        <v>43922</v>
      </c>
      <c r="C641">
        <v>2020</v>
      </c>
      <c r="D641" t="s">
        <v>11</v>
      </c>
      <c r="E641" t="s">
        <v>26</v>
      </c>
      <c r="F641" t="s">
        <v>40</v>
      </c>
      <c r="G641" t="s">
        <v>8</v>
      </c>
      <c r="H641">
        <v>28.6</v>
      </c>
    </row>
    <row r="642" spans="1:8" x14ac:dyDescent="0.3">
      <c r="A642">
        <v>202005</v>
      </c>
      <c r="B642" s="1">
        <v>43952</v>
      </c>
      <c r="C642">
        <v>2020</v>
      </c>
      <c r="D642" t="s">
        <v>12</v>
      </c>
      <c r="E642" t="s">
        <v>26</v>
      </c>
      <c r="F642" t="s">
        <v>40</v>
      </c>
      <c r="G642" t="s">
        <v>8</v>
      </c>
      <c r="H642">
        <v>34.33</v>
      </c>
    </row>
    <row r="643" spans="1:8" x14ac:dyDescent="0.3">
      <c r="A643">
        <v>202006</v>
      </c>
      <c r="B643" s="1">
        <v>43983</v>
      </c>
      <c r="C643">
        <v>2020</v>
      </c>
      <c r="D643" t="s">
        <v>13</v>
      </c>
      <c r="E643" t="s">
        <v>26</v>
      </c>
      <c r="F643" t="s">
        <v>40</v>
      </c>
      <c r="G643" t="s">
        <v>8</v>
      </c>
      <c r="H643">
        <v>64.349999999999994</v>
      </c>
    </row>
    <row r="644" spans="1:8" x14ac:dyDescent="0.3">
      <c r="A644">
        <v>202007</v>
      </c>
      <c r="B644" s="1">
        <v>44013</v>
      </c>
      <c r="C644">
        <v>2020</v>
      </c>
      <c r="D644" t="s">
        <v>14</v>
      </c>
      <c r="E644" t="s">
        <v>26</v>
      </c>
      <c r="F644" t="s">
        <v>40</v>
      </c>
      <c r="G644" t="s">
        <v>8</v>
      </c>
      <c r="H644">
        <v>46.4</v>
      </c>
    </row>
    <row r="645" spans="1:8" x14ac:dyDescent="0.3">
      <c r="A645">
        <v>202008</v>
      </c>
      <c r="B645" s="1">
        <v>44044</v>
      </c>
      <c r="C645">
        <v>2020</v>
      </c>
      <c r="D645" t="s">
        <v>15</v>
      </c>
      <c r="E645" t="s">
        <v>26</v>
      </c>
      <c r="F645" t="s">
        <v>40</v>
      </c>
      <c r="G645" t="s">
        <v>8</v>
      </c>
      <c r="H645">
        <v>40.549999999999997</v>
      </c>
    </row>
    <row r="646" spans="1:8" x14ac:dyDescent="0.3">
      <c r="A646">
        <v>202009</v>
      </c>
      <c r="B646" s="1">
        <v>44075</v>
      </c>
      <c r="C646">
        <v>2020</v>
      </c>
      <c r="D646" t="s">
        <v>16</v>
      </c>
      <c r="E646" t="s">
        <v>26</v>
      </c>
      <c r="F646" t="s">
        <v>40</v>
      </c>
      <c r="G646" t="s">
        <v>8</v>
      </c>
      <c r="H646">
        <v>41.38</v>
      </c>
    </row>
    <row r="647" spans="1:8" x14ac:dyDescent="0.3">
      <c r="A647">
        <v>202010</v>
      </c>
      <c r="B647" s="1">
        <v>44105</v>
      </c>
      <c r="C647">
        <v>2020</v>
      </c>
      <c r="D647" t="s">
        <v>17</v>
      </c>
      <c r="E647" t="s">
        <v>26</v>
      </c>
      <c r="F647" t="s">
        <v>40</v>
      </c>
      <c r="G647" t="s">
        <v>8</v>
      </c>
      <c r="H647">
        <v>50.11</v>
      </c>
    </row>
    <row r="648" spans="1:8" x14ac:dyDescent="0.3">
      <c r="A648">
        <v>202011</v>
      </c>
      <c r="B648" s="1">
        <v>44136</v>
      </c>
      <c r="C648">
        <v>2020</v>
      </c>
      <c r="D648" t="s">
        <v>18</v>
      </c>
      <c r="E648" t="s">
        <v>26</v>
      </c>
      <c r="F648" t="s">
        <v>40</v>
      </c>
      <c r="G648" t="s">
        <v>8</v>
      </c>
      <c r="H648">
        <v>33.11</v>
      </c>
    </row>
    <row r="649" spans="1:8" x14ac:dyDescent="0.3">
      <c r="A649">
        <v>202012</v>
      </c>
      <c r="B649" s="1">
        <v>44166</v>
      </c>
      <c r="C649">
        <v>2020</v>
      </c>
      <c r="D649" t="s">
        <v>19</v>
      </c>
      <c r="E649" t="s">
        <v>26</v>
      </c>
      <c r="F649" t="s">
        <v>40</v>
      </c>
      <c r="G649" t="s">
        <v>8</v>
      </c>
      <c r="H649">
        <v>38.07</v>
      </c>
    </row>
    <row r="650" spans="1:8" x14ac:dyDescent="0.3">
      <c r="A650">
        <v>202001</v>
      </c>
      <c r="B650" s="1">
        <v>43831</v>
      </c>
      <c r="C650">
        <v>2020</v>
      </c>
      <c r="D650" t="s">
        <v>6</v>
      </c>
      <c r="E650" t="s">
        <v>26</v>
      </c>
      <c r="F650" t="s">
        <v>40</v>
      </c>
      <c r="G650" t="s">
        <v>8</v>
      </c>
      <c r="H650">
        <v>66.8</v>
      </c>
    </row>
    <row r="651" spans="1:8" x14ac:dyDescent="0.3">
      <c r="A651">
        <v>202002</v>
      </c>
      <c r="B651" s="1">
        <v>43862</v>
      </c>
      <c r="C651">
        <v>2020</v>
      </c>
      <c r="D651" t="s">
        <v>9</v>
      </c>
      <c r="E651" t="s">
        <v>26</v>
      </c>
      <c r="F651" t="s">
        <v>40</v>
      </c>
      <c r="G651" t="s">
        <v>8</v>
      </c>
      <c r="H651">
        <v>41.53</v>
      </c>
    </row>
    <row r="652" spans="1:8" x14ac:dyDescent="0.3">
      <c r="A652">
        <v>202003</v>
      </c>
      <c r="B652" s="1">
        <v>43891</v>
      </c>
      <c r="C652">
        <v>2020</v>
      </c>
      <c r="D652" t="s">
        <v>10</v>
      </c>
      <c r="E652" t="s">
        <v>26</v>
      </c>
      <c r="F652" t="s">
        <v>40</v>
      </c>
      <c r="G652" t="s">
        <v>8</v>
      </c>
      <c r="H652">
        <v>44.79</v>
      </c>
    </row>
    <row r="653" spans="1:8" x14ac:dyDescent="0.3">
      <c r="A653">
        <v>202004</v>
      </c>
      <c r="B653" s="1">
        <v>43922</v>
      </c>
      <c r="C653">
        <v>2020</v>
      </c>
      <c r="D653" t="s">
        <v>11</v>
      </c>
      <c r="E653" t="s">
        <v>26</v>
      </c>
      <c r="F653" t="s">
        <v>40</v>
      </c>
      <c r="G653" t="s">
        <v>8</v>
      </c>
      <c r="H653">
        <v>29.23</v>
      </c>
    </row>
    <row r="654" spans="1:8" x14ac:dyDescent="0.3">
      <c r="A654">
        <v>202005</v>
      </c>
      <c r="B654" s="1">
        <v>43952</v>
      </c>
      <c r="C654">
        <v>2020</v>
      </c>
      <c r="D654" t="s">
        <v>12</v>
      </c>
      <c r="E654" t="s">
        <v>26</v>
      </c>
      <c r="F654" t="s">
        <v>40</v>
      </c>
      <c r="G654" t="s">
        <v>8</v>
      </c>
      <c r="H654">
        <v>45.46</v>
      </c>
    </row>
    <row r="655" spans="1:8" x14ac:dyDescent="0.3">
      <c r="A655">
        <v>202006</v>
      </c>
      <c r="B655" s="1">
        <v>43983</v>
      </c>
      <c r="C655">
        <v>2020</v>
      </c>
      <c r="D655" t="s">
        <v>13</v>
      </c>
      <c r="E655" t="s">
        <v>26</v>
      </c>
      <c r="F655" t="s">
        <v>40</v>
      </c>
      <c r="G655" t="s">
        <v>8</v>
      </c>
      <c r="H655">
        <v>71.7</v>
      </c>
    </row>
    <row r="656" spans="1:8" x14ac:dyDescent="0.3">
      <c r="A656">
        <v>202007</v>
      </c>
      <c r="B656" s="1">
        <v>44013</v>
      </c>
      <c r="C656">
        <v>2020</v>
      </c>
      <c r="D656" t="s">
        <v>14</v>
      </c>
      <c r="E656" t="s">
        <v>26</v>
      </c>
      <c r="F656" t="s">
        <v>40</v>
      </c>
      <c r="G656" t="s">
        <v>8</v>
      </c>
      <c r="H656">
        <v>54.94</v>
      </c>
    </row>
    <row r="657" spans="1:8" x14ac:dyDescent="0.3">
      <c r="A657">
        <v>202008</v>
      </c>
      <c r="B657" s="1">
        <v>44044</v>
      </c>
      <c r="C657">
        <v>2020</v>
      </c>
      <c r="D657" t="s">
        <v>15</v>
      </c>
      <c r="E657" t="s">
        <v>26</v>
      </c>
      <c r="F657" t="s">
        <v>40</v>
      </c>
      <c r="G657" t="s">
        <v>8</v>
      </c>
      <c r="H657">
        <v>57.84</v>
      </c>
    </row>
    <row r="658" spans="1:8" x14ac:dyDescent="0.3">
      <c r="A658">
        <v>202009</v>
      </c>
      <c r="B658" s="1">
        <v>44075</v>
      </c>
      <c r="C658">
        <v>2020</v>
      </c>
      <c r="D658" t="s">
        <v>16</v>
      </c>
      <c r="E658" t="s">
        <v>26</v>
      </c>
      <c r="F658" t="s">
        <v>40</v>
      </c>
      <c r="G658" t="s">
        <v>8</v>
      </c>
      <c r="H658">
        <v>63.79</v>
      </c>
    </row>
    <row r="659" spans="1:8" x14ac:dyDescent="0.3">
      <c r="A659">
        <v>202010</v>
      </c>
      <c r="B659" s="1">
        <v>44105</v>
      </c>
      <c r="C659">
        <v>2020</v>
      </c>
      <c r="D659" t="s">
        <v>17</v>
      </c>
      <c r="E659" t="s">
        <v>26</v>
      </c>
      <c r="F659" t="s">
        <v>40</v>
      </c>
      <c r="G659" t="s">
        <v>8</v>
      </c>
      <c r="H659">
        <v>61.85</v>
      </c>
    </row>
    <row r="660" spans="1:8" x14ac:dyDescent="0.3">
      <c r="A660">
        <v>202011</v>
      </c>
      <c r="B660" s="1">
        <v>44136</v>
      </c>
      <c r="C660">
        <v>2020</v>
      </c>
      <c r="D660" t="s">
        <v>18</v>
      </c>
      <c r="E660" t="s">
        <v>26</v>
      </c>
      <c r="F660" t="s">
        <v>40</v>
      </c>
      <c r="G660" t="s">
        <v>8</v>
      </c>
      <c r="H660">
        <v>58.05</v>
      </c>
    </row>
    <row r="661" spans="1:8" x14ac:dyDescent="0.3">
      <c r="A661">
        <v>202012</v>
      </c>
      <c r="B661" s="1">
        <v>44166</v>
      </c>
      <c r="C661">
        <v>2020</v>
      </c>
      <c r="D661" t="s">
        <v>19</v>
      </c>
      <c r="E661" t="s">
        <v>26</v>
      </c>
      <c r="F661" t="s">
        <v>40</v>
      </c>
      <c r="G661" t="s">
        <v>8</v>
      </c>
      <c r="H661">
        <v>63.52</v>
      </c>
    </row>
    <row r="662" spans="1:8" x14ac:dyDescent="0.3">
      <c r="A662">
        <v>202001</v>
      </c>
      <c r="B662" s="1">
        <v>43831</v>
      </c>
      <c r="C662">
        <v>2020</v>
      </c>
      <c r="D662" t="s">
        <v>6</v>
      </c>
      <c r="E662" t="s">
        <v>26</v>
      </c>
      <c r="F662" t="s">
        <v>40</v>
      </c>
      <c r="G662" t="s">
        <v>8</v>
      </c>
      <c r="H662">
        <v>107.83</v>
      </c>
    </row>
    <row r="663" spans="1:8" x14ac:dyDescent="0.3">
      <c r="A663">
        <v>202002</v>
      </c>
      <c r="B663" s="1">
        <v>43862</v>
      </c>
      <c r="C663">
        <v>2020</v>
      </c>
      <c r="D663" t="s">
        <v>9</v>
      </c>
      <c r="E663" t="s">
        <v>26</v>
      </c>
      <c r="F663" t="s">
        <v>40</v>
      </c>
      <c r="G663" t="s">
        <v>8</v>
      </c>
      <c r="H663">
        <v>52</v>
      </c>
    </row>
    <row r="664" spans="1:8" x14ac:dyDescent="0.3">
      <c r="A664">
        <v>202003</v>
      </c>
      <c r="B664" s="1">
        <v>43891</v>
      </c>
      <c r="C664">
        <v>2020</v>
      </c>
      <c r="D664" t="s">
        <v>10</v>
      </c>
      <c r="E664" t="s">
        <v>26</v>
      </c>
      <c r="F664" t="s">
        <v>40</v>
      </c>
      <c r="G664" t="s">
        <v>8</v>
      </c>
      <c r="H664">
        <v>52.04</v>
      </c>
    </row>
    <row r="665" spans="1:8" x14ac:dyDescent="0.3">
      <c r="A665">
        <v>202004</v>
      </c>
      <c r="B665" s="1">
        <v>43922</v>
      </c>
      <c r="C665">
        <v>2020</v>
      </c>
      <c r="D665" t="s">
        <v>11</v>
      </c>
      <c r="E665" t="s">
        <v>26</v>
      </c>
      <c r="F665" t="s">
        <v>40</v>
      </c>
      <c r="G665" t="s">
        <v>8</v>
      </c>
      <c r="H665">
        <v>40.28</v>
      </c>
    </row>
    <row r="666" spans="1:8" x14ac:dyDescent="0.3">
      <c r="A666">
        <v>202005</v>
      </c>
      <c r="B666" s="1">
        <v>43952</v>
      </c>
      <c r="C666">
        <v>2020</v>
      </c>
      <c r="D666" t="s">
        <v>12</v>
      </c>
      <c r="E666" t="s">
        <v>26</v>
      </c>
      <c r="F666" t="s">
        <v>40</v>
      </c>
      <c r="G666" t="s">
        <v>8</v>
      </c>
      <c r="H666">
        <v>54.12</v>
      </c>
    </row>
    <row r="667" spans="1:8" x14ac:dyDescent="0.3">
      <c r="A667">
        <v>202006</v>
      </c>
      <c r="B667" s="1">
        <v>43983</v>
      </c>
      <c r="C667">
        <v>2020</v>
      </c>
      <c r="D667" t="s">
        <v>13</v>
      </c>
      <c r="E667" t="s">
        <v>26</v>
      </c>
      <c r="F667" t="s">
        <v>40</v>
      </c>
      <c r="G667" t="s">
        <v>8</v>
      </c>
      <c r="H667">
        <v>79.819999999999993</v>
      </c>
    </row>
    <row r="668" spans="1:8" x14ac:dyDescent="0.3">
      <c r="A668">
        <v>202007</v>
      </c>
      <c r="B668" s="1">
        <v>44013</v>
      </c>
      <c r="C668">
        <v>2020</v>
      </c>
      <c r="D668" t="s">
        <v>14</v>
      </c>
      <c r="E668" t="s">
        <v>26</v>
      </c>
      <c r="F668" t="s">
        <v>40</v>
      </c>
      <c r="G668" t="s">
        <v>8</v>
      </c>
      <c r="H668">
        <v>82.92</v>
      </c>
    </row>
    <row r="669" spans="1:8" x14ac:dyDescent="0.3">
      <c r="A669">
        <v>202008</v>
      </c>
      <c r="B669" s="1">
        <v>44044</v>
      </c>
      <c r="C669">
        <v>2020</v>
      </c>
      <c r="D669" t="s">
        <v>15</v>
      </c>
      <c r="E669" t="s">
        <v>26</v>
      </c>
      <c r="F669" t="s">
        <v>40</v>
      </c>
      <c r="G669" t="s">
        <v>8</v>
      </c>
      <c r="H669">
        <v>68.31</v>
      </c>
    </row>
    <row r="670" spans="1:8" x14ac:dyDescent="0.3">
      <c r="A670">
        <v>202009</v>
      </c>
      <c r="B670" s="1">
        <v>44075</v>
      </c>
      <c r="C670">
        <v>2020</v>
      </c>
      <c r="D670" t="s">
        <v>16</v>
      </c>
      <c r="E670" t="s">
        <v>26</v>
      </c>
      <c r="F670" t="s">
        <v>40</v>
      </c>
      <c r="G670" t="s">
        <v>8</v>
      </c>
      <c r="H670">
        <v>65.209999999999994</v>
      </c>
    </row>
    <row r="671" spans="1:8" x14ac:dyDescent="0.3">
      <c r="A671">
        <v>202010</v>
      </c>
      <c r="B671" s="1">
        <v>44105</v>
      </c>
      <c r="C671">
        <v>2020</v>
      </c>
      <c r="D671" t="s">
        <v>17</v>
      </c>
      <c r="E671" t="s">
        <v>26</v>
      </c>
      <c r="F671" t="s">
        <v>40</v>
      </c>
      <c r="G671" t="s">
        <v>8</v>
      </c>
      <c r="H671">
        <v>112.67</v>
      </c>
    </row>
    <row r="672" spans="1:8" x14ac:dyDescent="0.3">
      <c r="A672">
        <v>202011</v>
      </c>
      <c r="B672" s="1">
        <v>44136</v>
      </c>
      <c r="C672">
        <v>2020</v>
      </c>
      <c r="D672" t="s">
        <v>18</v>
      </c>
      <c r="E672" t="s">
        <v>26</v>
      </c>
      <c r="F672" t="s">
        <v>40</v>
      </c>
      <c r="G672" t="s">
        <v>8</v>
      </c>
      <c r="H672">
        <v>73.34</v>
      </c>
    </row>
    <row r="673" spans="1:8" x14ac:dyDescent="0.3">
      <c r="A673">
        <v>202012</v>
      </c>
      <c r="B673" s="1">
        <v>44166</v>
      </c>
      <c r="C673">
        <v>2020</v>
      </c>
      <c r="D673" t="s">
        <v>19</v>
      </c>
      <c r="E673" t="s">
        <v>26</v>
      </c>
      <c r="F673" t="s">
        <v>40</v>
      </c>
      <c r="G673" t="s">
        <v>8</v>
      </c>
      <c r="H673">
        <v>78.17</v>
      </c>
    </row>
    <row r="674" spans="1:8" x14ac:dyDescent="0.3">
      <c r="A674">
        <v>202001</v>
      </c>
      <c r="B674" s="1">
        <v>43831</v>
      </c>
      <c r="C674">
        <v>2020</v>
      </c>
      <c r="D674" t="s">
        <v>6</v>
      </c>
      <c r="E674" t="s">
        <v>27</v>
      </c>
      <c r="F674" t="s">
        <v>40</v>
      </c>
      <c r="G674" t="s">
        <v>28</v>
      </c>
      <c r="H674">
        <v>229.13</v>
      </c>
    </row>
    <row r="675" spans="1:8" x14ac:dyDescent="0.3">
      <c r="A675">
        <v>202002</v>
      </c>
      <c r="B675" s="1">
        <v>43862</v>
      </c>
      <c r="C675">
        <v>2020</v>
      </c>
      <c r="D675" t="s">
        <v>9</v>
      </c>
      <c r="E675" t="s">
        <v>27</v>
      </c>
      <c r="F675" t="s">
        <v>40</v>
      </c>
      <c r="G675" t="s">
        <v>28</v>
      </c>
      <c r="H675">
        <v>148.01</v>
      </c>
    </row>
    <row r="676" spans="1:8" x14ac:dyDescent="0.3">
      <c r="A676">
        <v>202003</v>
      </c>
      <c r="B676" s="1">
        <v>43891</v>
      </c>
      <c r="C676">
        <v>2020</v>
      </c>
      <c r="D676" t="s">
        <v>10</v>
      </c>
      <c r="E676" t="s">
        <v>27</v>
      </c>
      <c r="F676" t="s">
        <v>40</v>
      </c>
      <c r="G676" t="s">
        <v>28</v>
      </c>
      <c r="H676">
        <v>132.5</v>
      </c>
    </row>
    <row r="677" spans="1:8" x14ac:dyDescent="0.3">
      <c r="A677">
        <v>202004</v>
      </c>
      <c r="B677" s="1">
        <v>43922</v>
      </c>
      <c r="C677">
        <v>2020</v>
      </c>
      <c r="D677" t="s">
        <v>11</v>
      </c>
      <c r="E677" t="s">
        <v>27</v>
      </c>
      <c r="F677" t="s">
        <v>40</v>
      </c>
      <c r="G677" t="s">
        <v>28</v>
      </c>
      <c r="H677">
        <v>42.81</v>
      </c>
    </row>
    <row r="678" spans="1:8" x14ac:dyDescent="0.3">
      <c r="A678">
        <v>202005</v>
      </c>
      <c r="B678" s="1">
        <v>43952</v>
      </c>
      <c r="C678">
        <v>2020</v>
      </c>
      <c r="D678" t="s">
        <v>12</v>
      </c>
      <c r="E678" t="s">
        <v>27</v>
      </c>
      <c r="F678" t="s">
        <v>40</v>
      </c>
      <c r="G678" t="s">
        <v>28</v>
      </c>
      <c r="H678">
        <v>68.83</v>
      </c>
    </row>
    <row r="679" spans="1:8" x14ac:dyDescent="0.3">
      <c r="A679">
        <v>202006</v>
      </c>
      <c r="B679" s="1">
        <v>43983</v>
      </c>
      <c r="C679">
        <v>2020</v>
      </c>
      <c r="D679" t="s">
        <v>13</v>
      </c>
      <c r="E679" t="s">
        <v>27</v>
      </c>
      <c r="F679" t="s">
        <v>40</v>
      </c>
      <c r="G679" t="s">
        <v>28</v>
      </c>
      <c r="H679">
        <v>231.42</v>
      </c>
    </row>
    <row r="680" spans="1:8" x14ac:dyDescent="0.3">
      <c r="A680">
        <v>202007</v>
      </c>
      <c r="B680" s="1">
        <v>44013</v>
      </c>
      <c r="C680">
        <v>2020</v>
      </c>
      <c r="D680" t="s">
        <v>14</v>
      </c>
      <c r="E680" t="s">
        <v>27</v>
      </c>
      <c r="F680" t="s">
        <v>40</v>
      </c>
      <c r="G680" t="s">
        <v>28</v>
      </c>
      <c r="H680">
        <v>101.54</v>
      </c>
    </row>
    <row r="681" spans="1:8" x14ac:dyDescent="0.3">
      <c r="A681">
        <v>202008</v>
      </c>
      <c r="B681" s="1">
        <v>44044</v>
      </c>
      <c r="C681">
        <v>2020</v>
      </c>
      <c r="D681" t="s">
        <v>15</v>
      </c>
      <c r="E681" t="s">
        <v>27</v>
      </c>
      <c r="F681" t="s">
        <v>40</v>
      </c>
      <c r="G681" t="s">
        <v>28</v>
      </c>
      <c r="H681">
        <v>117.65</v>
      </c>
    </row>
    <row r="682" spans="1:8" x14ac:dyDescent="0.3">
      <c r="A682">
        <v>202009</v>
      </c>
      <c r="B682" s="1">
        <v>44075</v>
      </c>
      <c r="C682">
        <v>2020</v>
      </c>
      <c r="D682" t="s">
        <v>16</v>
      </c>
      <c r="E682" t="s">
        <v>27</v>
      </c>
      <c r="F682" t="s">
        <v>40</v>
      </c>
      <c r="G682" t="s">
        <v>28</v>
      </c>
      <c r="H682">
        <v>148.85</v>
      </c>
    </row>
    <row r="683" spans="1:8" x14ac:dyDescent="0.3">
      <c r="A683">
        <v>202010</v>
      </c>
      <c r="B683" s="1">
        <v>44105</v>
      </c>
      <c r="C683">
        <v>2020</v>
      </c>
      <c r="D683" t="s">
        <v>17</v>
      </c>
      <c r="E683" t="s">
        <v>27</v>
      </c>
      <c r="F683" t="s">
        <v>40</v>
      </c>
      <c r="G683" t="s">
        <v>28</v>
      </c>
      <c r="H683">
        <v>400.38</v>
      </c>
    </row>
    <row r="684" spans="1:8" x14ac:dyDescent="0.3">
      <c r="A684">
        <v>202011</v>
      </c>
      <c r="B684" s="1">
        <v>44136</v>
      </c>
      <c r="C684">
        <v>2020</v>
      </c>
      <c r="D684" t="s">
        <v>18</v>
      </c>
      <c r="E684" t="s">
        <v>27</v>
      </c>
      <c r="F684" t="s">
        <v>40</v>
      </c>
      <c r="G684" t="s">
        <v>28</v>
      </c>
      <c r="H684">
        <v>87.25</v>
      </c>
    </row>
    <row r="685" spans="1:8" x14ac:dyDescent="0.3">
      <c r="A685">
        <v>202012</v>
      </c>
      <c r="B685" s="1">
        <v>44166</v>
      </c>
      <c r="C685">
        <v>2020</v>
      </c>
      <c r="D685" t="s">
        <v>19</v>
      </c>
      <c r="E685" t="s">
        <v>27</v>
      </c>
      <c r="F685" t="s">
        <v>40</v>
      </c>
      <c r="G685" t="s">
        <v>28</v>
      </c>
      <c r="H685">
        <v>119.09</v>
      </c>
    </row>
    <row r="686" spans="1:8" x14ac:dyDescent="0.3">
      <c r="A686">
        <v>202001</v>
      </c>
      <c r="B686" s="1">
        <v>43831</v>
      </c>
      <c r="C686">
        <v>2020</v>
      </c>
      <c r="D686" t="s">
        <v>6</v>
      </c>
      <c r="E686" t="s">
        <v>27</v>
      </c>
      <c r="F686" t="s">
        <v>40</v>
      </c>
      <c r="G686" t="s">
        <v>28</v>
      </c>
      <c r="H686">
        <v>68.03</v>
      </c>
    </row>
    <row r="687" spans="1:8" x14ac:dyDescent="0.3">
      <c r="A687">
        <v>202002</v>
      </c>
      <c r="B687" s="1">
        <v>43862</v>
      </c>
      <c r="C687">
        <v>2020</v>
      </c>
      <c r="D687" t="s">
        <v>9</v>
      </c>
      <c r="E687" t="s">
        <v>27</v>
      </c>
      <c r="F687" t="s">
        <v>40</v>
      </c>
      <c r="G687" t="s">
        <v>28</v>
      </c>
      <c r="H687">
        <v>53.96</v>
      </c>
    </row>
    <row r="688" spans="1:8" x14ac:dyDescent="0.3">
      <c r="A688">
        <v>202003</v>
      </c>
      <c r="B688" s="1">
        <v>43891</v>
      </c>
      <c r="C688">
        <v>2020</v>
      </c>
      <c r="D688" t="s">
        <v>10</v>
      </c>
      <c r="E688" t="s">
        <v>27</v>
      </c>
      <c r="F688" t="s">
        <v>40</v>
      </c>
      <c r="G688" t="s">
        <v>28</v>
      </c>
      <c r="H688">
        <v>33.53</v>
      </c>
    </row>
    <row r="689" spans="1:8" x14ac:dyDescent="0.3">
      <c r="A689">
        <v>202004</v>
      </c>
      <c r="B689" s="1">
        <v>43922</v>
      </c>
      <c r="C689">
        <v>2020</v>
      </c>
      <c r="D689" t="s">
        <v>11</v>
      </c>
      <c r="E689" t="s">
        <v>27</v>
      </c>
      <c r="F689" t="s">
        <v>40</v>
      </c>
      <c r="G689" t="s">
        <v>28</v>
      </c>
      <c r="H689">
        <v>27.1</v>
      </c>
    </row>
    <row r="690" spans="1:8" x14ac:dyDescent="0.3">
      <c r="A690">
        <v>202005</v>
      </c>
      <c r="B690" s="1">
        <v>43952</v>
      </c>
      <c r="C690">
        <v>2020</v>
      </c>
      <c r="D690" t="s">
        <v>12</v>
      </c>
      <c r="E690" t="s">
        <v>27</v>
      </c>
      <c r="F690" t="s">
        <v>40</v>
      </c>
      <c r="G690" t="s">
        <v>28</v>
      </c>
      <c r="H690">
        <v>33.270000000000003</v>
      </c>
    </row>
    <row r="691" spans="1:8" x14ac:dyDescent="0.3">
      <c r="A691">
        <v>202006</v>
      </c>
      <c r="B691" s="1">
        <v>43983</v>
      </c>
      <c r="C691">
        <v>2020</v>
      </c>
      <c r="D691" t="s">
        <v>13</v>
      </c>
      <c r="E691" t="s">
        <v>27</v>
      </c>
      <c r="F691" t="s">
        <v>40</v>
      </c>
      <c r="G691" t="s">
        <v>28</v>
      </c>
      <c r="H691">
        <v>67.36</v>
      </c>
    </row>
    <row r="692" spans="1:8" x14ac:dyDescent="0.3">
      <c r="A692">
        <v>202007</v>
      </c>
      <c r="B692" s="1">
        <v>44013</v>
      </c>
      <c r="C692">
        <v>2020</v>
      </c>
      <c r="D692" t="s">
        <v>14</v>
      </c>
      <c r="E692" t="s">
        <v>27</v>
      </c>
      <c r="F692" t="s">
        <v>40</v>
      </c>
      <c r="G692" t="s">
        <v>28</v>
      </c>
      <c r="H692">
        <v>57.77</v>
      </c>
    </row>
    <row r="693" spans="1:8" x14ac:dyDescent="0.3">
      <c r="A693">
        <v>202008</v>
      </c>
      <c r="B693" s="1">
        <v>44044</v>
      </c>
      <c r="C693">
        <v>2020</v>
      </c>
      <c r="D693" t="s">
        <v>15</v>
      </c>
      <c r="E693" t="s">
        <v>27</v>
      </c>
      <c r="F693" t="s">
        <v>40</v>
      </c>
      <c r="G693" t="s">
        <v>28</v>
      </c>
      <c r="H693">
        <v>47.96</v>
      </c>
    </row>
    <row r="694" spans="1:8" x14ac:dyDescent="0.3">
      <c r="A694">
        <v>202009</v>
      </c>
      <c r="B694" s="1">
        <v>44075</v>
      </c>
      <c r="C694">
        <v>2020</v>
      </c>
      <c r="D694" t="s">
        <v>16</v>
      </c>
      <c r="E694" t="s">
        <v>27</v>
      </c>
      <c r="F694" t="s">
        <v>40</v>
      </c>
      <c r="G694" t="s">
        <v>28</v>
      </c>
      <c r="H694">
        <v>56.6</v>
      </c>
    </row>
    <row r="695" spans="1:8" x14ac:dyDescent="0.3">
      <c r="A695">
        <v>202010</v>
      </c>
      <c r="B695" s="1">
        <v>44105</v>
      </c>
      <c r="C695">
        <v>2020</v>
      </c>
      <c r="D695" t="s">
        <v>17</v>
      </c>
      <c r="E695" t="s">
        <v>27</v>
      </c>
      <c r="F695" t="s">
        <v>40</v>
      </c>
      <c r="G695" t="s">
        <v>28</v>
      </c>
      <c r="H695">
        <v>56.04</v>
      </c>
    </row>
    <row r="696" spans="1:8" x14ac:dyDescent="0.3">
      <c r="A696">
        <v>202011</v>
      </c>
      <c r="B696" s="1">
        <v>44136</v>
      </c>
      <c r="C696">
        <v>2020</v>
      </c>
      <c r="D696" t="s">
        <v>18</v>
      </c>
      <c r="E696" t="s">
        <v>27</v>
      </c>
      <c r="F696" t="s">
        <v>40</v>
      </c>
      <c r="G696" t="s">
        <v>28</v>
      </c>
      <c r="H696">
        <v>50.68</v>
      </c>
    </row>
    <row r="697" spans="1:8" x14ac:dyDescent="0.3">
      <c r="A697">
        <v>202012</v>
      </c>
      <c r="B697" s="1">
        <v>44166</v>
      </c>
      <c r="C697">
        <v>2020</v>
      </c>
      <c r="D697" t="s">
        <v>19</v>
      </c>
      <c r="E697" t="s">
        <v>27</v>
      </c>
      <c r="F697" t="s">
        <v>40</v>
      </c>
      <c r="G697" t="s">
        <v>28</v>
      </c>
      <c r="H697">
        <v>60.39</v>
      </c>
    </row>
    <row r="698" spans="1:8" x14ac:dyDescent="0.3">
      <c r="A698">
        <v>202001</v>
      </c>
      <c r="B698" s="1">
        <v>43831</v>
      </c>
      <c r="C698">
        <v>2020</v>
      </c>
      <c r="D698" t="s">
        <v>6</v>
      </c>
      <c r="E698" t="s">
        <v>27</v>
      </c>
      <c r="F698" t="s">
        <v>40</v>
      </c>
      <c r="G698" t="s">
        <v>28</v>
      </c>
      <c r="H698">
        <v>142.31</v>
      </c>
    </row>
    <row r="699" spans="1:8" x14ac:dyDescent="0.3">
      <c r="A699">
        <v>202002</v>
      </c>
      <c r="B699" s="1">
        <v>43862</v>
      </c>
      <c r="C699">
        <v>2020</v>
      </c>
      <c r="D699" t="s">
        <v>9</v>
      </c>
      <c r="E699" t="s">
        <v>27</v>
      </c>
      <c r="F699" t="s">
        <v>40</v>
      </c>
      <c r="G699" t="s">
        <v>28</v>
      </c>
      <c r="H699">
        <v>86.15</v>
      </c>
    </row>
    <row r="700" spans="1:8" x14ac:dyDescent="0.3">
      <c r="A700">
        <v>202003</v>
      </c>
      <c r="B700" s="1">
        <v>43891</v>
      </c>
      <c r="C700">
        <v>2020</v>
      </c>
      <c r="D700" t="s">
        <v>10</v>
      </c>
      <c r="E700" t="s">
        <v>27</v>
      </c>
      <c r="F700" t="s">
        <v>40</v>
      </c>
      <c r="G700" t="s">
        <v>28</v>
      </c>
      <c r="H700">
        <v>76.540000000000006</v>
      </c>
    </row>
    <row r="701" spans="1:8" x14ac:dyDescent="0.3">
      <c r="A701">
        <v>202004</v>
      </c>
      <c r="B701" s="1">
        <v>43922</v>
      </c>
      <c r="C701">
        <v>2020</v>
      </c>
      <c r="D701" t="s">
        <v>11</v>
      </c>
      <c r="E701" t="s">
        <v>27</v>
      </c>
      <c r="F701" t="s">
        <v>40</v>
      </c>
      <c r="G701" t="s">
        <v>28</v>
      </c>
      <c r="H701">
        <v>60.01</v>
      </c>
    </row>
    <row r="702" spans="1:8" x14ac:dyDescent="0.3">
      <c r="A702">
        <v>202005</v>
      </c>
      <c r="B702" s="1">
        <v>43952</v>
      </c>
      <c r="C702">
        <v>2020</v>
      </c>
      <c r="D702" t="s">
        <v>12</v>
      </c>
      <c r="E702" t="s">
        <v>27</v>
      </c>
      <c r="F702" t="s">
        <v>40</v>
      </c>
      <c r="G702" t="s">
        <v>28</v>
      </c>
      <c r="H702">
        <v>66.84</v>
      </c>
    </row>
    <row r="703" spans="1:8" x14ac:dyDescent="0.3">
      <c r="A703">
        <v>202006</v>
      </c>
      <c r="B703" s="1">
        <v>43983</v>
      </c>
      <c r="C703">
        <v>2020</v>
      </c>
      <c r="D703" t="s">
        <v>13</v>
      </c>
      <c r="E703" t="s">
        <v>27</v>
      </c>
      <c r="F703" t="s">
        <v>40</v>
      </c>
      <c r="G703" t="s">
        <v>28</v>
      </c>
      <c r="H703">
        <v>115.07</v>
      </c>
    </row>
    <row r="704" spans="1:8" x14ac:dyDescent="0.3">
      <c r="A704">
        <v>202007</v>
      </c>
      <c r="B704" s="1">
        <v>44013</v>
      </c>
      <c r="C704">
        <v>2020</v>
      </c>
      <c r="D704" t="s">
        <v>14</v>
      </c>
      <c r="E704" t="s">
        <v>27</v>
      </c>
      <c r="F704" t="s">
        <v>40</v>
      </c>
      <c r="G704" t="s">
        <v>28</v>
      </c>
      <c r="H704">
        <v>157.19999999999999</v>
      </c>
    </row>
    <row r="705" spans="1:8" x14ac:dyDescent="0.3">
      <c r="A705">
        <v>202008</v>
      </c>
      <c r="B705" s="1">
        <v>44044</v>
      </c>
      <c r="C705">
        <v>2020</v>
      </c>
      <c r="D705" t="s">
        <v>15</v>
      </c>
      <c r="E705" t="s">
        <v>27</v>
      </c>
      <c r="F705" t="s">
        <v>40</v>
      </c>
      <c r="G705" t="s">
        <v>28</v>
      </c>
      <c r="H705">
        <v>85.27</v>
      </c>
    </row>
    <row r="706" spans="1:8" x14ac:dyDescent="0.3">
      <c r="A706">
        <v>202009</v>
      </c>
      <c r="B706" s="1">
        <v>44075</v>
      </c>
      <c r="C706">
        <v>2020</v>
      </c>
      <c r="D706" t="s">
        <v>16</v>
      </c>
      <c r="E706" t="s">
        <v>27</v>
      </c>
      <c r="F706" t="s">
        <v>40</v>
      </c>
      <c r="G706" t="s">
        <v>28</v>
      </c>
      <c r="H706">
        <v>77.010000000000005</v>
      </c>
    </row>
    <row r="707" spans="1:8" x14ac:dyDescent="0.3">
      <c r="A707">
        <v>202010</v>
      </c>
      <c r="B707" s="1">
        <v>44105</v>
      </c>
      <c r="C707">
        <v>2020</v>
      </c>
      <c r="D707" t="s">
        <v>17</v>
      </c>
      <c r="E707" t="s">
        <v>27</v>
      </c>
      <c r="F707" t="s">
        <v>40</v>
      </c>
      <c r="G707" t="s">
        <v>28</v>
      </c>
      <c r="H707">
        <v>107.07</v>
      </c>
    </row>
    <row r="708" spans="1:8" x14ac:dyDescent="0.3">
      <c r="A708">
        <v>202011</v>
      </c>
      <c r="B708" s="1">
        <v>44136</v>
      </c>
      <c r="C708">
        <v>2020</v>
      </c>
      <c r="D708" t="s">
        <v>18</v>
      </c>
      <c r="E708" t="s">
        <v>27</v>
      </c>
      <c r="F708" t="s">
        <v>40</v>
      </c>
      <c r="G708" t="s">
        <v>28</v>
      </c>
      <c r="H708">
        <v>106.26</v>
      </c>
    </row>
    <row r="709" spans="1:8" x14ac:dyDescent="0.3">
      <c r="A709">
        <v>202012</v>
      </c>
      <c r="B709" s="1">
        <v>44166</v>
      </c>
      <c r="C709">
        <v>2020</v>
      </c>
      <c r="D709" t="s">
        <v>19</v>
      </c>
      <c r="E709" t="s">
        <v>27</v>
      </c>
      <c r="F709" t="s">
        <v>40</v>
      </c>
      <c r="G709" t="s">
        <v>28</v>
      </c>
      <c r="H709">
        <v>96.79</v>
      </c>
    </row>
    <row r="710" spans="1:8" x14ac:dyDescent="0.3">
      <c r="A710">
        <v>202001</v>
      </c>
      <c r="B710" s="1">
        <v>43831</v>
      </c>
      <c r="C710">
        <v>2020</v>
      </c>
      <c r="D710" t="s">
        <v>6</v>
      </c>
      <c r="E710" t="s">
        <v>27</v>
      </c>
      <c r="F710" t="s">
        <v>40</v>
      </c>
      <c r="G710" t="s">
        <v>28</v>
      </c>
      <c r="H710">
        <v>118.3</v>
      </c>
    </row>
    <row r="711" spans="1:8" x14ac:dyDescent="0.3">
      <c r="A711">
        <v>202002</v>
      </c>
      <c r="B711" s="1">
        <v>43862</v>
      </c>
      <c r="C711">
        <v>2020</v>
      </c>
      <c r="D711" t="s">
        <v>9</v>
      </c>
      <c r="E711" t="s">
        <v>27</v>
      </c>
      <c r="F711" t="s">
        <v>40</v>
      </c>
      <c r="G711" t="s">
        <v>28</v>
      </c>
      <c r="H711">
        <v>72.010000000000005</v>
      </c>
    </row>
    <row r="712" spans="1:8" x14ac:dyDescent="0.3">
      <c r="A712">
        <v>202003</v>
      </c>
      <c r="B712" s="1">
        <v>43891</v>
      </c>
      <c r="C712">
        <v>2020</v>
      </c>
      <c r="D712" t="s">
        <v>10</v>
      </c>
      <c r="E712" t="s">
        <v>27</v>
      </c>
      <c r="F712" t="s">
        <v>40</v>
      </c>
      <c r="G712" t="s">
        <v>28</v>
      </c>
      <c r="H712">
        <v>67.37</v>
      </c>
    </row>
    <row r="713" spans="1:8" x14ac:dyDescent="0.3">
      <c r="A713">
        <v>202004</v>
      </c>
      <c r="B713" s="1">
        <v>43922</v>
      </c>
      <c r="C713">
        <v>2020</v>
      </c>
      <c r="D713" t="s">
        <v>11</v>
      </c>
      <c r="E713" t="s">
        <v>27</v>
      </c>
      <c r="F713" t="s">
        <v>40</v>
      </c>
      <c r="G713" t="s">
        <v>28</v>
      </c>
      <c r="H713">
        <v>51.64</v>
      </c>
    </row>
    <row r="714" spans="1:8" x14ac:dyDescent="0.3">
      <c r="A714">
        <v>202005</v>
      </c>
      <c r="B714" s="1">
        <v>43952</v>
      </c>
      <c r="C714">
        <v>2020</v>
      </c>
      <c r="D714" t="s">
        <v>12</v>
      </c>
      <c r="E714" t="s">
        <v>27</v>
      </c>
      <c r="F714" t="s">
        <v>40</v>
      </c>
      <c r="G714" t="s">
        <v>28</v>
      </c>
      <c r="H714">
        <v>56.75</v>
      </c>
    </row>
    <row r="715" spans="1:8" x14ac:dyDescent="0.3">
      <c r="A715">
        <v>202006</v>
      </c>
      <c r="B715" s="1">
        <v>43983</v>
      </c>
      <c r="C715">
        <v>2020</v>
      </c>
      <c r="D715" t="s">
        <v>13</v>
      </c>
      <c r="E715" t="s">
        <v>27</v>
      </c>
      <c r="F715" t="s">
        <v>40</v>
      </c>
      <c r="G715" t="s">
        <v>28</v>
      </c>
      <c r="H715">
        <v>112.17</v>
      </c>
    </row>
    <row r="716" spans="1:8" x14ac:dyDescent="0.3">
      <c r="A716">
        <v>202007</v>
      </c>
      <c r="B716" s="1">
        <v>44013</v>
      </c>
      <c r="C716">
        <v>2020</v>
      </c>
      <c r="D716" t="s">
        <v>14</v>
      </c>
      <c r="E716" t="s">
        <v>27</v>
      </c>
      <c r="F716" t="s">
        <v>40</v>
      </c>
      <c r="G716" t="s">
        <v>28</v>
      </c>
      <c r="H716">
        <v>91.97</v>
      </c>
    </row>
    <row r="717" spans="1:8" x14ac:dyDescent="0.3">
      <c r="A717">
        <v>202008</v>
      </c>
      <c r="B717" s="1">
        <v>44044</v>
      </c>
      <c r="C717">
        <v>2020</v>
      </c>
      <c r="D717" t="s">
        <v>15</v>
      </c>
      <c r="E717" t="s">
        <v>27</v>
      </c>
      <c r="F717" t="s">
        <v>40</v>
      </c>
      <c r="G717" t="s">
        <v>28</v>
      </c>
      <c r="H717">
        <v>88.35</v>
      </c>
    </row>
    <row r="718" spans="1:8" x14ac:dyDescent="0.3">
      <c r="A718">
        <v>202009</v>
      </c>
      <c r="B718" s="1">
        <v>44075</v>
      </c>
      <c r="C718">
        <v>2020</v>
      </c>
      <c r="D718" t="s">
        <v>16</v>
      </c>
      <c r="E718" t="s">
        <v>27</v>
      </c>
      <c r="F718" t="s">
        <v>40</v>
      </c>
      <c r="G718" t="s">
        <v>28</v>
      </c>
      <c r="H718">
        <v>78.489999999999995</v>
      </c>
    </row>
    <row r="719" spans="1:8" x14ac:dyDescent="0.3">
      <c r="A719">
        <v>202010</v>
      </c>
      <c r="B719" s="1">
        <v>44105</v>
      </c>
      <c r="C719">
        <v>2020</v>
      </c>
      <c r="D719" t="s">
        <v>17</v>
      </c>
      <c r="E719" t="s">
        <v>27</v>
      </c>
      <c r="F719" t="s">
        <v>40</v>
      </c>
      <c r="G719" t="s">
        <v>28</v>
      </c>
      <c r="H719">
        <v>106.58</v>
      </c>
    </row>
    <row r="720" spans="1:8" x14ac:dyDescent="0.3">
      <c r="A720">
        <v>202011</v>
      </c>
      <c r="B720" s="1">
        <v>44136</v>
      </c>
      <c r="C720">
        <v>2020</v>
      </c>
      <c r="D720" t="s">
        <v>18</v>
      </c>
      <c r="E720" t="s">
        <v>27</v>
      </c>
      <c r="F720" t="s">
        <v>40</v>
      </c>
      <c r="G720" t="s">
        <v>28</v>
      </c>
      <c r="H720">
        <v>83.57</v>
      </c>
    </row>
    <row r="721" spans="1:8" x14ac:dyDescent="0.3">
      <c r="A721">
        <v>202012</v>
      </c>
      <c r="B721" s="1">
        <v>44166</v>
      </c>
      <c r="C721">
        <v>2020</v>
      </c>
      <c r="D721" t="s">
        <v>19</v>
      </c>
      <c r="E721" t="s">
        <v>27</v>
      </c>
      <c r="F721" t="s">
        <v>40</v>
      </c>
      <c r="G721" t="s">
        <v>28</v>
      </c>
      <c r="H721">
        <v>102.13</v>
      </c>
    </row>
    <row r="722" spans="1:8" x14ac:dyDescent="0.3">
      <c r="A722">
        <v>202001</v>
      </c>
      <c r="B722" s="1">
        <v>43831</v>
      </c>
      <c r="C722">
        <v>2020</v>
      </c>
      <c r="D722" t="s">
        <v>6</v>
      </c>
      <c r="E722" t="s">
        <v>27</v>
      </c>
      <c r="F722" t="s">
        <v>40</v>
      </c>
      <c r="G722" t="s">
        <v>28</v>
      </c>
      <c r="H722">
        <v>813.99</v>
      </c>
    </row>
    <row r="723" spans="1:8" x14ac:dyDescent="0.3">
      <c r="A723">
        <v>202002</v>
      </c>
      <c r="B723" s="1">
        <v>43862</v>
      </c>
      <c r="C723">
        <v>2020</v>
      </c>
      <c r="D723" t="s">
        <v>9</v>
      </c>
      <c r="E723" t="s">
        <v>27</v>
      </c>
      <c r="F723" t="s">
        <v>40</v>
      </c>
      <c r="G723" t="s">
        <v>28</v>
      </c>
      <c r="H723">
        <v>470.6</v>
      </c>
    </row>
    <row r="724" spans="1:8" x14ac:dyDescent="0.3">
      <c r="A724">
        <v>202003</v>
      </c>
      <c r="B724" s="1">
        <v>43891</v>
      </c>
      <c r="C724">
        <v>2020</v>
      </c>
      <c r="D724" t="s">
        <v>10</v>
      </c>
      <c r="E724" t="s">
        <v>27</v>
      </c>
      <c r="F724" t="s">
        <v>40</v>
      </c>
      <c r="G724" t="s">
        <v>28</v>
      </c>
      <c r="H724">
        <v>420.58</v>
      </c>
    </row>
    <row r="725" spans="1:8" x14ac:dyDescent="0.3">
      <c r="A725">
        <v>202004</v>
      </c>
      <c r="B725" s="1">
        <v>43922</v>
      </c>
      <c r="C725">
        <v>2020</v>
      </c>
      <c r="D725" t="s">
        <v>11</v>
      </c>
      <c r="E725" t="s">
        <v>27</v>
      </c>
      <c r="F725" t="s">
        <v>40</v>
      </c>
      <c r="G725" t="s">
        <v>28</v>
      </c>
      <c r="H725">
        <v>235.62</v>
      </c>
    </row>
    <row r="726" spans="1:8" x14ac:dyDescent="0.3">
      <c r="A726">
        <v>202005</v>
      </c>
      <c r="B726" s="1">
        <v>43952</v>
      </c>
      <c r="C726">
        <v>2020</v>
      </c>
      <c r="D726" t="s">
        <v>12</v>
      </c>
      <c r="E726" t="s">
        <v>27</v>
      </c>
      <c r="F726" t="s">
        <v>40</v>
      </c>
      <c r="G726" t="s">
        <v>28</v>
      </c>
      <c r="H726">
        <v>223.18</v>
      </c>
    </row>
    <row r="727" spans="1:8" x14ac:dyDescent="0.3">
      <c r="A727">
        <v>202006</v>
      </c>
      <c r="B727" s="1">
        <v>43983</v>
      </c>
      <c r="C727">
        <v>2020</v>
      </c>
      <c r="D727" t="s">
        <v>13</v>
      </c>
      <c r="E727" t="s">
        <v>27</v>
      </c>
      <c r="F727" t="s">
        <v>40</v>
      </c>
      <c r="G727" t="s">
        <v>28</v>
      </c>
      <c r="H727">
        <v>836.06</v>
      </c>
    </row>
    <row r="728" spans="1:8" x14ac:dyDescent="0.3">
      <c r="A728">
        <v>202007</v>
      </c>
      <c r="B728" s="1">
        <v>44013</v>
      </c>
      <c r="C728">
        <v>2020</v>
      </c>
      <c r="D728" t="s">
        <v>14</v>
      </c>
      <c r="E728" t="s">
        <v>27</v>
      </c>
      <c r="F728" t="s">
        <v>40</v>
      </c>
      <c r="G728" t="s">
        <v>28</v>
      </c>
      <c r="H728">
        <v>478.23</v>
      </c>
    </row>
    <row r="729" spans="1:8" x14ac:dyDescent="0.3">
      <c r="A729">
        <v>202008</v>
      </c>
      <c r="B729" s="1">
        <v>44044</v>
      </c>
      <c r="C729">
        <v>2020</v>
      </c>
      <c r="D729" t="s">
        <v>15</v>
      </c>
      <c r="E729" t="s">
        <v>27</v>
      </c>
      <c r="F729" t="s">
        <v>40</v>
      </c>
      <c r="G729" t="s">
        <v>28</v>
      </c>
      <c r="H729">
        <v>452.69</v>
      </c>
    </row>
    <row r="730" spans="1:8" x14ac:dyDescent="0.3">
      <c r="A730">
        <v>202009</v>
      </c>
      <c r="B730" s="1">
        <v>44075</v>
      </c>
      <c r="C730">
        <v>2020</v>
      </c>
      <c r="D730" t="s">
        <v>16</v>
      </c>
      <c r="E730" t="s">
        <v>27</v>
      </c>
      <c r="F730" t="s">
        <v>40</v>
      </c>
      <c r="G730" t="s">
        <v>28</v>
      </c>
      <c r="H730">
        <v>368.11</v>
      </c>
    </row>
    <row r="731" spans="1:8" x14ac:dyDescent="0.3">
      <c r="A731">
        <v>202010</v>
      </c>
      <c r="B731" s="1">
        <v>44105</v>
      </c>
      <c r="C731">
        <v>2020</v>
      </c>
      <c r="D731" t="s">
        <v>17</v>
      </c>
      <c r="E731" t="s">
        <v>27</v>
      </c>
      <c r="F731" t="s">
        <v>40</v>
      </c>
      <c r="G731" t="s">
        <v>28</v>
      </c>
      <c r="H731">
        <v>465.18</v>
      </c>
    </row>
    <row r="732" spans="1:8" x14ac:dyDescent="0.3">
      <c r="A732">
        <v>202011</v>
      </c>
      <c r="B732" s="1">
        <v>44136</v>
      </c>
      <c r="C732">
        <v>2020</v>
      </c>
      <c r="D732" t="s">
        <v>18</v>
      </c>
      <c r="E732" t="s">
        <v>27</v>
      </c>
      <c r="F732" t="s">
        <v>40</v>
      </c>
      <c r="G732" t="s">
        <v>28</v>
      </c>
      <c r="H732">
        <v>510.16</v>
      </c>
    </row>
    <row r="733" spans="1:8" x14ac:dyDescent="0.3">
      <c r="A733">
        <v>202012</v>
      </c>
      <c r="B733" s="1">
        <v>44166</v>
      </c>
      <c r="C733">
        <v>2020</v>
      </c>
      <c r="D733" t="s">
        <v>19</v>
      </c>
      <c r="E733" t="s">
        <v>27</v>
      </c>
      <c r="F733" t="s">
        <v>40</v>
      </c>
      <c r="G733" t="s">
        <v>28</v>
      </c>
      <c r="H733">
        <v>488.96</v>
      </c>
    </row>
    <row r="734" spans="1:8" x14ac:dyDescent="0.3">
      <c r="A734">
        <v>202001</v>
      </c>
      <c r="B734" s="1">
        <v>43831</v>
      </c>
      <c r="C734">
        <v>2020</v>
      </c>
      <c r="D734" t="s">
        <v>6</v>
      </c>
      <c r="E734" t="s">
        <v>29</v>
      </c>
      <c r="F734" t="s">
        <v>40</v>
      </c>
      <c r="G734" t="s">
        <v>28</v>
      </c>
      <c r="H734">
        <v>889.34</v>
      </c>
    </row>
    <row r="735" spans="1:8" x14ac:dyDescent="0.3">
      <c r="A735">
        <v>202002</v>
      </c>
      <c r="B735" s="1">
        <v>43862</v>
      </c>
      <c r="C735">
        <v>2020</v>
      </c>
      <c r="D735" t="s">
        <v>9</v>
      </c>
      <c r="E735" t="s">
        <v>29</v>
      </c>
      <c r="F735" t="s">
        <v>40</v>
      </c>
      <c r="G735" t="s">
        <v>28</v>
      </c>
      <c r="H735">
        <v>547.51</v>
      </c>
    </row>
    <row r="736" spans="1:8" x14ac:dyDescent="0.3">
      <c r="A736">
        <v>202003</v>
      </c>
      <c r="B736" s="1">
        <v>43891</v>
      </c>
      <c r="C736">
        <v>2020</v>
      </c>
      <c r="D736" t="s">
        <v>10</v>
      </c>
      <c r="E736" t="s">
        <v>29</v>
      </c>
      <c r="F736" t="s">
        <v>40</v>
      </c>
      <c r="G736" t="s">
        <v>28</v>
      </c>
      <c r="H736">
        <v>568.22</v>
      </c>
    </row>
    <row r="737" spans="1:8" x14ac:dyDescent="0.3">
      <c r="A737">
        <v>202004</v>
      </c>
      <c r="B737" s="1">
        <v>43922</v>
      </c>
      <c r="C737">
        <v>2020</v>
      </c>
      <c r="D737" t="s">
        <v>11</v>
      </c>
      <c r="E737" t="s">
        <v>29</v>
      </c>
      <c r="F737" t="s">
        <v>40</v>
      </c>
      <c r="G737" t="s">
        <v>28</v>
      </c>
      <c r="H737">
        <v>219</v>
      </c>
    </row>
    <row r="738" spans="1:8" x14ac:dyDescent="0.3">
      <c r="A738">
        <v>202005</v>
      </c>
      <c r="B738" s="1">
        <v>43952</v>
      </c>
      <c r="C738">
        <v>2020</v>
      </c>
      <c r="D738" t="s">
        <v>12</v>
      </c>
      <c r="E738" t="s">
        <v>29</v>
      </c>
      <c r="F738" t="s">
        <v>40</v>
      </c>
      <c r="G738" t="s">
        <v>28</v>
      </c>
      <c r="H738">
        <v>382.3</v>
      </c>
    </row>
    <row r="739" spans="1:8" x14ac:dyDescent="0.3">
      <c r="A739">
        <v>202006</v>
      </c>
      <c r="B739" s="1">
        <v>43983</v>
      </c>
      <c r="C739">
        <v>2020</v>
      </c>
      <c r="D739" t="s">
        <v>13</v>
      </c>
      <c r="E739" t="s">
        <v>29</v>
      </c>
      <c r="F739" t="s">
        <v>40</v>
      </c>
      <c r="G739" t="s">
        <v>28</v>
      </c>
      <c r="H739">
        <v>1096.6199999999999</v>
      </c>
    </row>
    <row r="740" spans="1:8" x14ac:dyDescent="0.3">
      <c r="A740">
        <v>202007</v>
      </c>
      <c r="B740" s="1">
        <v>44013</v>
      </c>
      <c r="C740">
        <v>2020</v>
      </c>
      <c r="D740" t="s">
        <v>14</v>
      </c>
      <c r="E740" t="s">
        <v>29</v>
      </c>
      <c r="F740" t="s">
        <v>40</v>
      </c>
      <c r="G740" t="s">
        <v>28</v>
      </c>
      <c r="H740">
        <v>525.95000000000005</v>
      </c>
    </row>
    <row r="741" spans="1:8" x14ac:dyDescent="0.3">
      <c r="A741">
        <v>202008</v>
      </c>
      <c r="B741" s="1">
        <v>44044</v>
      </c>
      <c r="C741">
        <v>2020</v>
      </c>
      <c r="D741" t="s">
        <v>15</v>
      </c>
      <c r="E741" t="s">
        <v>29</v>
      </c>
      <c r="F741" t="s">
        <v>40</v>
      </c>
      <c r="G741" t="s">
        <v>28</v>
      </c>
      <c r="H741">
        <v>521.34</v>
      </c>
    </row>
    <row r="742" spans="1:8" x14ac:dyDescent="0.3">
      <c r="A742">
        <v>202009</v>
      </c>
      <c r="B742" s="1">
        <v>44075</v>
      </c>
      <c r="C742">
        <v>2020</v>
      </c>
      <c r="D742" t="s">
        <v>16</v>
      </c>
      <c r="E742" t="s">
        <v>29</v>
      </c>
      <c r="F742" t="s">
        <v>40</v>
      </c>
      <c r="G742" t="s">
        <v>28</v>
      </c>
      <c r="H742">
        <v>417.05</v>
      </c>
    </row>
    <row r="743" spans="1:8" x14ac:dyDescent="0.3">
      <c r="A743">
        <v>202010</v>
      </c>
      <c r="B743" s="1">
        <v>44105</v>
      </c>
      <c r="C743">
        <v>2020</v>
      </c>
      <c r="D743" t="s">
        <v>17</v>
      </c>
      <c r="E743" t="s">
        <v>29</v>
      </c>
      <c r="F743" t="s">
        <v>40</v>
      </c>
      <c r="G743" t="s">
        <v>28</v>
      </c>
      <c r="H743">
        <v>903.89</v>
      </c>
    </row>
    <row r="744" spans="1:8" x14ac:dyDescent="0.3">
      <c r="A744">
        <v>202011</v>
      </c>
      <c r="B744" s="1">
        <v>44136</v>
      </c>
      <c r="C744">
        <v>2020</v>
      </c>
      <c r="D744" t="s">
        <v>18</v>
      </c>
      <c r="E744" t="s">
        <v>29</v>
      </c>
      <c r="F744" t="s">
        <v>40</v>
      </c>
      <c r="G744" t="s">
        <v>28</v>
      </c>
      <c r="H744">
        <v>597.26</v>
      </c>
    </row>
    <row r="745" spans="1:8" x14ac:dyDescent="0.3">
      <c r="A745">
        <v>202012</v>
      </c>
      <c r="B745" s="1">
        <v>44166</v>
      </c>
      <c r="C745">
        <v>2020</v>
      </c>
      <c r="D745" t="s">
        <v>19</v>
      </c>
      <c r="E745" t="s">
        <v>29</v>
      </c>
      <c r="F745" t="s">
        <v>40</v>
      </c>
      <c r="G745" t="s">
        <v>28</v>
      </c>
      <c r="H745">
        <v>555.52</v>
      </c>
    </row>
    <row r="746" spans="1:8" x14ac:dyDescent="0.3">
      <c r="A746">
        <v>202001</v>
      </c>
      <c r="B746" s="1">
        <v>43831</v>
      </c>
      <c r="C746">
        <v>2020</v>
      </c>
      <c r="D746" t="s">
        <v>6</v>
      </c>
      <c r="E746" t="s">
        <v>29</v>
      </c>
      <c r="F746" t="s">
        <v>40</v>
      </c>
      <c r="G746" t="s">
        <v>28</v>
      </c>
      <c r="H746">
        <v>250.23</v>
      </c>
    </row>
    <row r="747" spans="1:8" x14ac:dyDescent="0.3">
      <c r="A747">
        <v>202002</v>
      </c>
      <c r="B747" s="1">
        <v>43862</v>
      </c>
      <c r="C747">
        <v>2020</v>
      </c>
      <c r="D747" t="s">
        <v>9</v>
      </c>
      <c r="E747" t="s">
        <v>29</v>
      </c>
      <c r="F747" t="s">
        <v>40</v>
      </c>
      <c r="G747" t="s">
        <v>28</v>
      </c>
      <c r="H747">
        <v>187.09</v>
      </c>
    </row>
    <row r="748" spans="1:8" x14ac:dyDescent="0.3">
      <c r="A748">
        <v>202003</v>
      </c>
      <c r="B748" s="1">
        <v>43891</v>
      </c>
      <c r="C748">
        <v>2020</v>
      </c>
      <c r="D748" t="s">
        <v>10</v>
      </c>
      <c r="E748" t="s">
        <v>29</v>
      </c>
      <c r="F748" t="s">
        <v>40</v>
      </c>
      <c r="G748" t="s">
        <v>28</v>
      </c>
      <c r="H748">
        <v>163.54</v>
      </c>
    </row>
    <row r="749" spans="1:8" x14ac:dyDescent="0.3">
      <c r="A749">
        <v>202004</v>
      </c>
      <c r="B749" s="1">
        <v>43922</v>
      </c>
      <c r="C749">
        <v>2020</v>
      </c>
      <c r="D749" t="s">
        <v>11</v>
      </c>
      <c r="E749" t="s">
        <v>29</v>
      </c>
      <c r="F749" t="s">
        <v>40</v>
      </c>
      <c r="G749" t="s">
        <v>28</v>
      </c>
      <c r="H749">
        <v>104.4</v>
      </c>
    </row>
    <row r="750" spans="1:8" x14ac:dyDescent="0.3">
      <c r="A750">
        <v>202005</v>
      </c>
      <c r="B750" s="1">
        <v>43952</v>
      </c>
      <c r="C750">
        <v>2020</v>
      </c>
      <c r="D750" t="s">
        <v>12</v>
      </c>
      <c r="E750" t="s">
        <v>29</v>
      </c>
      <c r="F750" t="s">
        <v>40</v>
      </c>
      <c r="G750" t="s">
        <v>28</v>
      </c>
      <c r="H750">
        <v>163.86</v>
      </c>
    </row>
    <row r="751" spans="1:8" x14ac:dyDescent="0.3">
      <c r="A751">
        <v>202006</v>
      </c>
      <c r="B751" s="1">
        <v>43983</v>
      </c>
      <c r="C751">
        <v>2020</v>
      </c>
      <c r="D751" t="s">
        <v>13</v>
      </c>
      <c r="E751" t="s">
        <v>29</v>
      </c>
      <c r="F751" t="s">
        <v>40</v>
      </c>
      <c r="G751" t="s">
        <v>28</v>
      </c>
      <c r="H751">
        <v>244.38</v>
      </c>
    </row>
    <row r="752" spans="1:8" x14ac:dyDescent="0.3">
      <c r="A752">
        <v>202007</v>
      </c>
      <c r="B752" s="1">
        <v>44013</v>
      </c>
      <c r="C752">
        <v>2020</v>
      </c>
      <c r="D752" t="s">
        <v>14</v>
      </c>
      <c r="E752" t="s">
        <v>29</v>
      </c>
      <c r="F752" t="s">
        <v>40</v>
      </c>
      <c r="G752" t="s">
        <v>28</v>
      </c>
      <c r="H752">
        <v>203.6</v>
      </c>
    </row>
    <row r="753" spans="1:8" x14ac:dyDescent="0.3">
      <c r="A753">
        <v>202008</v>
      </c>
      <c r="B753" s="1">
        <v>44044</v>
      </c>
      <c r="C753">
        <v>2020</v>
      </c>
      <c r="D753" t="s">
        <v>15</v>
      </c>
      <c r="E753" t="s">
        <v>29</v>
      </c>
      <c r="F753" t="s">
        <v>40</v>
      </c>
      <c r="G753" t="s">
        <v>28</v>
      </c>
      <c r="H753">
        <v>177</v>
      </c>
    </row>
    <row r="754" spans="1:8" x14ac:dyDescent="0.3">
      <c r="A754">
        <v>202009</v>
      </c>
      <c r="B754" s="1">
        <v>44075</v>
      </c>
      <c r="C754">
        <v>2020</v>
      </c>
      <c r="D754" t="s">
        <v>16</v>
      </c>
      <c r="E754" t="s">
        <v>29</v>
      </c>
      <c r="F754" t="s">
        <v>40</v>
      </c>
      <c r="G754" t="s">
        <v>28</v>
      </c>
      <c r="H754">
        <v>190.26</v>
      </c>
    </row>
    <row r="755" spans="1:8" x14ac:dyDescent="0.3">
      <c r="A755">
        <v>202010</v>
      </c>
      <c r="B755" s="1">
        <v>44105</v>
      </c>
      <c r="C755">
        <v>2020</v>
      </c>
      <c r="D755" t="s">
        <v>17</v>
      </c>
      <c r="E755" t="s">
        <v>29</v>
      </c>
      <c r="F755" t="s">
        <v>40</v>
      </c>
      <c r="G755" t="s">
        <v>28</v>
      </c>
      <c r="H755">
        <v>230.93</v>
      </c>
    </row>
    <row r="756" spans="1:8" x14ac:dyDescent="0.3">
      <c r="A756">
        <v>202011</v>
      </c>
      <c r="B756" s="1">
        <v>44136</v>
      </c>
      <c r="C756">
        <v>2020</v>
      </c>
      <c r="D756" t="s">
        <v>18</v>
      </c>
      <c r="E756" t="s">
        <v>29</v>
      </c>
      <c r="F756" t="s">
        <v>40</v>
      </c>
      <c r="G756" t="s">
        <v>28</v>
      </c>
      <c r="H756">
        <v>194.83</v>
      </c>
    </row>
    <row r="757" spans="1:8" x14ac:dyDescent="0.3">
      <c r="A757">
        <v>202012</v>
      </c>
      <c r="B757" s="1">
        <v>44166</v>
      </c>
      <c r="C757">
        <v>2020</v>
      </c>
      <c r="D757" t="s">
        <v>19</v>
      </c>
      <c r="E757" t="s">
        <v>29</v>
      </c>
      <c r="F757" t="s">
        <v>40</v>
      </c>
      <c r="G757" t="s">
        <v>28</v>
      </c>
      <c r="H757">
        <v>183.7</v>
      </c>
    </row>
    <row r="758" spans="1:8" x14ac:dyDescent="0.3">
      <c r="A758">
        <v>202001</v>
      </c>
      <c r="B758" s="1">
        <v>43831</v>
      </c>
      <c r="C758">
        <v>2020</v>
      </c>
      <c r="D758" t="s">
        <v>6</v>
      </c>
      <c r="E758" t="s">
        <v>30</v>
      </c>
      <c r="F758" t="s">
        <v>40</v>
      </c>
      <c r="G758" t="s">
        <v>28</v>
      </c>
      <c r="H758">
        <v>257.29000000000002</v>
      </c>
    </row>
    <row r="759" spans="1:8" x14ac:dyDescent="0.3">
      <c r="A759">
        <v>202002</v>
      </c>
      <c r="B759" s="1">
        <v>43862</v>
      </c>
      <c r="C759">
        <v>2020</v>
      </c>
      <c r="D759" t="s">
        <v>9</v>
      </c>
      <c r="E759" t="s">
        <v>30</v>
      </c>
      <c r="F759" t="s">
        <v>40</v>
      </c>
      <c r="G759" t="s">
        <v>28</v>
      </c>
      <c r="H759">
        <v>165.33</v>
      </c>
    </row>
    <row r="760" spans="1:8" x14ac:dyDescent="0.3">
      <c r="A760">
        <v>202003</v>
      </c>
      <c r="B760" s="1">
        <v>43891</v>
      </c>
      <c r="C760">
        <v>2020</v>
      </c>
      <c r="D760" t="s">
        <v>10</v>
      </c>
      <c r="E760" t="s">
        <v>30</v>
      </c>
      <c r="F760" t="s">
        <v>40</v>
      </c>
      <c r="G760" t="s">
        <v>28</v>
      </c>
      <c r="H760">
        <v>149.16999999999999</v>
      </c>
    </row>
    <row r="761" spans="1:8" x14ac:dyDescent="0.3">
      <c r="A761">
        <v>202004</v>
      </c>
      <c r="B761" s="1">
        <v>43922</v>
      </c>
      <c r="C761">
        <v>2020</v>
      </c>
      <c r="D761" t="s">
        <v>11</v>
      </c>
      <c r="E761" t="s">
        <v>30</v>
      </c>
      <c r="F761" t="s">
        <v>40</v>
      </c>
      <c r="G761" t="s">
        <v>28</v>
      </c>
      <c r="H761">
        <v>145.41</v>
      </c>
    </row>
    <row r="762" spans="1:8" x14ac:dyDescent="0.3">
      <c r="A762">
        <v>202005</v>
      </c>
      <c r="B762" s="1">
        <v>43952</v>
      </c>
      <c r="C762">
        <v>2020</v>
      </c>
      <c r="D762" t="s">
        <v>12</v>
      </c>
      <c r="E762" t="s">
        <v>30</v>
      </c>
      <c r="F762" t="s">
        <v>40</v>
      </c>
      <c r="G762" t="s">
        <v>28</v>
      </c>
      <c r="H762">
        <v>158.08000000000001</v>
      </c>
    </row>
    <row r="763" spans="1:8" x14ac:dyDescent="0.3">
      <c r="A763">
        <v>202006</v>
      </c>
      <c r="B763" s="1">
        <v>43983</v>
      </c>
      <c r="C763">
        <v>2020</v>
      </c>
      <c r="D763" t="s">
        <v>13</v>
      </c>
      <c r="E763" t="s">
        <v>30</v>
      </c>
      <c r="F763" t="s">
        <v>40</v>
      </c>
      <c r="G763" t="s">
        <v>28</v>
      </c>
      <c r="H763">
        <v>246.35</v>
      </c>
    </row>
    <row r="764" spans="1:8" x14ac:dyDescent="0.3">
      <c r="A764">
        <v>202007</v>
      </c>
      <c r="B764" s="1">
        <v>44013</v>
      </c>
      <c r="C764">
        <v>2020</v>
      </c>
      <c r="D764" t="s">
        <v>14</v>
      </c>
      <c r="E764" t="s">
        <v>30</v>
      </c>
      <c r="F764" t="s">
        <v>40</v>
      </c>
      <c r="G764" t="s">
        <v>28</v>
      </c>
      <c r="H764">
        <v>164.87</v>
      </c>
    </row>
    <row r="765" spans="1:8" x14ac:dyDescent="0.3">
      <c r="A765">
        <v>202008</v>
      </c>
      <c r="B765" s="1">
        <v>44044</v>
      </c>
      <c r="C765">
        <v>2020</v>
      </c>
      <c r="D765" t="s">
        <v>15</v>
      </c>
      <c r="E765" t="s">
        <v>30</v>
      </c>
      <c r="F765" t="s">
        <v>40</v>
      </c>
      <c r="G765" t="s">
        <v>28</v>
      </c>
      <c r="H765">
        <v>180.01</v>
      </c>
    </row>
    <row r="766" spans="1:8" x14ac:dyDescent="0.3">
      <c r="A766">
        <v>202009</v>
      </c>
      <c r="B766" s="1">
        <v>44075</v>
      </c>
      <c r="C766">
        <v>2020</v>
      </c>
      <c r="D766" t="s">
        <v>16</v>
      </c>
      <c r="E766" t="s">
        <v>30</v>
      </c>
      <c r="F766" t="s">
        <v>40</v>
      </c>
      <c r="G766" t="s">
        <v>28</v>
      </c>
      <c r="H766">
        <v>167.66</v>
      </c>
    </row>
    <row r="767" spans="1:8" x14ac:dyDescent="0.3">
      <c r="A767">
        <v>202010</v>
      </c>
      <c r="B767" s="1">
        <v>44105</v>
      </c>
      <c r="C767">
        <v>2020</v>
      </c>
      <c r="D767" t="s">
        <v>17</v>
      </c>
      <c r="E767" t="s">
        <v>30</v>
      </c>
      <c r="F767" t="s">
        <v>40</v>
      </c>
      <c r="G767" t="s">
        <v>28</v>
      </c>
      <c r="H767">
        <v>175.73</v>
      </c>
    </row>
    <row r="768" spans="1:8" x14ac:dyDescent="0.3">
      <c r="A768">
        <v>202011</v>
      </c>
      <c r="B768" s="1">
        <v>44136</v>
      </c>
      <c r="C768">
        <v>2020</v>
      </c>
      <c r="D768" t="s">
        <v>18</v>
      </c>
      <c r="E768" t="s">
        <v>30</v>
      </c>
      <c r="F768" t="s">
        <v>40</v>
      </c>
      <c r="G768" t="s">
        <v>28</v>
      </c>
      <c r="H768">
        <v>203.09</v>
      </c>
    </row>
    <row r="769" spans="1:8" x14ac:dyDescent="0.3">
      <c r="A769">
        <v>202012</v>
      </c>
      <c r="B769" s="1">
        <v>44166</v>
      </c>
      <c r="C769">
        <v>2020</v>
      </c>
      <c r="D769" t="s">
        <v>19</v>
      </c>
      <c r="E769" t="s">
        <v>30</v>
      </c>
      <c r="F769" t="s">
        <v>40</v>
      </c>
      <c r="G769" t="s">
        <v>28</v>
      </c>
      <c r="H769">
        <v>218.23</v>
      </c>
    </row>
    <row r="770" spans="1:8" x14ac:dyDescent="0.3">
      <c r="A770">
        <v>202001</v>
      </c>
      <c r="B770" s="1">
        <v>43831</v>
      </c>
      <c r="C770">
        <v>2020</v>
      </c>
      <c r="D770" t="s">
        <v>6</v>
      </c>
      <c r="E770" t="s">
        <v>30</v>
      </c>
      <c r="F770" t="s">
        <v>40</v>
      </c>
      <c r="G770" t="s">
        <v>28</v>
      </c>
      <c r="H770">
        <v>1734.81</v>
      </c>
    </row>
    <row r="771" spans="1:8" x14ac:dyDescent="0.3">
      <c r="A771">
        <v>202002</v>
      </c>
      <c r="B771" s="1">
        <v>43862</v>
      </c>
      <c r="C771">
        <v>2020</v>
      </c>
      <c r="D771" t="s">
        <v>9</v>
      </c>
      <c r="E771" t="s">
        <v>30</v>
      </c>
      <c r="F771" t="s">
        <v>40</v>
      </c>
      <c r="G771" t="s">
        <v>28</v>
      </c>
      <c r="H771">
        <v>1066.72</v>
      </c>
    </row>
    <row r="772" spans="1:8" x14ac:dyDescent="0.3">
      <c r="A772">
        <v>202003</v>
      </c>
      <c r="B772" s="1">
        <v>43891</v>
      </c>
      <c r="C772">
        <v>2020</v>
      </c>
      <c r="D772" t="s">
        <v>10</v>
      </c>
      <c r="E772" t="s">
        <v>30</v>
      </c>
      <c r="F772" t="s">
        <v>40</v>
      </c>
      <c r="G772" t="s">
        <v>28</v>
      </c>
      <c r="H772">
        <v>1053.5899999999999</v>
      </c>
    </row>
    <row r="773" spans="1:8" x14ac:dyDescent="0.3">
      <c r="A773">
        <v>202004</v>
      </c>
      <c r="B773" s="1">
        <v>43922</v>
      </c>
      <c r="C773">
        <v>2020</v>
      </c>
      <c r="D773" t="s">
        <v>11</v>
      </c>
      <c r="E773" t="s">
        <v>30</v>
      </c>
      <c r="F773" t="s">
        <v>40</v>
      </c>
      <c r="G773" t="s">
        <v>28</v>
      </c>
      <c r="H773">
        <v>403.45</v>
      </c>
    </row>
    <row r="774" spans="1:8" x14ac:dyDescent="0.3">
      <c r="A774">
        <v>202005</v>
      </c>
      <c r="B774" s="1">
        <v>43952</v>
      </c>
      <c r="C774">
        <v>2020</v>
      </c>
      <c r="D774" t="s">
        <v>12</v>
      </c>
      <c r="E774" t="s">
        <v>30</v>
      </c>
      <c r="F774" t="s">
        <v>40</v>
      </c>
      <c r="G774" t="s">
        <v>28</v>
      </c>
      <c r="H774">
        <v>476.74</v>
      </c>
    </row>
    <row r="775" spans="1:8" x14ac:dyDescent="0.3">
      <c r="A775">
        <v>202006</v>
      </c>
      <c r="B775" s="1">
        <v>43983</v>
      </c>
      <c r="C775">
        <v>2020</v>
      </c>
      <c r="D775" t="s">
        <v>13</v>
      </c>
      <c r="E775" t="s">
        <v>30</v>
      </c>
      <c r="F775" t="s">
        <v>40</v>
      </c>
      <c r="G775" t="s">
        <v>28</v>
      </c>
      <c r="H775">
        <v>1808.89</v>
      </c>
    </row>
    <row r="776" spans="1:8" x14ac:dyDescent="0.3">
      <c r="A776">
        <v>202007</v>
      </c>
      <c r="B776" s="1">
        <v>44013</v>
      </c>
      <c r="C776">
        <v>2020</v>
      </c>
      <c r="D776" t="s">
        <v>14</v>
      </c>
      <c r="E776" t="s">
        <v>30</v>
      </c>
      <c r="F776" t="s">
        <v>40</v>
      </c>
      <c r="G776" t="s">
        <v>28</v>
      </c>
      <c r="H776">
        <v>732.13</v>
      </c>
    </row>
    <row r="777" spans="1:8" x14ac:dyDescent="0.3">
      <c r="A777">
        <v>202008</v>
      </c>
      <c r="B777" s="1">
        <v>44044</v>
      </c>
      <c r="C777">
        <v>2020</v>
      </c>
      <c r="D777" t="s">
        <v>15</v>
      </c>
      <c r="E777" t="s">
        <v>30</v>
      </c>
      <c r="F777" t="s">
        <v>40</v>
      </c>
      <c r="G777" t="s">
        <v>28</v>
      </c>
      <c r="H777">
        <v>839.6</v>
      </c>
    </row>
    <row r="778" spans="1:8" x14ac:dyDescent="0.3">
      <c r="A778">
        <v>202009</v>
      </c>
      <c r="B778" s="1">
        <v>44075</v>
      </c>
      <c r="C778">
        <v>2020</v>
      </c>
      <c r="D778" t="s">
        <v>16</v>
      </c>
      <c r="E778" t="s">
        <v>30</v>
      </c>
      <c r="F778" t="s">
        <v>40</v>
      </c>
      <c r="G778" t="s">
        <v>28</v>
      </c>
      <c r="H778">
        <v>1115.44</v>
      </c>
    </row>
    <row r="779" spans="1:8" x14ac:dyDescent="0.3">
      <c r="A779">
        <v>202010</v>
      </c>
      <c r="B779" s="1">
        <v>44105</v>
      </c>
      <c r="C779">
        <v>2020</v>
      </c>
      <c r="D779" t="s">
        <v>17</v>
      </c>
      <c r="E779" t="s">
        <v>30</v>
      </c>
      <c r="F779" t="s">
        <v>40</v>
      </c>
      <c r="G779" t="s">
        <v>28</v>
      </c>
      <c r="H779">
        <v>1213</v>
      </c>
    </row>
    <row r="780" spans="1:8" x14ac:dyDescent="0.3">
      <c r="A780">
        <v>202011</v>
      </c>
      <c r="B780" s="1">
        <v>44136</v>
      </c>
      <c r="C780">
        <v>2020</v>
      </c>
      <c r="D780" t="s">
        <v>18</v>
      </c>
      <c r="E780" t="s">
        <v>30</v>
      </c>
      <c r="F780" t="s">
        <v>40</v>
      </c>
      <c r="G780" t="s">
        <v>28</v>
      </c>
      <c r="H780">
        <v>1182.02</v>
      </c>
    </row>
    <row r="781" spans="1:8" x14ac:dyDescent="0.3">
      <c r="A781">
        <v>202012</v>
      </c>
      <c r="B781" s="1">
        <v>44166</v>
      </c>
      <c r="C781">
        <v>2020</v>
      </c>
      <c r="D781" t="s">
        <v>19</v>
      </c>
      <c r="E781" t="s">
        <v>30</v>
      </c>
      <c r="F781" t="s">
        <v>40</v>
      </c>
      <c r="G781" t="s">
        <v>28</v>
      </c>
      <c r="H781">
        <v>1322.36</v>
      </c>
    </row>
    <row r="782" spans="1:8" x14ac:dyDescent="0.3">
      <c r="A782">
        <v>202001</v>
      </c>
      <c r="B782" s="1">
        <v>43831</v>
      </c>
      <c r="C782">
        <v>2020</v>
      </c>
      <c r="D782" t="s">
        <v>6</v>
      </c>
      <c r="E782" t="s">
        <v>30</v>
      </c>
      <c r="F782" t="s">
        <v>40</v>
      </c>
      <c r="G782" t="s">
        <v>28</v>
      </c>
      <c r="H782">
        <v>1983.28</v>
      </c>
    </row>
    <row r="783" spans="1:8" x14ac:dyDescent="0.3">
      <c r="A783">
        <v>202002</v>
      </c>
      <c r="B783" s="1">
        <v>43862</v>
      </c>
      <c r="C783">
        <v>2020</v>
      </c>
      <c r="D783" t="s">
        <v>9</v>
      </c>
      <c r="E783" t="s">
        <v>30</v>
      </c>
      <c r="F783" t="s">
        <v>40</v>
      </c>
      <c r="G783" t="s">
        <v>28</v>
      </c>
      <c r="H783">
        <v>1196</v>
      </c>
    </row>
    <row r="784" spans="1:8" x14ac:dyDescent="0.3">
      <c r="A784">
        <v>202003</v>
      </c>
      <c r="B784" s="1">
        <v>43891</v>
      </c>
      <c r="C784">
        <v>2020</v>
      </c>
      <c r="D784" t="s">
        <v>10</v>
      </c>
      <c r="E784" t="s">
        <v>30</v>
      </c>
      <c r="F784" t="s">
        <v>40</v>
      </c>
      <c r="G784" t="s">
        <v>28</v>
      </c>
      <c r="H784">
        <v>982.9</v>
      </c>
    </row>
    <row r="785" spans="1:8" x14ac:dyDescent="0.3">
      <c r="A785">
        <v>202004</v>
      </c>
      <c r="B785" s="1">
        <v>43922</v>
      </c>
      <c r="C785">
        <v>2020</v>
      </c>
      <c r="D785" t="s">
        <v>11</v>
      </c>
      <c r="E785" t="s">
        <v>30</v>
      </c>
      <c r="F785" t="s">
        <v>40</v>
      </c>
      <c r="G785" t="s">
        <v>28</v>
      </c>
      <c r="H785">
        <v>630.37</v>
      </c>
    </row>
    <row r="786" spans="1:8" x14ac:dyDescent="0.3">
      <c r="A786">
        <v>202005</v>
      </c>
      <c r="B786" s="1">
        <v>43952</v>
      </c>
      <c r="C786">
        <v>2020</v>
      </c>
      <c r="D786" t="s">
        <v>12</v>
      </c>
      <c r="E786" t="s">
        <v>30</v>
      </c>
      <c r="F786" t="s">
        <v>40</v>
      </c>
      <c r="G786" t="s">
        <v>28</v>
      </c>
      <c r="H786">
        <v>518.29999999999995</v>
      </c>
    </row>
    <row r="787" spans="1:8" x14ac:dyDescent="0.3">
      <c r="A787">
        <v>202006</v>
      </c>
      <c r="B787" s="1">
        <v>43983</v>
      </c>
      <c r="C787">
        <v>2020</v>
      </c>
      <c r="D787" t="s">
        <v>13</v>
      </c>
      <c r="E787" t="s">
        <v>30</v>
      </c>
      <c r="F787" t="s">
        <v>40</v>
      </c>
      <c r="G787" t="s">
        <v>28</v>
      </c>
      <c r="H787">
        <v>2206.98</v>
      </c>
    </row>
    <row r="788" spans="1:8" x14ac:dyDescent="0.3">
      <c r="A788">
        <v>202007</v>
      </c>
      <c r="B788" s="1">
        <v>44013</v>
      </c>
      <c r="C788">
        <v>2020</v>
      </c>
      <c r="D788" t="s">
        <v>14</v>
      </c>
      <c r="E788" t="s">
        <v>30</v>
      </c>
      <c r="F788" t="s">
        <v>40</v>
      </c>
      <c r="G788" t="s">
        <v>28</v>
      </c>
      <c r="H788">
        <v>799.64</v>
      </c>
    </row>
    <row r="789" spans="1:8" x14ac:dyDescent="0.3">
      <c r="A789">
        <v>202008</v>
      </c>
      <c r="B789" s="1">
        <v>44044</v>
      </c>
      <c r="C789">
        <v>2020</v>
      </c>
      <c r="D789" t="s">
        <v>15</v>
      </c>
      <c r="E789" t="s">
        <v>30</v>
      </c>
      <c r="F789" t="s">
        <v>40</v>
      </c>
      <c r="G789" t="s">
        <v>28</v>
      </c>
      <c r="H789">
        <v>999.43</v>
      </c>
    </row>
    <row r="790" spans="1:8" x14ac:dyDescent="0.3">
      <c r="A790">
        <v>202009</v>
      </c>
      <c r="B790" s="1">
        <v>44075</v>
      </c>
      <c r="C790">
        <v>2020</v>
      </c>
      <c r="D790" t="s">
        <v>16</v>
      </c>
      <c r="E790" t="s">
        <v>30</v>
      </c>
      <c r="F790" t="s">
        <v>40</v>
      </c>
      <c r="G790" t="s">
        <v>28</v>
      </c>
      <c r="H790">
        <v>916.8</v>
      </c>
    </row>
    <row r="791" spans="1:8" x14ac:dyDescent="0.3">
      <c r="A791">
        <v>202010</v>
      </c>
      <c r="B791" s="1">
        <v>44105</v>
      </c>
      <c r="C791">
        <v>2020</v>
      </c>
      <c r="D791" t="s">
        <v>17</v>
      </c>
      <c r="E791" t="s">
        <v>30</v>
      </c>
      <c r="F791" t="s">
        <v>40</v>
      </c>
      <c r="G791" t="s">
        <v>28</v>
      </c>
      <c r="H791">
        <v>1204.02</v>
      </c>
    </row>
    <row r="792" spans="1:8" x14ac:dyDescent="0.3">
      <c r="A792">
        <v>202011</v>
      </c>
      <c r="B792" s="1">
        <v>44136</v>
      </c>
      <c r="C792">
        <v>2020</v>
      </c>
      <c r="D792" t="s">
        <v>18</v>
      </c>
      <c r="E792" t="s">
        <v>30</v>
      </c>
      <c r="F792" t="s">
        <v>40</v>
      </c>
      <c r="G792" t="s">
        <v>28</v>
      </c>
      <c r="H792">
        <v>1349.66</v>
      </c>
    </row>
    <row r="793" spans="1:8" x14ac:dyDescent="0.3">
      <c r="A793">
        <v>202012</v>
      </c>
      <c r="B793" s="1">
        <v>44166</v>
      </c>
      <c r="C793">
        <v>2020</v>
      </c>
      <c r="D793" t="s">
        <v>19</v>
      </c>
      <c r="E793" t="s">
        <v>30</v>
      </c>
      <c r="F793" t="s">
        <v>40</v>
      </c>
      <c r="G793" t="s">
        <v>28</v>
      </c>
      <c r="H793">
        <v>1085.8800000000001</v>
      </c>
    </row>
    <row r="794" spans="1:8" x14ac:dyDescent="0.3">
      <c r="A794">
        <v>202001</v>
      </c>
      <c r="B794" s="1">
        <v>43831</v>
      </c>
      <c r="C794">
        <v>2020</v>
      </c>
      <c r="D794" t="s">
        <v>6</v>
      </c>
      <c r="E794" t="s">
        <v>30</v>
      </c>
      <c r="F794" t="s">
        <v>40</v>
      </c>
      <c r="G794" t="s">
        <v>28</v>
      </c>
      <c r="H794">
        <v>3207.92</v>
      </c>
    </row>
    <row r="795" spans="1:8" x14ac:dyDescent="0.3">
      <c r="A795">
        <v>202002</v>
      </c>
      <c r="B795" s="1">
        <v>43862</v>
      </c>
      <c r="C795">
        <v>2020</v>
      </c>
      <c r="D795" t="s">
        <v>9</v>
      </c>
      <c r="E795" t="s">
        <v>30</v>
      </c>
      <c r="F795" t="s">
        <v>40</v>
      </c>
      <c r="G795" t="s">
        <v>28</v>
      </c>
      <c r="H795">
        <v>1885.22</v>
      </c>
    </row>
    <row r="796" spans="1:8" x14ac:dyDescent="0.3">
      <c r="A796">
        <v>202003</v>
      </c>
      <c r="B796" s="1">
        <v>43891</v>
      </c>
      <c r="C796">
        <v>2020</v>
      </c>
      <c r="D796" t="s">
        <v>10</v>
      </c>
      <c r="E796" t="s">
        <v>30</v>
      </c>
      <c r="F796" t="s">
        <v>40</v>
      </c>
      <c r="G796" t="s">
        <v>28</v>
      </c>
      <c r="H796">
        <v>1766.83</v>
      </c>
    </row>
    <row r="797" spans="1:8" x14ac:dyDescent="0.3">
      <c r="A797">
        <v>202004</v>
      </c>
      <c r="B797" s="1">
        <v>43922</v>
      </c>
      <c r="C797">
        <v>2020</v>
      </c>
      <c r="D797" t="s">
        <v>11</v>
      </c>
      <c r="E797" t="s">
        <v>30</v>
      </c>
      <c r="F797" t="s">
        <v>40</v>
      </c>
      <c r="G797" t="s">
        <v>28</v>
      </c>
      <c r="H797">
        <v>2156.59</v>
      </c>
    </row>
    <row r="798" spans="1:8" x14ac:dyDescent="0.3">
      <c r="A798">
        <v>202005</v>
      </c>
      <c r="B798" s="1">
        <v>43952</v>
      </c>
      <c r="C798">
        <v>2020</v>
      </c>
      <c r="D798" t="s">
        <v>12</v>
      </c>
      <c r="E798" t="s">
        <v>30</v>
      </c>
      <c r="F798" t="s">
        <v>40</v>
      </c>
      <c r="G798" t="s">
        <v>28</v>
      </c>
      <c r="H798">
        <v>1953.7</v>
      </c>
    </row>
    <row r="799" spans="1:8" x14ac:dyDescent="0.3">
      <c r="A799">
        <v>202006</v>
      </c>
      <c r="B799" s="1">
        <v>43983</v>
      </c>
      <c r="C799">
        <v>2020</v>
      </c>
      <c r="D799" t="s">
        <v>13</v>
      </c>
      <c r="E799" t="s">
        <v>30</v>
      </c>
      <c r="F799" t="s">
        <v>40</v>
      </c>
      <c r="G799" t="s">
        <v>28</v>
      </c>
      <c r="H799">
        <v>5227.12</v>
      </c>
    </row>
    <row r="800" spans="1:8" x14ac:dyDescent="0.3">
      <c r="A800">
        <v>202007</v>
      </c>
      <c r="B800" s="1">
        <v>44013</v>
      </c>
      <c r="C800">
        <v>2020</v>
      </c>
      <c r="D800" t="s">
        <v>14</v>
      </c>
      <c r="E800" t="s">
        <v>30</v>
      </c>
      <c r="F800" t="s">
        <v>40</v>
      </c>
      <c r="G800" t="s">
        <v>28</v>
      </c>
      <c r="H800">
        <v>1785</v>
      </c>
    </row>
    <row r="801" spans="1:8" x14ac:dyDescent="0.3">
      <c r="A801">
        <v>202008</v>
      </c>
      <c r="B801" s="1">
        <v>44044</v>
      </c>
      <c r="C801">
        <v>2020</v>
      </c>
      <c r="D801" t="s">
        <v>15</v>
      </c>
      <c r="E801" t="s">
        <v>30</v>
      </c>
      <c r="F801" t="s">
        <v>40</v>
      </c>
      <c r="G801" t="s">
        <v>28</v>
      </c>
      <c r="H801">
        <v>2622.91</v>
      </c>
    </row>
    <row r="802" spans="1:8" x14ac:dyDescent="0.3">
      <c r="A802">
        <v>202009</v>
      </c>
      <c r="B802" s="1">
        <v>44075</v>
      </c>
      <c r="C802">
        <v>2020</v>
      </c>
      <c r="D802" t="s">
        <v>16</v>
      </c>
      <c r="E802" t="s">
        <v>30</v>
      </c>
      <c r="F802" t="s">
        <v>40</v>
      </c>
      <c r="G802" t="s">
        <v>28</v>
      </c>
      <c r="H802">
        <v>1562.16</v>
      </c>
    </row>
    <row r="803" spans="1:8" x14ac:dyDescent="0.3">
      <c r="A803">
        <v>202010</v>
      </c>
      <c r="B803" s="1">
        <v>44105</v>
      </c>
      <c r="C803">
        <v>2020</v>
      </c>
      <c r="D803" t="s">
        <v>17</v>
      </c>
      <c r="E803" t="s">
        <v>30</v>
      </c>
      <c r="F803" t="s">
        <v>40</v>
      </c>
      <c r="G803" t="s">
        <v>28</v>
      </c>
      <c r="H803">
        <v>1995.34</v>
      </c>
    </row>
    <row r="804" spans="1:8" x14ac:dyDescent="0.3">
      <c r="A804">
        <v>202011</v>
      </c>
      <c r="B804" s="1">
        <v>44136</v>
      </c>
      <c r="C804">
        <v>2020</v>
      </c>
      <c r="D804" t="s">
        <v>18</v>
      </c>
      <c r="E804" t="s">
        <v>30</v>
      </c>
      <c r="F804" t="s">
        <v>40</v>
      </c>
      <c r="G804" t="s">
        <v>28</v>
      </c>
      <c r="H804">
        <v>3100.47</v>
      </c>
    </row>
    <row r="805" spans="1:8" x14ac:dyDescent="0.3">
      <c r="A805">
        <v>202012</v>
      </c>
      <c r="B805" s="1">
        <v>44166</v>
      </c>
      <c r="C805">
        <v>2020</v>
      </c>
      <c r="D805" t="s">
        <v>19</v>
      </c>
      <c r="E805" t="s">
        <v>30</v>
      </c>
      <c r="F805" t="s">
        <v>40</v>
      </c>
      <c r="G805" t="s">
        <v>28</v>
      </c>
      <c r="H805">
        <v>1897.85</v>
      </c>
    </row>
    <row r="806" spans="1:8" x14ac:dyDescent="0.3">
      <c r="A806">
        <v>202001</v>
      </c>
      <c r="B806" s="1">
        <v>43831</v>
      </c>
      <c r="C806">
        <v>2020</v>
      </c>
      <c r="D806" t="s">
        <v>6</v>
      </c>
      <c r="E806" t="s">
        <v>31</v>
      </c>
      <c r="F806" t="s">
        <v>40</v>
      </c>
      <c r="G806" t="s">
        <v>28</v>
      </c>
      <c r="H806">
        <v>48.96</v>
      </c>
    </row>
    <row r="807" spans="1:8" x14ac:dyDescent="0.3">
      <c r="A807">
        <v>202002</v>
      </c>
      <c r="B807" s="1">
        <v>43862</v>
      </c>
      <c r="C807">
        <v>2020</v>
      </c>
      <c r="D807" t="s">
        <v>9</v>
      </c>
      <c r="E807" t="s">
        <v>31</v>
      </c>
      <c r="F807" t="s">
        <v>40</v>
      </c>
      <c r="G807" t="s">
        <v>28</v>
      </c>
      <c r="H807">
        <v>33.31</v>
      </c>
    </row>
    <row r="808" spans="1:8" x14ac:dyDescent="0.3">
      <c r="A808">
        <v>202003</v>
      </c>
      <c r="B808" s="1">
        <v>43891</v>
      </c>
      <c r="C808">
        <v>2020</v>
      </c>
      <c r="D808" t="s">
        <v>10</v>
      </c>
      <c r="E808" t="s">
        <v>31</v>
      </c>
      <c r="F808" t="s">
        <v>40</v>
      </c>
      <c r="G808" t="s">
        <v>28</v>
      </c>
      <c r="H808">
        <v>34.78</v>
      </c>
    </row>
    <row r="809" spans="1:8" x14ac:dyDescent="0.3">
      <c r="A809">
        <v>202004</v>
      </c>
      <c r="B809" s="1">
        <v>43922</v>
      </c>
      <c r="C809">
        <v>2020</v>
      </c>
      <c r="D809" t="s">
        <v>11</v>
      </c>
      <c r="E809" t="s">
        <v>31</v>
      </c>
      <c r="F809" t="s">
        <v>40</v>
      </c>
      <c r="G809" t="s">
        <v>28</v>
      </c>
      <c r="H809">
        <v>34.869999999999997</v>
      </c>
    </row>
    <row r="810" spans="1:8" x14ac:dyDescent="0.3">
      <c r="A810">
        <v>202005</v>
      </c>
      <c r="B810" s="1">
        <v>43952</v>
      </c>
      <c r="C810">
        <v>2020</v>
      </c>
      <c r="D810" t="s">
        <v>12</v>
      </c>
      <c r="E810" t="s">
        <v>31</v>
      </c>
      <c r="F810" t="s">
        <v>40</v>
      </c>
      <c r="G810" t="s">
        <v>28</v>
      </c>
      <c r="H810">
        <v>43.53</v>
      </c>
    </row>
    <row r="811" spans="1:8" x14ac:dyDescent="0.3">
      <c r="A811">
        <v>202006</v>
      </c>
      <c r="B811" s="1">
        <v>43983</v>
      </c>
      <c r="C811">
        <v>2020</v>
      </c>
      <c r="D811" t="s">
        <v>13</v>
      </c>
      <c r="E811" t="s">
        <v>31</v>
      </c>
      <c r="F811" t="s">
        <v>40</v>
      </c>
      <c r="G811" t="s">
        <v>28</v>
      </c>
      <c r="H811">
        <v>57.7</v>
      </c>
    </row>
    <row r="812" spans="1:8" x14ac:dyDescent="0.3">
      <c r="A812">
        <v>202007</v>
      </c>
      <c r="B812" s="1">
        <v>44013</v>
      </c>
      <c r="C812">
        <v>2020</v>
      </c>
      <c r="D812" t="s">
        <v>14</v>
      </c>
      <c r="E812" t="s">
        <v>31</v>
      </c>
      <c r="F812" t="s">
        <v>40</v>
      </c>
      <c r="G812" t="s">
        <v>28</v>
      </c>
      <c r="H812">
        <v>50.34</v>
      </c>
    </row>
    <row r="813" spans="1:8" x14ac:dyDescent="0.3">
      <c r="A813">
        <v>202008</v>
      </c>
      <c r="B813" s="1">
        <v>44044</v>
      </c>
      <c r="C813">
        <v>2020</v>
      </c>
      <c r="D813" t="s">
        <v>15</v>
      </c>
      <c r="E813" t="s">
        <v>31</v>
      </c>
      <c r="F813" t="s">
        <v>40</v>
      </c>
      <c r="G813" t="s">
        <v>28</v>
      </c>
      <c r="H813">
        <v>44.12</v>
      </c>
    </row>
    <row r="814" spans="1:8" x14ac:dyDescent="0.3">
      <c r="A814">
        <v>202009</v>
      </c>
      <c r="B814" s="1">
        <v>44075</v>
      </c>
      <c r="C814">
        <v>2020</v>
      </c>
      <c r="D814" t="s">
        <v>16</v>
      </c>
      <c r="E814" t="s">
        <v>31</v>
      </c>
      <c r="F814" t="s">
        <v>40</v>
      </c>
      <c r="G814" t="s">
        <v>28</v>
      </c>
      <c r="H814">
        <v>50.55</v>
      </c>
    </row>
    <row r="815" spans="1:8" x14ac:dyDescent="0.3">
      <c r="A815">
        <v>202010</v>
      </c>
      <c r="B815" s="1">
        <v>44105</v>
      </c>
      <c r="C815">
        <v>2020</v>
      </c>
      <c r="D815" t="s">
        <v>17</v>
      </c>
      <c r="E815" t="s">
        <v>31</v>
      </c>
      <c r="F815" t="s">
        <v>40</v>
      </c>
      <c r="G815" t="s">
        <v>28</v>
      </c>
      <c r="H815">
        <v>44.25</v>
      </c>
    </row>
    <row r="816" spans="1:8" x14ac:dyDescent="0.3">
      <c r="A816">
        <v>202011</v>
      </c>
      <c r="B816" s="1">
        <v>44136</v>
      </c>
      <c r="C816">
        <v>2020</v>
      </c>
      <c r="D816" t="s">
        <v>18</v>
      </c>
      <c r="E816" t="s">
        <v>31</v>
      </c>
      <c r="F816" t="s">
        <v>40</v>
      </c>
      <c r="G816" t="s">
        <v>28</v>
      </c>
      <c r="H816">
        <v>55.89</v>
      </c>
    </row>
    <row r="817" spans="1:8" x14ac:dyDescent="0.3">
      <c r="A817">
        <v>202012</v>
      </c>
      <c r="B817" s="1">
        <v>44166</v>
      </c>
      <c r="C817">
        <v>2020</v>
      </c>
      <c r="D817" t="s">
        <v>19</v>
      </c>
      <c r="E817" t="s">
        <v>31</v>
      </c>
      <c r="F817" t="s">
        <v>40</v>
      </c>
      <c r="G817" t="s">
        <v>28</v>
      </c>
      <c r="H817">
        <v>49.21</v>
      </c>
    </row>
    <row r="818" spans="1:8" x14ac:dyDescent="0.3">
      <c r="A818">
        <v>202001</v>
      </c>
      <c r="B818" s="1">
        <v>43831</v>
      </c>
      <c r="C818">
        <v>2020</v>
      </c>
      <c r="D818" t="s">
        <v>6</v>
      </c>
      <c r="E818" t="s">
        <v>31</v>
      </c>
      <c r="F818" t="s">
        <v>40</v>
      </c>
      <c r="G818" t="s">
        <v>28</v>
      </c>
      <c r="H818">
        <v>147.12</v>
      </c>
    </row>
    <row r="819" spans="1:8" x14ac:dyDescent="0.3">
      <c r="A819">
        <v>202002</v>
      </c>
      <c r="B819" s="1">
        <v>43862</v>
      </c>
      <c r="C819">
        <v>2020</v>
      </c>
      <c r="D819" t="s">
        <v>9</v>
      </c>
      <c r="E819" t="s">
        <v>31</v>
      </c>
      <c r="F819" t="s">
        <v>40</v>
      </c>
      <c r="G819" t="s">
        <v>28</v>
      </c>
      <c r="H819">
        <v>116.06</v>
      </c>
    </row>
    <row r="820" spans="1:8" x14ac:dyDescent="0.3">
      <c r="A820">
        <v>202003</v>
      </c>
      <c r="B820" s="1">
        <v>43891</v>
      </c>
      <c r="C820">
        <v>2020</v>
      </c>
      <c r="D820" t="s">
        <v>10</v>
      </c>
      <c r="E820" t="s">
        <v>31</v>
      </c>
      <c r="F820" t="s">
        <v>40</v>
      </c>
      <c r="G820" t="s">
        <v>28</v>
      </c>
      <c r="H820">
        <v>94.13</v>
      </c>
    </row>
    <row r="821" spans="1:8" x14ac:dyDescent="0.3">
      <c r="A821">
        <v>202004</v>
      </c>
      <c r="B821" s="1">
        <v>43922</v>
      </c>
      <c r="C821">
        <v>2020</v>
      </c>
      <c r="D821" t="s">
        <v>11</v>
      </c>
      <c r="E821" t="s">
        <v>31</v>
      </c>
      <c r="F821" t="s">
        <v>40</v>
      </c>
      <c r="G821" t="s">
        <v>28</v>
      </c>
      <c r="H821">
        <v>81.489999999999995</v>
      </c>
    </row>
    <row r="822" spans="1:8" x14ac:dyDescent="0.3">
      <c r="A822">
        <v>202005</v>
      </c>
      <c r="B822" s="1">
        <v>43952</v>
      </c>
      <c r="C822">
        <v>2020</v>
      </c>
      <c r="D822" t="s">
        <v>12</v>
      </c>
      <c r="E822" t="s">
        <v>31</v>
      </c>
      <c r="F822" t="s">
        <v>40</v>
      </c>
      <c r="G822" t="s">
        <v>28</v>
      </c>
      <c r="H822">
        <v>93.4</v>
      </c>
    </row>
    <row r="823" spans="1:8" x14ac:dyDescent="0.3">
      <c r="A823">
        <v>202006</v>
      </c>
      <c r="B823" s="1">
        <v>43983</v>
      </c>
      <c r="C823">
        <v>2020</v>
      </c>
      <c r="D823" t="s">
        <v>13</v>
      </c>
      <c r="E823" t="s">
        <v>31</v>
      </c>
      <c r="F823" t="s">
        <v>40</v>
      </c>
      <c r="G823" t="s">
        <v>28</v>
      </c>
      <c r="H823">
        <v>192.43</v>
      </c>
    </row>
    <row r="824" spans="1:8" x14ac:dyDescent="0.3">
      <c r="A824">
        <v>202007</v>
      </c>
      <c r="B824" s="1">
        <v>44013</v>
      </c>
      <c r="C824">
        <v>2020</v>
      </c>
      <c r="D824" t="s">
        <v>14</v>
      </c>
      <c r="E824" t="s">
        <v>31</v>
      </c>
      <c r="F824" t="s">
        <v>40</v>
      </c>
      <c r="G824" t="s">
        <v>28</v>
      </c>
      <c r="H824">
        <v>114.06</v>
      </c>
    </row>
    <row r="825" spans="1:8" x14ac:dyDescent="0.3">
      <c r="A825">
        <v>202008</v>
      </c>
      <c r="B825" s="1">
        <v>44044</v>
      </c>
      <c r="C825">
        <v>2020</v>
      </c>
      <c r="D825" t="s">
        <v>15</v>
      </c>
      <c r="E825" t="s">
        <v>31</v>
      </c>
      <c r="F825" t="s">
        <v>40</v>
      </c>
      <c r="G825" t="s">
        <v>28</v>
      </c>
      <c r="H825">
        <v>108.69</v>
      </c>
    </row>
    <row r="826" spans="1:8" x14ac:dyDescent="0.3">
      <c r="A826">
        <v>202009</v>
      </c>
      <c r="B826" s="1">
        <v>44075</v>
      </c>
      <c r="C826">
        <v>2020</v>
      </c>
      <c r="D826" t="s">
        <v>16</v>
      </c>
      <c r="E826" t="s">
        <v>31</v>
      </c>
      <c r="F826" t="s">
        <v>40</v>
      </c>
      <c r="G826" t="s">
        <v>28</v>
      </c>
      <c r="H826">
        <v>92.05</v>
      </c>
    </row>
    <row r="827" spans="1:8" x14ac:dyDescent="0.3">
      <c r="A827">
        <v>202010</v>
      </c>
      <c r="B827" s="1">
        <v>44105</v>
      </c>
      <c r="C827">
        <v>2020</v>
      </c>
      <c r="D827" t="s">
        <v>17</v>
      </c>
      <c r="E827" t="s">
        <v>31</v>
      </c>
      <c r="F827" t="s">
        <v>40</v>
      </c>
      <c r="G827" t="s">
        <v>28</v>
      </c>
      <c r="H827">
        <v>141.47</v>
      </c>
    </row>
    <row r="828" spans="1:8" x14ac:dyDescent="0.3">
      <c r="A828">
        <v>202011</v>
      </c>
      <c r="B828" s="1">
        <v>44136</v>
      </c>
      <c r="C828">
        <v>2020</v>
      </c>
      <c r="D828" t="s">
        <v>18</v>
      </c>
      <c r="E828" t="s">
        <v>31</v>
      </c>
      <c r="F828" t="s">
        <v>40</v>
      </c>
      <c r="G828" t="s">
        <v>28</v>
      </c>
      <c r="H828">
        <v>129.41</v>
      </c>
    </row>
    <row r="829" spans="1:8" x14ac:dyDescent="0.3">
      <c r="A829">
        <v>202012</v>
      </c>
      <c r="B829" s="1">
        <v>44166</v>
      </c>
      <c r="C829">
        <v>2020</v>
      </c>
      <c r="D829" t="s">
        <v>19</v>
      </c>
      <c r="E829" t="s">
        <v>31</v>
      </c>
      <c r="F829" t="s">
        <v>40</v>
      </c>
      <c r="G829" t="s">
        <v>28</v>
      </c>
      <c r="H829">
        <v>122.15</v>
      </c>
    </row>
    <row r="830" spans="1:8" x14ac:dyDescent="0.3">
      <c r="A830">
        <v>202001</v>
      </c>
      <c r="B830" s="1">
        <v>43831</v>
      </c>
      <c r="C830">
        <v>2020</v>
      </c>
      <c r="D830" t="s">
        <v>6</v>
      </c>
      <c r="E830" t="s">
        <v>31</v>
      </c>
      <c r="F830" t="s">
        <v>40</v>
      </c>
      <c r="G830" t="s">
        <v>28</v>
      </c>
      <c r="H830">
        <v>57.28</v>
      </c>
    </row>
    <row r="831" spans="1:8" x14ac:dyDescent="0.3">
      <c r="A831">
        <v>202002</v>
      </c>
      <c r="B831" s="1">
        <v>43862</v>
      </c>
      <c r="C831">
        <v>2020</v>
      </c>
      <c r="D831" t="s">
        <v>9</v>
      </c>
      <c r="E831" t="s">
        <v>31</v>
      </c>
      <c r="F831" t="s">
        <v>40</v>
      </c>
      <c r="G831" t="s">
        <v>28</v>
      </c>
      <c r="H831">
        <v>52.75</v>
      </c>
    </row>
    <row r="832" spans="1:8" x14ac:dyDescent="0.3">
      <c r="A832">
        <v>202003</v>
      </c>
      <c r="B832" s="1">
        <v>43891</v>
      </c>
      <c r="C832">
        <v>2020</v>
      </c>
      <c r="D832" t="s">
        <v>10</v>
      </c>
      <c r="E832" t="s">
        <v>31</v>
      </c>
      <c r="F832" t="s">
        <v>40</v>
      </c>
      <c r="G832" t="s">
        <v>28</v>
      </c>
      <c r="H832">
        <v>40.57</v>
      </c>
    </row>
    <row r="833" spans="1:8" x14ac:dyDescent="0.3">
      <c r="A833">
        <v>202004</v>
      </c>
      <c r="B833" s="1">
        <v>43922</v>
      </c>
      <c r="C833">
        <v>2020</v>
      </c>
      <c r="D833" t="s">
        <v>11</v>
      </c>
      <c r="E833" t="s">
        <v>31</v>
      </c>
      <c r="F833" t="s">
        <v>40</v>
      </c>
      <c r="G833" t="s">
        <v>28</v>
      </c>
      <c r="H833">
        <v>46.86</v>
      </c>
    </row>
    <row r="834" spans="1:8" x14ac:dyDescent="0.3">
      <c r="A834">
        <v>202005</v>
      </c>
      <c r="B834" s="1">
        <v>43952</v>
      </c>
      <c r="C834">
        <v>2020</v>
      </c>
      <c r="D834" t="s">
        <v>12</v>
      </c>
      <c r="E834" t="s">
        <v>31</v>
      </c>
      <c r="F834" t="s">
        <v>40</v>
      </c>
      <c r="G834" t="s">
        <v>28</v>
      </c>
      <c r="H834">
        <v>41.66</v>
      </c>
    </row>
    <row r="835" spans="1:8" x14ac:dyDescent="0.3">
      <c r="A835">
        <v>202006</v>
      </c>
      <c r="B835" s="1">
        <v>43983</v>
      </c>
      <c r="C835">
        <v>2020</v>
      </c>
      <c r="D835" t="s">
        <v>13</v>
      </c>
      <c r="E835" t="s">
        <v>31</v>
      </c>
      <c r="F835" t="s">
        <v>40</v>
      </c>
      <c r="G835" t="s">
        <v>28</v>
      </c>
      <c r="H835">
        <v>60.3</v>
      </c>
    </row>
    <row r="836" spans="1:8" x14ac:dyDescent="0.3">
      <c r="A836">
        <v>202007</v>
      </c>
      <c r="B836" s="1">
        <v>44013</v>
      </c>
      <c r="C836">
        <v>2020</v>
      </c>
      <c r="D836" t="s">
        <v>14</v>
      </c>
      <c r="E836" t="s">
        <v>31</v>
      </c>
      <c r="F836" t="s">
        <v>40</v>
      </c>
      <c r="G836" t="s">
        <v>28</v>
      </c>
      <c r="H836">
        <v>46.01</v>
      </c>
    </row>
    <row r="837" spans="1:8" x14ac:dyDescent="0.3">
      <c r="A837">
        <v>202008</v>
      </c>
      <c r="B837" s="1">
        <v>44044</v>
      </c>
      <c r="C837">
        <v>2020</v>
      </c>
      <c r="D837" t="s">
        <v>15</v>
      </c>
      <c r="E837" t="s">
        <v>31</v>
      </c>
      <c r="F837" t="s">
        <v>40</v>
      </c>
      <c r="G837" t="s">
        <v>28</v>
      </c>
      <c r="H837">
        <v>57.52</v>
      </c>
    </row>
    <row r="838" spans="1:8" x14ac:dyDescent="0.3">
      <c r="A838">
        <v>202009</v>
      </c>
      <c r="B838" s="1">
        <v>44075</v>
      </c>
      <c r="C838">
        <v>2020</v>
      </c>
      <c r="D838" t="s">
        <v>16</v>
      </c>
      <c r="E838" t="s">
        <v>31</v>
      </c>
      <c r="F838" t="s">
        <v>40</v>
      </c>
      <c r="G838" t="s">
        <v>28</v>
      </c>
      <c r="H838">
        <v>43.87</v>
      </c>
    </row>
    <row r="839" spans="1:8" x14ac:dyDescent="0.3">
      <c r="A839">
        <v>202010</v>
      </c>
      <c r="B839" s="1">
        <v>44105</v>
      </c>
      <c r="C839">
        <v>2020</v>
      </c>
      <c r="D839" t="s">
        <v>17</v>
      </c>
      <c r="E839" t="s">
        <v>31</v>
      </c>
      <c r="F839" t="s">
        <v>40</v>
      </c>
      <c r="G839" t="s">
        <v>28</v>
      </c>
      <c r="H839">
        <v>54.75</v>
      </c>
    </row>
    <row r="840" spans="1:8" x14ac:dyDescent="0.3">
      <c r="A840">
        <v>202011</v>
      </c>
      <c r="B840" s="1">
        <v>44136</v>
      </c>
      <c r="C840">
        <v>2020</v>
      </c>
      <c r="D840" t="s">
        <v>18</v>
      </c>
      <c r="E840" t="s">
        <v>31</v>
      </c>
      <c r="F840" t="s">
        <v>40</v>
      </c>
      <c r="G840" t="s">
        <v>28</v>
      </c>
      <c r="H840">
        <v>46.27</v>
      </c>
    </row>
    <row r="841" spans="1:8" x14ac:dyDescent="0.3">
      <c r="A841">
        <v>202012</v>
      </c>
      <c r="B841" s="1">
        <v>44166</v>
      </c>
      <c r="C841">
        <v>2020</v>
      </c>
      <c r="D841" t="s">
        <v>19</v>
      </c>
      <c r="E841" t="s">
        <v>31</v>
      </c>
      <c r="F841" t="s">
        <v>40</v>
      </c>
      <c r="G841" t="s">
        <v>28</v>
      </c>
      <c r="H841">
        <v>55.69</v>
      </c>
    </row>
    <row r="842" spans="1:8" x14ac:dyDescent="0.3">
      <c r="A842">
        <v>202001</v>
      </c>
      <c r="B842" s="1">
        <v>43831</v>
      </c>
      <c r="C842">
        <v>2020</v>
      </c>
      <c r="D842" t="s">
        <v>6</v>
      </c>
      <c r="E842" t="s">
        <v>31</v>
      </c>
      <c r="F842" t="s">
        <v>40</v>
      </c>
      <c r="G842" t="s">
        <v>28</v>
      </c>
      <c r="H842">
        <v>95.07</v>
      </c>
    </row>
    <row r="843" spans="1:8" x14ac:dyDescent="0.3">
      <c r="A843">
        <v>202002</v>
      </c>
      <c r="B843" s="1">
        <v>43862</v>
      </c>
      <c r="C843">
        <v>2020</v>
      </c>
      <c r="D843" t="s">
        <v>9</v>
      </c>
      <c r="E843" t="s">
        <v>31</v>
      </c>
      <c r="F843" t="s">
        <v>40</v>
      </c>
      <c r="G843" t="s">
        <v>28</v>
      </c>
      <c r="H843">
        <v>61.66</v>
      </c>
    </row>
    <row r="844" spans="1:8" x14ac:dyDescent="0.3">
      <c r="A844">
        <v>202003</v>
      </c>
      <c r="B844" s="1">
        <v>43891</v>
      </c>
      <c r="C844">
        <v>2020</v>
      </c>
      <c r="D844" t="s">
        <v>10</v>
      </c>
      <c r="E844" t="s">
        <v>31</v>
      </c>
      <c r="F844" t="s">
        <v>40</v>
      </c>
      <c r="G844" t="s">
        <v>28</v>
      </c>
      <c r="H844">
        <v>59.77</v>
      </c>
    </row>
    <row r="845" spans="1:8" x14ac:dyDescent="0.3">
      <c r="A845">
        <v>202004</v>
      </c>
      <c r="B845" s="1">
        <v>43922</v>
      </c>
      <c r="C845">
        <v>2020</v>
      </c>
      <c r="D845" t="s">
        <v>11</v>
      </c>
      <c r="E845" t="s">
        <v>31</v>
      </c>
      <c r="F845" t="s">
        <v>40</v>
      </c>
      <c r="G845" t="s">
        <v>28</v>
      </c>
      <c r="H845">
        <v>47.22</v>
      </c>
    </row>
    <row r="846" spans="1:8" x14ac:dyDescent="0.3">
      <c r="A846">
        <v>202005</v>
      </c>
      <c r="B846" s="1">
        <v>43952</v>
      </c>
      <c r="C846">
        <v>2020</v>
      </c>
      <c r="D846" t="s">
        <v>12</v>
      </c>
      <c r="E846" t="s">
        <v>31</v>
      </c>
      <c r="F846" t="s">
        <v>40</v>
      </c>
      <c r="G846" t="s">
        <v>28</v>
      </c>
      <c r="H846">
        <v>52.8</v>
      </c>
    </row>
    <row r="847" spans="1:8" x14ac:dyDescent="0.3">
      <c r="A847">
        <v>202006</v>
      </c>
      <c r="B847" s="1">
        <v>43983</v>
      </c>
      <c r="C847">
        <v>2020</v>
      </c>
      <c r="D847" t="s">
        <v>13</v>
      </c>
      <c r="E847" t="s">
        <v>31</v>
      </c>
      <c r="F847" t="s">
        <v>40</v>
      </c>
      <c r="G847" t="s">
        <v>28</v>
      </c>
      <c r="H847">
        <v>111.18</v>
      </c>
    </row>
    <row r="848" spans="1:8" x14ac:dyDescent="0.3">
      <c r="A848">
        <v>202007</v>
      </c>
      <c r="B848" s="1">
        <v>44013</v>
      </c>
      <c r="C848">
        <v>2020</v>
      </c>
      <c r="D848" t="s">
        <v>14</v>
      </c>
      <c r="E848" t="s">
        <v>31</v>
      </c>
      <c r="F848" t="s">
        <v>40</v>
      </c>
      <c r="G848" t="s">
        <v>28</v>
      </c>
      <c r="H848">
        <v>81.239999999999995</v>
      </c>
    </row>
    <row r="849" spans="1:8" x14ac:dyDescent="0.3">
      <c r="A849">
        <v>202008</v>
      </c>
      <c r="B849" s="1">
        <v>44044</v>
      </c>
      <c r="C849">
        <v>2020</v>
      </c>
      <c r="D849" t="s">
        <v>15</v>
      </c>
      <c r="E849" t="s">
        <v>31</v>
      </c>
      <c r="F849" t="s">
        <v>40</v>
      </c>
      <c r="G849" t="s">
        <v>28</v>
      </c>
      <c r="H849">
        <v>61.56</v>
      </c>
    </row>
    <row r="850" spans="1:8" x14ac:dyDescent="0.3">
      <c r="A850">
        <v>202009</v>
      </c>
      <c r="B850" s="1">
        <v>44075</v>
      </c>
      <c r="C850">
        <v>2020</v>
      </c>
      <c r="D850" t="s">
        <v>16</v>
      </c>
      <c r="E850" t="s">
        <v>31</v>
      </c>
      <c r="F850" t="s">
        <v>40</v>
      </c>
      <c r="G850" t="s">
        <v>28</v>
      </c>
      <c r="H850">
        <v>62.05</v>
      </c>
    </row>
    <row r="851" spans="1:8" x14ac:dyDescent="0.3">
      <c r="A851">
        <v>202010</v>
      </c>
      <c r="B851" s="1">
        <v>44105</v>
      </c>
      <c r="C851">
        <v>2020</v>
      </c>
      <c r="D851" t="s">
        <v>17</v>
      </c>
      <c r="E851" t="s">
        <v>31</v>
      </c>
      <c r="F851" t="s">
        <v>40</v>
      </c>
      <c r="G851" t="s">
        <v>28</v>
      </c>
      <c r="H851">
        <v>75.59</v>
      </c>
    </row>
    <row r="852" spans="1:8" x14ac:dyDescent="0.3">
      <c r="A852">
        <v>202011</v>
      </c>
      <c r="B852" s="1">
        <v>44136</v>
      </c>
      <c r="C852">
        <v>2020</v>
      </c>
      <c r="D852" t="s">
        <v>18</v>
      </c>
      <c r="E852" t="s">
        <v>31</v>
      </c>
      <c r="F852" t="s">
        <v>40</v>
      </c>
      <c r="G852" t="s">
        <v>28</v>
      </c>
      <c r="H852">
        <v>78.72</v>
      </c>
    </row>
    <row r="853" spans="1:8" x14ac:dyDescent="0.3">
      <c r="A853">
        <v>202012</v>
      </c>
      <c r="B853" s="1">
        <v>44166</v>
      </c>
      <c r="C853">
        <v>2020</v>
      </c>
      <c r="D853" t="s">
        <v>19</v>
      </c>
      <c r="E853" t="s">
        <v>31</v>
      </c>
      <c r="F853" t="s">
        <v>40</v>
      </c>
      <c r="G853" t="s">
        <v>28</v>
      </c>
      <c r="H853">
        <v>84.8</v>
      </c>
    </row>
    <row r="854" spans="1:8" x14ac:dyDescent="0.3">
      <c r="A854">
        <v>202001</v>
      </c>
      <c r="B854" s="1">
        <v>43831</v>
      </c>
      <c r="C854">
        <v>2020</v>
      </c>
      <c r="D854" t="s">
        <v>6</v>
      </c>
      <c r="E854" t="s">
        <v>31</v>
      </c>
      <c r="F854" t="s">
        <v>40</v>
      </c>
      <c r="G854" t="s">
        <v>28</v>
      </c>
      <c r="H854">
        <v>63.06</v>
      </c>
    </row>
    <row r="855" spans="1:8" x14ac:dyDescent="0.3">
      <c r="A855">
        <v>202002</v>
      </c>
      <c r="B855" s="1">
        <v>43862</v>
      </c>
      <c r="C855">
        <v>2020</v>
      </c>
      <c r="D855" t="s">
        <v>9</v>
      </c>
      <c r="E855" t="s">
        <v>31</v>
      </c>
      <c r="F855" t="s">
        <v>40</v>
      </c>
      <c r="G855" t="s">
        <v>28</v>
      </c>
      <c r="H855">
        <v>36.64</v>
      </c>
    </row>
    <row r="856" spans="1:8" x14ac:dyDescent="0.3">
      <c r="A856">
        <v>202003</v>
      </c>
      <c r="B856" s="1">
        <v>43891</v>
      </c>
      <c r="C856">
        <v>2020</v>
      </c>
      <c r="D856" t="s">
        <v>10</v>
      </c>
      <c r="E856" t="s">
        <v>31</v>
      </c>
      <c r="F856" t="s">
        <v>40</v>
      </c>
      <c r="G856" t="s">
        <v>28</v>
      </c>
      <c r="H856">
        <v>28.24</v>
      </c>
    </row>
    <row r="857" spans="1:8" x14ac:dyDescent="0.3">
      <c r="A857">
        <v>202004</v>
      </c>
      <c r="B857" s="1">
        <v>43922</v>
      </c>
      <c r="C857">
        <v>2020</v>
      </c>
      <c r="D857" t="s">
        <v>11</v>
      </c>
      <c r="E857" t="s">
        <v>31</v>
      </c>
      <c r="F857" t="s">
        <v>40</v>
      </c>
      <c r="G857" t="s">
        <v>28</v>
      </c>
      <c r="H857">
        <v>43.65</v>
      </c>
    </row>
    <row r="858" spans="1:8" x14ac:dyDescent="0.3">
      <c r="A858">
        <v>202005</v>
      </c>
      <c r="B858" s="1">
        <v>43952</v>
      </c>
      <c r="C858">
        <v>2020</v>
      </c>
      <c r="D858" t="s">
        <v>12</v>
      </c>
      <c r="E858" t="s">
        <v>31</v>
      </c>
      <c r="F858" t="s">
        <v>40</v>
      </c>
      <c r="G858" t="s">
        <v>28</v>
      </c>
      <c r="H858">
        <v>44.19</v>
      </c>
    </row>
    <row r="859" spans="1:8" x14ac:dyDescent="0.3">
      <c r="A859">
        <v>202006</v>
      </c>
      <c r="B859" s="1">
        <v>43983</v>
      </c>
      <c r="C859">
        <v>2020</v>
      </c>
      <c r="D859" t="s">
        <v>13</v>
      </c>
      <c r="E859" t="s">
        <v>31</v>
      </c>
      <c r="F859" t="s">
        <v>40</v>
      </c>
      <c r="G859" t="s">
        <v>28</v>
      </c>
      <c r="H859">
        <v>55.29</v>
      </c>
    </row>
    <row r="860" spans="1:8" x14ac:dyDescent="0.3">
      <c r="A860">
        <v>202007</v>
      </c>
      <c r="B860" s="1">
        <v>44013</v>
      </c>
      <c r="C860">
        <v>2020</v>
      </c>
      <c r="D860" t="s">
        <v>14</v>
      </c>
      <c r="E860" t="s">
        <v>31</v>
      </c>
      <c r="F860" t="s">
        <v>40</v>
      </c>
      <c r="G860" t="s">
        <v>28</v>
      </c>
      <c r="H860">
        <v>51.38</v>
      </c>
    </row>
    <row r="861" spans="1:8" x14ac:dyDescent="0.3">
      <c r="A861">
        <v>202008</v>
      </c>
      <c r="B861" s="1">
        <v>44044</v>
      </c>
      <c r="C861">
        <v>2020</v>
      </c>
      <c r="D861" t="s">
        <v>15</v>
      </c>
      <c r="E861" t="s">
        <v>31</v>
      </c>
      <c r="F861" t="s">
        <v>40</v>
      </c>
      <c r="G861" t="s">
        <v>28</v>
      </c>
      <c r="H861">
        <v>52.79</v>
      </c>
    </row>
    <row r="862" spans="1:8" x14ac:dyDescent="0.3">
      <c r="A862">
        <v>202009</v>
      </c>
      <c r="B862" s="1">
        <v>44075</v>
      </c>
      <c r="C862">
        <v>2020</v>
      </c>
      <c r="D862" t="s">
        <v>16</v>
      </c>
      <c r="E862" t="s">
        <v>31</v>
      </c>
      <c r="F862" t="s">
        <v>40</v>
      </c>
      <c r="G862" t="s">
        <v>28</v>
      </c>
      <c r="H862">
        <v>42.38</v>
      </c>
    </row>
    <row r="863" spans="1:8" x14ac:dyDescent="0.3">
      <c r="A863">
        <v>202010</v>
      </c>
      <c r="B863" s="1">
        <v>44105</v>
      </c>
      <c r="C863">
        <v>2020</v>
      </c>
      <c r="D863" t="s">
        <v>17</v>
      </c>
      <c r="E863" t="s">
        <v>31</v>
      </c>
      <c r="F863" t="s">
        <v>40</v>
      </c>
      <c r="G863" t="s">
        <v>28</v>
      </c>
      <c r="H863">
        <v>56.9</v>
      </c>
    </row>
    <row r="864" spans="1:8" x14ac:dyDescent="0.3">
      <c r="A864">
        <v>202011</v>
      </c>
      <c r="B864" s="1">
        <v>44136</v>
      </c>
      <c r="C864">
        <v>2020</v>
      </c>
      <c r="D864" t="s">
        <v>18</v>
      </c>
      <c r="E864" t="s">
        <v>31</v>
      </c>
      <c r="F864" t="s">
        <v>40</v>
      </c>
      <c r="G864" t="s">
        <v>28</v>
      </c>
      <c r="H864">
        <v>48.75</v>
      </c>
    </row>
    <row r="865" spans="1:8" x14ac:dyDescent="0.3">
      <c r="A865">
        <v>202012</v>
      </c>
      <c r="B865" s="1">
        <v>44166</v>
      </c>
      <c r="C865">
        <v>2020</v>
      </c>
      <c r="D865" t="s">
        <v>19</v>
      </c>
      <c r="E865" t="s">
        <v>31</v>
      </c>
      <c r="F865" t="s">
        <v>40</v>
      </c>
      <c r="G865" t="s">
        <v>28</v>
      </c>
      <c r="H865">
        <v>38.869999999999997</v>
      </c>
    </row>
    <row r="866" spans="1:8" x14ac:dyDescent="0.3">
      <c r="A866">
        <v>202001</v>
      </c>
      <c r="B866" s="1">
        <v>43831</v>
      </c>
      <c r="C866">
        <v>2020</v>
      </c>
      <c r="D866" t="s">
        <v>6</v>
      </c>
      <c r="E866" t="s">
        <v>31</v>
      </c>
      <c r="F866" t="s">
        <v>40</v>
      </c>
      <c r="G866" t="s">
        <v>28</v>
      </c>
      <c r="H866">
        <v>338.52</v>
      </c>
    </row>
    <row r="867" spans="1:8" x14ac:dyDescent="0.3">
      <c r="A867">
        <v>202002</v>
      </c>
      <c r="B867" s="1">
        <v>43862</v>
      </c>
      <c r="C867">
        <v>2020</v>
      </c>
      <c r="D867" t="s">
        <v>9</v>
      </c>
      <c r="E867" t="s">
        <v>31</v>
      </c>
      <c r="F867" t="s">
        <v>40</v>
      </c>
      <c r="G867" t="s">
        <v>28</v>
      </c>
      <c r="H867">
        <v>204.12</v>
      </c>
    </row>
    <row r="868" spans="1:8" x14ac:dyDescent="0.3">
      <c r="A868">
        <v>202003</v>
      </c>
      <c r="B868" s="1">
        <v>43891</v>
      </c>
      <c r="C868">
        <v>2020</v>
      </c>
      <c r="D868" t="s">
        <v>10</v>
      </c>
      <c r="E868" t="s">
        <v>31</v>
      </c>
      <c r="F868" t="s">
        <v>40</v>
      </c>
      <c r="G868" t="s">
        <v>28</v>
      </c>
      <c r="H868">
        <v>192.3</v>
      </c>
    </row>
    <row r="869" spans="1:8" x14ac:dyDescent="0.3">
      <c r="A869">
        <v>202004</v>
      </c>
      <c r="B869" s="1">
        <v>43922</v>
      </c>
      <c r="C869">
        <v>2020</v>
      </c>
      <c r="D869" t="s">
        <v>11</v>
      </c>
      <c r="E869" t="s">
        <v>31</v>
      </c>
      <c r="F869" t="s">
        <v>40</v>
      </c>
      <c r="G869" t="s">
        <v>28</v>
      </c>
      <c r="H869">
        <v>143.34</v>
      </c>
    </row>
    <row r="870" spans="1:8" x14ac:dyDescent="0.3">
      <c r="A870">
        <v>202005</v>
      </c>
      <c r="B870" s="1">
        <v>43952</v>
      </c>
      <c r="C870">
        <v>2020</v>
      </c>
      <c r="D870" t="s">
        <v>12</v>
      </c>
      <c r="E870" t="s">
        <v>31</v>
      </c>
      <c r="F870" t="s">
        <v>40</v>
      </c>
      <c r="G870" t="s">
        <v>28</v>
      </c>
      <c r="H870">
        <v>175.94</v>
      </c>
    </row>
    <row r="871" spans="1:8" x14ac:dyDescent="0.3">
      <c r="A871">
        <v>202006</v>
      </c>
      <c r="B871" s="1">
        <v>43983</v>
      </c>
      <c r="C871">
        <v>2020</v>
      </c>
      <c r="D871" t="s">
        <v>13</v>
      </c>
      <c r="E871" t="s">
        <v>31</v>
      </c>
      <c r="F871" t="s">
        <v>40</v>
      </c>
      <c r="G871" t="s">
        <v>28</v>
      </c>
      <c r="H871">
        <v>308.41000000000003</v>
      </c>
    </row>
    <row r="872" spans="1:8" x14ac:dyDescent="0.3">
      <c r="A872">
        <v>202007</v>
      </c>
      <c r="B872" s="1">
        <v>44013</v>
      </c>
      <c r="C872">
        <v>2020</v>
      </c>
      <c r="D872" t="s">
        <v>14</v>
      </c>
      <c r="E872" t="s">
        <v>31</v>
      </c>
      <c r="F872" t="s">
        <v>40</v>
      </c>
      <c r="G872" t="s">
        <v>28</v>
      </c>
      <c r="H872">
        <v>236.81</v>
      </c>
    </row>
    <row r="873" spans="1:8" x14ac:dyDescent="0.3">
      <c r="A873">
        <v>202008</v>
      </c>
      <c r="B873" s="1">
        <v>44044</v>
      </c>
      <c r="C873">
        <v>2020</v>
      </c>
      <c r="D873" t="s">
        <v>15</v>
      </c>
      <c r="E873" t="s">
        <v>31</v>
      </c>
      <c r="F873" t="s">
        <v>40</v>
      </c>
      <c r="G873" t="s">
        <v>28</v>
      </c>
      <c r="H873">
        <v>228.3</v>
      </c>
    </row>
    <row r="874" spans="1:8" x14ac:dyDescent="0.3">
      <c r="A874">
        <v>202009</v>
      </c>
      <c r="B874" s="1">
        <v>44075</v>
      </c>
      <c r="C874">
        <v>2020</v>
      </c>
      <c r="D874" t="s">
        <v>16</v>
      </c>
      <c r="E874" t="s">
        <v>31</v>
      </c>
      <c r="F874" t="s">
        <v>40</v>
      </c>
      <c r="G874" t="s">
        <v>28</v>
      </c>
      <c r="H874">
        <v>213.86</v>
      </c>
    </row>
    <row r="875" spans="1:8" x14ac:dyDescent="0.3">
      <c r="A875">
        <v>202010</v>
      </c>
      <c r="B875" s="1">
        <v>44105</v>
      </c>
      <c r="C875">
        <v>2020</v>
      </c>
      <c r="D875" t="s">
        <v>17</v>
      </c>
      <c r="E875" t="s">
        <v>31</v>
      </c>
      <c r="F875" t="s">
        <v>40</v>
      </c>
      <c r="G875" t="s">
        <v>28</v>
      </c>
      <c r="H875">
        <v>273.60000000000002</v>
      </c>
    </row>
    <row r="876" spans="1:8" x14ac:dyDescent="0.3">
      <c r="A876">
        <v>202011</v>
      </c>
      <c r="B876" s="1">
        <v>44136</v>
      </c>
      <c r="C876">
        <v>2020</v>
      </c>
      <c r="D876" t="s">
        <v>18</v>
      </c>
      <c r="E876" t="s">
        <v>31</v>
      </c>
      <c r="F876" t="s">
        <v>40</v>
      </c>
      <c r="G876" t="s">
        <v>28</v>
      </c>
      <c r="H876">
        <v>230.63</v>
      </c>
    </row>
    <row r="877" spans="1:8" x14ac:dyDescent="0.3">
      <c r="A877">
        <v>202012</v>
      </c>
      <c r="B877" s="1">
        <v>44166</v>
      </c>
      <c r="C877">
        <v>2020</v>
      </c>
      <c r="D877" t="s">
        <v>19</v>
      </c>
      <c r="E877" t="s">
        <v>31</v>
      </c>
      <c r="F877" t="s">
        <v>40</v>
      </c>
      <c r="G877" t="s">
        <v>28</v>
      </c>
      <c r="H877">
        <v>250.86</v>
      </c>
    </row>
    <row r="878" spans="1:8" x14ac:dyDescent="0.3">
      <c r="A878">
        <v>202001</v>
      </c>
      <c r="B878" s="1">
        <v>43831</v>
      </c>
      <c r="C878">
        <v>2020</v>
      </c>
      <c r="D878" t="s">
        <v>6</v>
      </c>
      <c r="E878" t="s">
        <v>32</v>
      </c>
      <c r="F878" t="s">
        <v>40</v>
      </c>
      <c r="G878" t="s">
        <v>33</v>
      </c>
      <c r="H878">
        <v>193.58</v>
      </c>
    </row>
    <row r="879" spans="1:8" x14ac:dyDescent="0.3">
      <c r="A879">
        <v>202002</v>
      </c>
      <c r="B879" s="1">
        <v>43862</v>
      </c>
      <c r="C879">
        <v>2020</v>
      </c>
      <c r="D879" t="s">
        <v>9</v>
      </c>
      <c r="E879" t="s">
        <v>32</v>
      </c>
      <c r="F879" t="s">
        <v>40</v>
      </c>
      <c r="G879" t="s">
        <v>33</v>
      </c>
      <c r="H879">
        <v>115.91</v>
      </c>
    </row>
    <row r="880" spans="1:8" x14ac:dyDescent="0.3">
      <c r="A880">
        <v>202003</v>
      </c>
      <c r="B880" s="1">
        <v>43891</v>
      </c>
      <c r="C880">
        <v>2020</v>
      </c>
      <c r="D880" t="s">
        <v>10</v>
      </c>
      <c r="E880" t="s">
        <v>32</v>
      </c>
      <c r="F880" t="s">
        <v>40</v>
      </c>
      <c r="G880" t="s">
        <v>33</v>
      </c>
      <c r="H880">
        <v>105.32</v>
      </c>
    </row>
    <row r="881" spans="1:8" x14ac:dyDescent="0.3">
      <c r="A881">
        <v>202004</v>
      </c>
      <c r="B881" s="1">
        <v>43922</v>
      </c>
      <c r="C881">
        <v>2020</v>
      </c>
      <c r="D881" t="s">
        <v>11</v>
      </c>
      <c r="E881" t="s">
        <v>32</v>
      </c>
      <c r="F881" t="s">
        <v>40</v>
      </c>
      <c r="G881" t="s">
        <v>33</v>
      </c>
      <c r="H881">
        <v>97.05</v>
      </c>
    </row>
    <row r="882" spans="1:8" x14ac:dyDescent="0.3">
      <c r="A882">
        <v>202005</v>
      </c>
      <c r="B882" s="1">
        <v>43952</v>
      </c>
      <c r="C882">
        <v>2020</v>
      </c>
      <c r="D882" t="s">
        <v>12</v>
      </c>
      <c r="E882" t="s">
        <v>32</v>
      </c>
      <c r="F882" t="s">
        <v>40</v>
      </c>
      <c r="G882" t="s">
        <v>33</v>
      </c>
      <c r="H882">
        <v>111.35</v>
      </c>
    </row>
    <row r="883" spans="1:8" x14ac:dyDescent="0.3">
      <c r="A883">
        <v>202006</v>
      </c>
      <c r="B883" s="1">
        <v>43983</v>
      </c>
      <c r="C883">
        <v>2020</v>
      </c>
      <c r="D883" t="s">
        <v>13</v>
      </c>
      <c r="E883" t="s">
        <v>32</v>
      </c>
      <c r="F883" t="s">
        <v>40</v>
      </c>
      <c r="G883" t="s">
        <v>33</v>
      </c>
      <c r="H883">
        <v>149.72999999999999</v>
      </c>
    </row>
    <row r="884" spans="1:8" x14ac:dyDescent="0.3">
      <c r="A884">
        <v>202007</v>
      </c>
      <c r="B884" s="1">
        <v>44013</v>
      </c>
      <c r="C884">
        <v>2020</v>
      </c>
      <c r="D884" t="s">
        <v>14</v>
      </c>
      <c r="E884" t="s">
        <v>32</v>
      </c>
      <c r="F884" t="s">
        <v>40</v>
      </c>
      <c r="G884" t="s">
        <v>33</v>
      </c>
      <c r="H884">
        <v>141.03</v>
      </c>
    </row>
    <row r="885" spans="1:8" x14ac:dyDescent="0.3">
      <c r="A885">
        <v>202008</v>
      </c>
      <c r="B885" s="1">
        <v>44044</v>
      </c>
      <c r="C885">
        <v>2020</v>
      </c>
      <c r="D885" t="s">
        <v>15</v>
      </c>
      <c r="E885" t="s">
        <v>32</v>
      </c>
      <c r="F885" t="s">
        <v>40</v>
      </c>
      <c r="G885" t="s">
        <v>33</v>
      </c>
      <c r="H885">
        <v>119.61</v>
      </c>
    </row>
    <row r="886" spans="1:8" x14ac:dyDescent="0.3">
      <c r="A886">
        <v>202009</v>
      </c>
      <c r="B886" s="1">
        <v>44075</v>
      </c>
      <c r="C886">
        <v>2020</v>
      </c>
      <c r="D886" t="s">
        <v>16</v>
      </c>
      <c r="E886" t="s">
        <v>32</v>
      </c>
      <c r="F886" t="s">
        <v>40</v>
      </c>
      <c r="G886" t="s">
        <v>33</v>
      </c>
      <c r="H886">
        <v>107.17</v>
      </c>
    </row>
    <row r="887" spans="1:8" x14ac:dyDescent="0.3">
      <c r="A887">
        <v>202010</v>
      </c>
      <c r="B887" s="1">
        <v>44105</v>
      </c>
      <c r="C887">
        <v>2020</v>
      </c>
      <c r="D887" t="s">
        <v>17</v>
      </c>
      <c r="E887" t="s">
        <v>32</v>
      </c>
      <c r="F887" t="s">
        <v>40</v>
      </c>
      <c r="G887" t="s">
        <v>33</v>
      </c>
      <c r="H887">
        <v>147.09</v>
      </c>
    </row>
    <row r="888" spans="1:8" x14ac:dyDescent="0.3">
      <c r="A888">
        <v>202011</v>
      </c>
      <c r="B888" s="1">
        <v>44136</v>
      </c>
      <c r="C888">
        <v>2020</v>
      </c>
      <c r="D888" t="s">
        <v>18</v>
      </c>
      <c r="E888" t="s">
        <v>32</v>
      </c>
      <c r="F888" t="s">
        <v>40</v>
      </c>
      <c r="G888" t="s">
        <v>33</v>
      </c>
      <c r="H888">
        <v>125.12</v>
      </c>
    </row>
    <row r="889" spans="1:8" x14ac:dyDescent="0.3">
      <c r="A889">
        <v>202012</v>
      </c>
      <c r="B889" s="1">
        <v>44166</v>
      </c>
      <c r="C889">
        <v>2020</v>
      </c>
      <c r="D889" t="s">
        <v>19</v>
      </c>
      <c r="E889" t="s">
        <v>32</v>
      </c>
      <c r="F889" t="s">
        <v>40</v>
      </c>
      <c r="G889" t="s">
        <v>33</v>
      </c>
      <c r="H889">
        <v>121.27</v>
      </c>
    </row>
    <row r="890" spans="1:8" x14ac:dyDescent="0.3">
      <c r="A890">
        <v>202001</v>
      </c>
      <c r="B890" s="1">
        <v>43831</v>
      </c>
      <c r="C890">
        <v>2020</v>
      </c>
      <c r="D890" t="s">
        <v>6</v>
      </c>
      <c r="E890" t="s">
        <v>32</v>
      </c>
      <c r="F890" t="s">
        <v>40</v>
      </c>
      <c r="G890" t="s">
        <v>33</v>
      </c>
      <c r="H890">
        <v>156.51</v>
      </c>
    </row>
    <row r="891" spans="1:8" x14ac:dyDescent="0.3">
      <c r="A891">
        <v>202002</v>
      </c>
      <c r="B891" s="1">
        <v>43862</v>
      </c>
      <c r="C891">
        <v>2020</v>
      </c>
      <c r="D891" t="s">
        <v>9</v>
      </c>
      <c r="E891" t="s">
        <v>32</v>
      </c>
      <c r="F891" t="s">
        <v>40</v>
      </c>
      <c r="G891" t="s">
        <v>33</v>
      </c>
      <c r="H891">
        <v>80.41</v>
      </c>
    </row>
    <row r="892" spans="1:8" x14ac:dyDescent="0.3">
      <c r="A892">
        <v>202003</v>
      </c>
      <c r="B892" s="1">
        <v>43891</v>
      </c>
      <c r="C892">
        <v>2020</v>
      </c>
      <c r="D892" t="s">
        <v>10</v>
      </c>
      <c r="E892" t="s">
        <v>32</v>
      </c>
      <c r="F892" t="s">
        <v>40</v>
      </c>
      <c r="G892" t="s">
        <v>33</v>
      </c>
      <c r="H892">
        <v>97.63</v>
      </c>
    </row>
    <row r="893" spans="1:8" x14ac:dyDescent="0.3">
      <c r="A893">
        <v>202004</v>
      </c>
      <c r="B893" s="1">
        <v>43922</v>
      </c>
      <c r="C893">
        <v>2020</v>
      </c>
      <c r="D893" t="s">
        <v>11</v>
      </c>
      <c r="E893" t="s">
        <v>32</v>
      </c>
      <c r="F893" t="s">
        <v>40</v>
      </c>
      <c r="G893" t="s">
        <v>33</v>
      </c>
      <c r="H893">
        <v>64.459999999999994</v>
      </c>
    </row>
    <row r="894" spans="1:8" x14ac:dyDescent="0.3">
      <c r="A894">
        <v>202005</v>
      </c>
      <c r="B894" s="1">
        <v>43952</v>
      </c>
      <c r="C894">
        <v>2020</v>
      </c>
      <c r="D894" t="s">
        <v>12</v>
      </c>
      <c r="E894" t="s">
        <v>32</v>
      </c>
      <c r="F894" t="s">
        <v>40</v>
      </c>
      <c r="G894" t="s">
        <v>33</v>
      </c>
      <c r="H894">
        <v>80.48</v>
      </c>
    </row>
    <row r="895" spans="1:8" x14ac:dyDescent="0.3">
      <c r="A895">
        <v>202006</v>
      </c>
      <c r="B895" s="1">
        <v>43983</v>
      </c>
      <c r="C895">
        <v>2020</v>
      </c>
      <c r="D895" t="s">
        <v>13</v>
      </c>
      <c r="E895" t="s">
        <v>32</v>
      </c>
      <c r="F895" t="s">
        <v>40</v>
      </c>
      <c r="G895" t="s">
        <v>33</v>
      </c>
      <c r="H895">
        <v>116.88</v>
      </c>
    </row>
    <row r="896" spans="1:8" x14ac:dyDescent="0.3">
      <c r="A896">
        <v>202007</v>
      </c>
      <c r="B896" s="1">
        <v>44013</v>
      </c>
      <c r="C896">
        <v>2020</v>
      </c>
      <c r="D896" t="s">
        <v>14</v>
      </c>
      <c r="E896" t="s">
        <v>32</v>
      </c>
      <c r="F896" t="s">
        <v>40</v>
      </c>
      <c r="G896" t="s">
        <v>33</v>
      </c>
      <c r="H896">
        <v>113.73</v>
      </c>
    </row>
    <row r="897" spans="1:8" x14ac:dyDescent="0.3">
      <c r="A897">
        <v>202008</v>
      </c>
      <c r="B897" s="1">
        <v>44044</v>
      </c>
      <c r="C897">
        <v>2020</v>
      </c>
      <c r="D897" t="s">
        <v>15</v>
      </c>
      <c r="E897" t="s">
        <v>32</v>
      </c>
      <c r="F897" t="s">
        <v>40</v>
      </c>
      <c r="G897" t="s">
        <v>33</v>
      </c>
      <c r="H897">
        <v>95.83</v>
      </c>
    </row>
    <row r="898" spans="1:8" x14ac:dyDescent="0.3">
      <c r="A898">
        <v>202009</v>
      </c>
      <c r="B898" s="1">
        <v>44075</v>
      </c>
      <c r="C898">
        <v>2020</v>
      </c>
      <c r="D898" t="s">
        <v>16</v>
      </c>
      <c r="E898" t="s">
        <v>32</v>
      </c>
      <c r="F898" t="s">
        <v>40</v>
      </c>
      <c r="G898" t="s">
        <v>33</v>
      </c>
      <c r="H898">
        <v>88.12</v>
      </c>
    </row>
    <row r="899" spans="1:8" x14ac:dyDescent="0.3">
      <c r="A899">
        <v>202010</v>
      </c>
      <c r="B899" s="1">
        <v>44105</v>
      </c>
      <c r="C899">
        <v>2020</v>
      </c>
      <c r="D899" t="s">
        <v>17</v>
      </c>
      <c r="E899" t="s">
        <v>32</v>
      </c>
      <c r="F899" t="s">
        <v>40</v>
      </c>
      <c r="G899" t="s">
        <v>33</v>
      </c>
      <c r="H899">
        <v>113.4</v>
      </c>
    </row>
    <row r="900" spans="1:8" x14ac:dyDescent="0.3">
      <c r="A900">
        <v>202011</v>
      </c>
      <c r="B900" s="1">
        <v>44136</v>
      </c>
      <c r="C900">
        <v>2020</v>
      </c>
      <c r="D900" t="s">
        <v>18</v>
      </c>
      <c r="E900" t="s">
        <v>32</v>
      </c>
      <c r="F900" t="s">
        <v>40</v>
      </c>
      <c r="G900" t="s">
        <v>33</v>
      </c>
      <c r="H900">
        <v>104.41</v>
      </c>
    </row>
    <row r="901" spans="1:8" x14ac:dyDescent="0.3">
      <c r="A901">
        <v>202012</v>
      </c>
      <c r="B901" s="1">
        <v>44166</v>
      </c>
      <c r="C901">
        <v>2020</v>
      </c>
      <c r="D901" t="s">
        <v>19</v>
      </c>
      <c r="E901" t="s">
        <v>32</v>
      </c>
      <c r="F901" t="s">
        <v>40</v>
      </c>
      <c r="G901" t="s">
        <v>33</v>
      </c>
      <c r="H901">
        <v>112.48</v>
      </c>
    </row>
    <row r="902" spans="1:8" x14ac:dyDescent="0.3">
      <c r="A902">
        <v>202001</v>
      </c>
      <c r="B902" s="1">
        <v>43831</v>
      </c>
      <c r="C902">
        <v>2020</v>
      </c>
      <c r="D902" t="s">
        <v>6</v>
      </c>
      <c r="E902" t="s">
        <v>32</v>
      </c>
      <c r="F902" t="s">
        <v>40</v>
      </c>
      <c r="G902" t="s">
        <v>33</v>
      </c>
      <c r="H902">
        <v>56.88</v>
      </c>
    </row>
    <row r="903" spans="1:8" x14ac:dyDescent="0.3">
      <c r="A903">
        <v>202002</v>
      </c>
      <c r="B903" s="1">
        <v>43862</v>
      </c>
      <c r="C903">
        <v>2020</v>
      </c>
      <c r="D903" t="s">
        <v>9</v>
      </c>
      <c r="E903" t="s">
        <v>32</v>
      </c>
      <c r="F903" t="s">
        <v>40</v>
      </c>
      <c r="G903" t="s">
        <v>33</v>
      </c>
      <c r="H903">
        <v>33.97</v>
      </c>
    </row>
    <row r="904" spans="1:8" x14ac:dyDescent="0.3">
      <c r="A904">
        <v>202003</v>
      </c>
      <c r="B904" s="1">
        <v>43891</v>
      </c>
      <c r="C904">
        <v>2020</v>
      </c>
      <c r="D904" t="s">
        <v>10</v>
      </c>
      <c r="E904" t="s">
        <v>32</v>
      </c>
      <c r="F904" t="s">
        <v>40</v>
      </c>
      <c r="G904" t="s">
        <v>33</v>
      </c>
      <c r="H904">
        <v>33.159999999999997</v>
      </c>
    </row>
    <row r="905" spans="1:8" x14ac:dyDescent="0.3">
      <c r="A905">
        <v>202004</v>
      </c>
      <c r="B905" s="1">
        <v>43922</v>
      </c>
      <c r="C905">
        <v>2020</v>
      </c>
      <c r="D905" t="s">
        <v>11</v>
      </c>
      <c r="E905" t="s">
        <v>32</v>
      </c>
      <c r="F905" t="s">
        <v>40</v>
      </c>
      <c r="G905" t="s">
        <v>33</v>
      </c>
      <c r="H905">
        <v>24.69</v>
      </c>
    </row>
    <row r="906" spans="1:8" x14ac:dyDescent="0.3">
      <c r="A906">
        <v>202005</v>
      </c>
      <c r="B906" s="1">
        <v>43952</v>
      </c>
      <c r="C906">
        <v>2020</v>
      </c>
      <c r="D906" t="s">
        <v>12</v>
      </c>
      <c r="E906" t="s">
        <v>32</v>
      </c>
      <c r="F906" t="s">
        <v>40</v>
      </c>
      <c r="G906" t="s">
        <v>33</v>
      </c>
      <c r="H906">
        <v>38.15</v>
      </c>
    </row>
    <row r="907" spans="1:8" x14ac:dyDescent="0.3">
      <c r="A907">
        <v>202006</v>
      </c>
      <c r="B907" s="1">
        <v>43983</v>
      </c>
      <c r="C907">
        <v>2020</v>
      </c>
      <c r="D907" t="s">
        <v>13</v>
      </c>
      <c r="E907" t="s">
        <v>32</v>
      </c>
      <c r="F907" t="s">
        <v>40</v>
      </c>
      <c r="G907" t="s">
        <v>33</v>
      </c>
      <c r="H907">
        <v>42.8</v>
      </c>
    </row>
    <row r="908" spans="1:8" x14ac:dyDescent="0.3">
      <c r="A908">
        <v>202007</v>
      </c>
      <c r="B908" s="1">
        <v>44013</v>
      </c>
      <c r="C908">
        <v>2020</v>
      </c>
      <c r="D908" t="s">
        <v>14</v>
      </c>
      <c r="E908" t="s">
        <v>32</v>
      </c>
      <c r="F908" t="s">
        <v>40</v>
      </c>
      <c r="G908" t="s">
        <v>33</v>
      </c>
      <c r="H908">
        <v>47.47</v>
      </c>
    </row>
    <row r="909" spans="1:8" x14ac:dyDescent="0.3">
      <c r="A909">
        <v>202008</v>
      </c>
      <c r="B909" s="1">
        <v>44044</v>
      </c>
      <c r="C909">
        <v>2020</v>
      </c>
      <c r="D909" t="s">
        <v>15</v>
      </c>
      <c r="E909" t="s">
        <v>32</v>
      </c>
      <c r="F909" t="s">
        <v>40</v>
      </c>
      <c r="G909" t="s">
        <v>33</v>
      </c>
      <c r="H909">
        <v>43.74</v>
      </c>
    </row>
    <row r="910" spans="1:8" x14ac:dyDescent="0.3">
      <c r="A910">
        <v>202009</v>
      </c>
      <c r="B910" s="1">
        <v>44075</v>
      </c>
      <c r="C910">
        <v>2020</v>
      </c>
      <c r="D910" t="s">
        <v>16</v>
      </c>
      <c r="E910" t="s">
        <v>32</v>
      </c>
      <c r="F910" t="s">
        <v>40</v>
      </c>
      <c r="G910" t="s">
        <v>33</v>
      </c>
      <c r="H910">
        <v>39.67</v>
      </c>
    </row>
    <row r="911" spans="1:8" x14ac:dyDescent="0.3">
      <c r="A911">
        <v>202010</v>
      </c>
      <c r="B911" s="1">
        <v>44105</v>
      </c>
      <c r="C911">
        <v>2020</v>
      </c>
      <c r="D911" t="s">
        <v>17</v>
      </c>
      <c r="E911" t="s">
        <v>32</v>
      </c>
      <c r="F911" t="s">
        <v>40</v>
      </c>
      <c r="G911" t="s">
        <v>33</v>
      </c>
      <c r="H911">
        <v>44.34</v>
      </c>
    </row>
    <row r="912" spans="1:8" x14ac:dyDescent="0.3">
      <c r="A912">
        <v>202011</v>
      </c>
      <c r="B912" s="1">
        <v>44136</v>
      </c>
      <c r="C912">
        <v>2020</v>
      </c>
      <c r="D912" t="s">
        <v>18</v>
      </c>
      <c r="E912" t="s">
        <v>32</v>
      </c>
      <c r="F912" t="s">
        <v>40</v>
      </c>
      <c r="G912" t="s">
        <v>33</v>
      </c>
      <c r="H912">
        <v>33.97</v>
      </c>
    </row>
    <row r="913" spans="1:8" x14ac:dyDescent="0.3">
      <c r="A913">
        <v>202012</v>
      </c>
      <c r="B913" s="1">
        <v>44166</v>
      </c>
      <c r="C913">
        <v>2020</v>
      </c>
      <c r="D913" t="s">
        <v>19</v>
      </c>
      <c r="E913" t="s">
        <v>32</v>
      </c>
      <c r="F913" t="s">
        <v>40</v>
      </c>
      <c r="G913" t="s">
        <v>33</v>
      </c>
      <c r="H913">
        <v>38.69</v>
      </c>
    </row>
    <row r="914" spans="1:8" x14ac:dyDescent="0.3">
      <c r="A914">
        <v>202001</v>
      </c>
      <c r="B914" s="1">
        <v>43831</v>
      </c>
      <c r="C914">
        <v>2020</v>
      </c>
      <c r="D914" t="s">
        <v>6</v>
      </c>
      <c r="E914" t="s">
        <v>32</v>
      </c>
      <c r="F914" t="s">
        <v>40</v>
      </c>
      <c r="G914" t="s">
        <v>33</v>
      </c>
      <c r="H914">
        <v>283.12</v>
      </c>
    </row>
    <row r="915" spans="1:8" x14ac:dyDescent="0.3">
      <c r="A915">
        <v>202002</v>
      </c>
      <c r="B915" s="1">
        <v>43862</v>
      </c>
      <c r="C915">
        <v>2020</v>
      </c>
      <c r="D915" t="s">
        <v>9</v>
      </c>
      <c r="E915" t="s">
        <v>32</v>
      </c>
      <c r="F915" t="s">
        <v>40</v>
      </c>
      <c r="G915" t="s">
        <v>33</v>
      </c>
      <c r="H915">
        <v>179.87</v>
      </c>
    </row>
    <row r="916" spans="1:8" x14ac:dyDescent="0.3">
      <c r="A916">
        <v>202003</v>
      </c>
      <c r="B916" s="1">
        <v>43891</v>
      </c>
      <c r="C916">
        <v>2020</v>
      </c>
      <c r="D916" t="s">
        <v>10</v>
      </c>
      <c r="E916" t="s">
        <v>32</v>
      </c>
      <c r="F916" t="s">
        <v>40</v>
      </c>
      <c r="G916" t="s">
        <v>33</v>
      </c>
      <c r="H916">
        <v>150.94</v>
      </c>
    </row>
    <row r="917" spans="1:8" x14ac:dyDescent="0.3">
      <c r="A917">
        <v>202004</v>
      </c>
      <c r="B917" s="1">
        <v>43922</v>
      </c>
      <c r="C917">
        <v>2020</v>
      </c>
      <c r="D917" t="s">
        <v>11</v>
      </c>
      <c r="E917" t="s">
        <v>32</v>
      </c>
      <c r="F917" t="s">
        <v>40</v>
      </c>
      <c r="G917" t="s">
        <v>33</v>
      </c>
      <c r="H917">
        <v>94.89</v>
      </c>
    </row>
    <row r="918" spans="1:8" x14ac:dyDescent="0.3">
      <c r="A918">
        <v>202005</v>
      </c>
      <c r="B918" s="1">
        <v>43952</v>
      </c>
      <c r="C918">
        <v>2020</v>
      </c>
      <c r="D918" t="s">
        <v>12</v>
      </c>
      <c r="E918" t="s">
        <v>32</v>
      </c>
      <c r="F918" t="s">
        <v>40</v>
      </c>
      <c r="G918" t="s">
        <v>33</v>
      </c>
      <c r="H918">
        <v>115.94</v>
      </c>
    </row>
    <row r="919" spans="1:8" x14ac:dyDescent="0.3">
      <c r="A919">
        <v>202006</v>
      </c>
      <c r="B919" s="1">
        <v>43983</v>
      </c>
      <c r="C919">
        <v>2020</v>
      </c>
      <c r="D919" t="s">
        <v>13</v>
      </c>
      <c r="E919" t="s">
        <v>32</v>
      </c>
      <c r="F919" t="s">
        <v>40</v>
      </c>
      <c r="G919" t="s">
        <v>33</v>
      </c>
      <c r="H919">
        <v>287.16000000000003</v>
      </c>
    </row>
    <row r="920" spans="1:8" x14ac:dyDescent="0.3">
      <c r="A920">
        <v>202007</v>
      </c>
      <c r="B920" s="1">
        <v>44013</v>
      </c>
      <c r="C920">
        <v>2020</v>
      </c>
      <c r="D920" t="s">
        <v>14</v>
      </c>
      <c r="E920" t="s">
        <v>32</v>
      </c>
      <c r="F920" t="s">
        <v>40</v>
      </c>
      <c r="G920" t="s">
        <v>33</v>
      </c>
      <c r="H920">
        <v>183.88</v>
      </c>
    </row>
    <row r="921" spans="1:8" x14ac:dyDescent="0.3">
      <c r="A921">
        <v>202008</v>
      </c>
      <c r="B921" s="1">
        <v>44044</v>
      </c>
      <c r="C921">
        <v>2020</v>
      </c>
      <c r="D921" t="s">
        <v>15</v>
      </c>
      <c r="E921" t="s">
        <v>32</v>
      </c>
      <c r="F921" t="s">
        <v>40</v>
      </c>
      <c r="G921" t="s">
        <v>33</v>
      </c>
      <c r="H921">
        <v>186.49</v>
      </c>
    </row>
    <row r="922" spans="1:8" x14ac:dyDescent="0.3">
      <c r="A922">
        <v>202009</v>
      </c>
      <c r="B922" s="1">
        <v>44075</v>
      </c>
      <c r="C922">
        <v>2020</v>
      </c>
      <c r="D922" t="s">
        <v>16</v>
      </c>
      <c r="E922" t="s">
        <v>32</v>
      </c>
      <c r="F922" t="s">
        <v>40</v>
      </c>
      <c r="G922" t="s">
        <v>33</v>
      </c>
      <c r="H922">
        <v>188.63</v>
      </c>
    </row>
    <row r="923" spans="1:8" x14ac:dyDescent="0.3">
      <c r="A923">
        <v>202010</v>
      </c>
      <c r="B923" s="1">
        <v>44105</v>
      </c>
      <c r="C923">
        <v>2020</v>
      </c>
      <c r="D923" t="s">
        <v>17</v>
      </c>
      <c r="E923" t="s">
        <v>32</v>
      </c>
      <c r="F923" t="s">
        <v>40</v>
      </c>
      <c r="G923" t="s">
        <v>33</v>
      </c>
      <c r="H923">
        <v>210.23</v>
      </c>
    </row>
    <row r="924" spans="1:8" x14ac:dyDescent="0.3">
      <c r="A924">
        <v>202011</v>
      </c>
      <c r="B924" s="1">
        <v>44136</v>
      </c>
      <c r="C924">
        <v>2020</v>
      </c>
      <c r="D924" t="s">
        <v>18</v>
      </c>
      <c r="E924" t="s">
        <v>32</v>
      </c>
      <c r="F924" t="s">
        <v>40</v>
      </c>
      <c r="G924" t="s">
        <v>33</v>
      </c>
      <c r="H924">
        <v>219.68</v>
      </c>
    </row>
    <row r="925" spans="1:8" x14ac:dyDescent="0.3">
      <c r="A925">
        <v>202012</v>
      </c>
      <c r="B925" s="1">
        <v>44166</v>
      </c>
      <c r="C925">
        <v>2020</v>
      </c>
      <c r="D925" t="s">
        <v>19</v>
      </c>
      <c r="E925" t="s">
        <v>32</v>
      </c>
      <c r="F925" t="s">
        <v>40</v>
      </c>
      <c r="G925" t="s">
        <v>33</v>
      </c>
      <c r="H925">
        <v>219.79</v>
      </c>
    </row>
    <row r="926" spans="1:8" x14ac:dyDescent="0.3">
      <c r="A926">
        <v>202001</v>
      </c>
      <c r="B926" s="1">
        <v>43831</v>
      </c>
      <c r="C926">
        <v>2020</v>
      </c>
      <c r="D926" t="s">
        <v>6</v>
      </c>
      <c r="E926" t="s">
        <v>34</v>
      </c>
      <c r="F926" t="s">
        <v>40</v>
      </c>
      <c r="G926" t="s">
        <v>33</v>
      </c>
      <c r="H926">
        <v>246.39</v>
      </c>
    </row>
    <row r="927" spans="1:8" x14ac:dyDescent="0.3">
      <c r="A927">
        <v>202002</v>
      </c>
      <c r="B927" s="1">
        <v>43862</v>
      </c>
      <c r="C927">
        <v>2020</v>
      </c>
      <c r="D927" t="s">
        <v>9</v>
      </c>
      <c r="E927" t="s">
        <v>34</v>
      </c>
      <c r="F927" t="s">
        <v>40</v>
      </c>
      <c r="G927" t="s">
        <v>33</v>
      </c>
      <c r="H927">
        <v>121.16</v>
      </c>
    </row>
    <row r="928" spans="1:8" x14ac:dyDescent="0.3">
      <c r="A928">
        <v>202003</v>
      </c>
      <c r="B928" s="1">
        <v>43891</v>
      </c>
      <c r="C928">
        <v>2020</v>
      </c>
      <c r="D928" t="s">
        <v>10</v>
      </c>
      <c r="E928" t="s">
        <v>34</v>
      </c>
      <c r="F928" t="s">
        <v>40</v>
      </c>
      <c r="G928" t="s">
        <v>33</v>
      </c>
      <c r="H928">
        <v>134.11000000000001</v>
      </c>
    </row>
    <row r="929" spans="1:8" x14ac:dyDescent="0.3">
      <c r="A929">
        <v>202004</v>
      </c>
      <c r="B929" s="1">
        <v>43922</v>
      </c>
      <c r="C929">
        <v>2020</v>
      </c>
      <c r="D929" t="s">
        <v>11</v>
      </c>
      <c r="E929" t="s">
        <v>34</v>
      </c>
      <c r="F929" t="s">
        <v>40</v>
      </c>
      <c r="G929" t="s">
        <v>33</v>
      </c>
      <c r="H929">
        <v>104.72</v>
      </c>
    </row>
    <row r="930" spans="1:8" x14ac:dyDescent="0.3">
      <c r="A930">
        <v>202005</v>
      </c>
      <c r="B930" s="1">
        <v>43952</v>
      </c>
      <c r="C930">
        <v>2020</v>
      </c>
      <c r="D930" t="s">
        <v>12</v>
      </c>
      <c r="E930" t="s">
        <v>34</v>
      </c>
      <c r="F930" t="s">
        <v>40</v>
      </c>
      <c r="G930" t="s">
        <v>33</v>
      </c>
      <c r="H930">
        <v>153.93</v>
      </c>
    </row>
    <row r="931" spans="1:8" x14ac:dyDescent="0.3">
      <c r="A931">
        <v>202006</v>
      </c>
      <c r="B931" s="1">
        <v>43983</v>
      </c>
      <c r="C931">
        <v>2020</v>
      </c>
      <c r="D931" t="s">
        <v>13</v>
      </c>
      <c r="E931" t="s">
        <v>34</v>
      </c>
      <c r="F931" t="s">
        <v>40</v>
      </c>
      <c r="G931" t="s">
        <v>33</v>
      </c>
      <c r="H931">
        <v>203.04</v>
      </c>
    </row>
    <row r="932" spans="1:8" x14ac:dyDescent="0.3">
      <c r="A932">
        <v>202007</v>
      </c>
      <c r="B932" s="1">
        <v>44013</v>
      </c>
      <c r="C932">
        <v>2020</v>
      </c>
      <c r="D932" t="s">
        <v>14</v>
      </c>
      <c r="E932" t="s">
        <v>34</v>
      </c>
      <c r="F932" t="s">
        <v>40</v>
      </c>
      <c r="G932" t="s">
        <v>33</v>
      </c>
      <c r="H932">
        <v>155.07</v>
      </c>
    </row>
    <row r="933" spans="1:8" x14ac:dyDescent="0.3">
      <c r="A933">
        <v>202008</v>
      </c>
      <c r="B933" s="1">
        <v>44044</v>
      </c>
      <c r="C933">
        <v>2020</v>
      </c>
      <c r="D933" t="s">
        <v>15</v>
      </c>
      <c r="E933" t="s">
        <v>34</v>
      </c>
      <c r="F933" t="s">
        <v>40</v>
      </c>
      <c r="G933" t="s">
        <v>33</v>
      </c>
      <c r="H933">
        <v>165.7</v>
      </c>
    </row>
    <row r="934" spans="1:8" x14ac:dyDescent="0.3">
      <c r="A934">
        <v>202009</v>
      </c>
      <c r="B934" s="1">
        <v>44075</v>
      </c>
      <c r="C934">
        <v>2020</v>
      </c>
      <c r="D934" t="s">
        <v>16</v>
      </c>
      <c r="E934" t="s">
        <v>34</v>
      </c>
      <c r="F934" t="s">
        <v>40</v>
      </c>
      <c r="G934" t="s">
        <v>33</v>
      </c>
      <c r="H934">
        <v>161.46</v>
      </c>
    </row>
    <row r="935" spans="1:8" x14ac:dyDescent="0.3">
      <c r="A935">
        <v>202010</v>
      </c>
      <c r="B935" s="1">
        <v>44105</v>
      </c>
      <c r="C935">
        <v>2020</v>
      </c>
      <c r="D935" t="s">
        <v>17</v>
      </c>
      <c r="E935" t="s">
        <v>34</v>
      </c>
      <c r="F935" t="s">
        <v>40</v>
      </c>
      <c r="G935" t="s">
        <v>33</v>
      </c>
      <c r="H935">
        <v>194.66</v>
      </c>
    </row>
    <row r="936" spans="1:8" x14ac:dyDescent="0.3">
      <c r="A936">
        <v>202011</v>
      </c>
      <c r="B936" s="1">
        <v>44136</v>
      </c>
      <c r="C936">
        <v>2020</v>
      </c>
      <c r="D936" t="s">
        <v>18</v>
      </c>
      <c r="E936" t="s">
        <v>34</v>
      </c>
      <c r="F936" t="s">
        <v>40</v>
      </c>
      <c r="G936" t="s">
        <v>33</v>
      </c>
      <c r="H936">
        <v>186.99</v>
      </c>
    </row>
    <row r="937" spans="1:8" x14ac:dyDescent="0.3">
      <c r="A937">
        <v>202012</v>
      </c>
      <c r="B937" s="1">
        <v>44166</v>
      </c>
      <c r="C937">
        <v>2020</v>
      </c>
      <c r="D937" t="s">
        <v>19</v>
      </c>
      <c r="E937" t="s">
        <v>34</v>
      </c>
      <c r="F937" t="s">
        <v>40</v>
      </c>
      <c r="G937" t="s">
        <v>33</v>
      </c>
      <c r="H937">
        <v>210.8</v>
      </c>
    </row>
    <row r="938" spans="1:8" x14ac:dyDescent="0.3">
      <c r="A938">
        <v>202001</v>
      </c>
      <c r="B938" s="1">
        <v>43831</v>
      </c>
      <c r="C938">
        <v>2020</v>
      </c>
      <c r="D938" t="s">
        <v>6</v>
      </c>
      <c r="E938" t="s">
        <v>34</v>
      </c>
      <c r="F938" t="s">
        <v>40</v>
      </c>
      <c r="G938" t="s">
        <v>33</v>
      </c>
      <c r="H938">
        <v>156.66999999999999</v>
      </c>
    </row>
    <row r="939" spans="1:8" x14ac:dyDescent="0.3">
      <c r="A939">
        <v>202002</v>
      </c>
      <c r="B939" s="1">
        <v>43862</v>
      </c>
      <c r="C939">
        <v>2020</v>
      </c>
      <c r="D939" t="s">
        <v>9</v>
      </c>
      <c r="E939" t="s">
        <v>34</v>
      </c>
      <c r="F939" t="s">
        <v>40</v>
      </c>
      <c r="G939" t="s">
        <v>33</v>
      </c>
      <c r="H939">
        <v>116.16</v>
      </c>
    </row>
    <row r="940" spans="1:8" x14ac:dyDescent="0.3">
      <c r="A940">
        <v>202003</v>
      </c>
      <c r="B940" s="1">
        <v>43891</v>
      </c>
      <c r="C940">
        <v>2020</v>
      </c>
      <c r="D940" t="s">
        <v>10</v>
      </c>
      <c r="E940" t="s">
        <v>34</v>
      </c>
      <c r="F940" t="s">
        <v>40</v>
      </c>
      <c r="G940" t="s">
        <v>33</v>
      </c>
      <c r="H940">
        <v>98.32</v>
      </c>
    </row>
    <row r="941" spans="1:8" x14ac:dyDescent="0.3">
      <c r="A941">
        <v>202004</v>
      </c>
      <c r="B941" s="1">
        <v>43922</v>
      </c>
      <c r="C941">
        <v>2020</v>
      </c>
      <c r="D941" t="s">
        <v>11</v>
      </c>
      <c r="E941" t="s">
        <v>34</v>
      </c>
      <c r="F941" t="s">
        <v>40</v>
      </c>
      <c r="G941" t="s">
        <v>33</v>
      </c>
      <c r="H941">
        <v>84.99</v>
      </c>
    </row>
    <row r="942" spans="1:8" x14ac:dyDescent="0.3">
      <c r="A942">
        <v>202005</v>
      </c>
      <c r="B942" s="1">
        <v>43952</v>
      </c>
      <c r="C942">
        <v>2020</v>
      </c>
      <c r="D942" t="s">
        <v>12</v>
      </c>
      <c r="E942" t="s">
        <v>34</v>
      </c>
      <c r="F942" t="s">
        <v>40</v>
      </c>
      <c r="G942" t="s">
        <v>33</v>
      </c>
      <c r="H942">
        <v>94.26</v>
      </c>
    </row>
    <row r="943" spans="1:8" x14ac:dyDescent="0.3">
      <c r="A943">
        <v>202006</v>
      </c>
      <c r="B943" s="1">
        <v>43983</v>
      </c>
      <c r="C943">
        <v>2020</v>
      </c>
      <c r="D943" t="s">
        <v>13</v>
      </c>
      <c r="E943" t="s">
        <v>34</v>
      </c>
      <c r="F943" t="s">
        <v>40</v>
      </c>
      <c r="G943" t="s">
        <v>33</v>
      </c>
      <c r="H943">
        <v>156.05000000000001</v>
      </c>
    </row>
    <row r="944" spans="1:8" x14ac:dyDescent="0.3">
      <c r="A944">
        <v>202007</v>
      </c>
      <c r="B944" s="1">
        <v>44013</v>
      </c>
      <c r="C944">
        <v>2020</v>
      </c>
      <c r="D944" t="s">
        <v>14</v>
      </c>
      <c r="E944" t="s">
        <v>34</v>
      </c>
      <c r="F944" t="s">
        <v>40</v>
      </c>
      <c r="G944" t="s">
        <v>33</v>
      </c>
      <c r="H944">
        <v>146.91999999999999</v>
      </c>
    </row>
    <row r="945" spans="1:8" x14ac:dyDescent="0.3">
      <c r="A945">
        <v>202008</v>
      </c>
      <c r="B945" s="1">
        <v>44044</v>
      </c>
      <c r="C945">
        <v>2020</v>
      </c>
      <c r="D945" t="s">
        <v>15</v>
      </c>
      <c r="E945" t="s">
        <v>34</v>
      </c>
      <c r="F945" t="s">
        <v>40</v>
      </c>
      <c r="G945" t="s">
        <v>33</v>
      </c>
      <c r="H945">
        <v>155.94999999999999</v>
      </c>
    </row>
    <row r="946" spans="1:8" x14ac:dyDescent="0.3">
      <c r="A946">
        <v>202009</v>
      </c>
      <c r="B946" s="1">
        <v>44075</v>
      </c>
      <c r="C946">
        <v>2020</v>
      </c>
      <c r="D946" t="s">
        <v>16</v>
      </c>
      <c r="E946" t="s">
        <v>34</v>
      </c>
      <c r="F946" t="s">
        <v>40</v>
      </c>
      <c r="G946" t="s">
        <v>33</v>
      </c>
      <c r="H946">
        <v>104.2</v>
      </c>
    </row>
    <row r="947" spans="1:8" x14ac:dyDescent="0.3">
      <c r="A947">
        <v>202010</v>
      </c>
      <c r="B947" s="1">
        <v>44105</v>
      </c>
      <c r="C947">
        <v>2020</v>
      </c>
      <c r="D947" t="s">
        <v>17</v>
      </c>
      <c r="E947" t="s">
        <v>34</v>
      </c>
      <c r="F947" t="s">
        <v>40</v>
      </c>
      <c r="G947" t="s">
        <v>33</v>
      </c>
      <c r="H947">
        <v>122.96</v>
      </c>
    </row>
    <row r="948" spans="1:8" x14ac:dyDescent="0.3">
      <c r="A948">
        <v>202011</v>
      </c>
      <c r="B948" s="1">
        <v>44136</v>
      </c>
      <c r="C948">
        <v>2020</v>
      </c>
      <c r="D948" t="s">
        <v>18</v>
      </c>
      <c r="E948" t="s">
        <v>34</v>
      </c>
      <c r="F948" t="s">
        <v>40</v>
      </c>
      <c r="G948" t="s">
        <v>33</v>
      </c>
      <c r="H948">
        <v>125.77</v>
      </c>
    </row>
    <row r="949" spans="1:8" x14ac:dyDescent="0.3">
      <c r="A949">
        <v>202012</v>
      </c>
      <c r="B949" s="1">
        <v>44166</v>
      </c>
      <c r="C949">
        <v>2020</v>
      </c>
      <c r="D949" t="s">
        <v>19</v>
      </c>
      <c r="E949" t="s">
        <v>34</v>
      </c>
      <c r="F949" t="s">
        <v>40</v>
      </c>
      <c r="G949" t="s">
        <v>33</v>
      </c>
      <c r="H949">
        <v>128.44</v>
      </c>
    </row>
    <row r="950" spans="1:8" x14ac:dyDescent="0.3">
      <c r="A950">
        <v>202001</v>
      </c>
      <c r="B950" s="1">
        <v>43831</v>
      </c>
      <c r="C950">
        <v>2020</v>
      </c>
      <c r="D950" t="s">
        <v>6</v>
      </c>
      <c r="E950" t="s">
        <v>34</v>
      </c>
      <c r="F950" t="s">
        <v>40</v>
      </c>
      <c r="G950" t="s">
        <v>33</v>
      </c>
      <c r="H950">
        <v>139.56</v>
      </c>
    </row>
    <row r="951" spans="1:8" x14ac:dyDescent="0.3">
      <c r="A951">
        <v>202002</v>
      </c>
      <c r="B951" s="1">
        <v>43862</v>
      </c>
      <c r="C951">
        <v>2020</v>
      </c>
      <c r="D951" t="s">
        <v>9</v>
      </c>
      <c r="E951" t="s">
        <v>34</v>
      </c>
      <c r="F951" t="s">
        <v>40</v>
      </c>
      <c r="G951" t="s">
        <v>33</v>
      </c>
      <c r="H951">
        <v>74.33</v>
      </c>
    </row>
    <row r="952" spans="1:8" x14ac:dyDescent="0.3">
      <c r="A952">
        <v>202003</v>
      </c>
      <c r="B952" s="1">
        <v>43891</v>
      </c>
      <c r="C952">
        <v>2020</v>
      </c>
      <c r="D952" t="s">
        <v>10</v>
      </c>
      <c r="E952" t="s">
        <v>34</v>
      </c>
      <c r="F952" t="s">
        <v>40</v>
      </c>
      <c r="G952" t="s">
        <v>33</v>
      </c>
      <c r="H952">
        <v>67.63</v>
      </c>
    </row>
    <row r="953" spans="1:8" x14ac:dyDescent="0.3">
      <c r="A953">
        <v>202004</v>
      </c>
      <c r="B953" s="1">
        <v>43922</v>
      </c>
      <c r="C953">
        <v>2020</v>
      </c>
      <c r="D953" t="s">
        <v>11</v>
      </c>
      <c r="E953" t="s">
        <v>34</v>
      </c>
      <c r="F953" t="s">
        <v>40</v>
      </c>
      <c r="G953" t="s">
        <v>33</v>
      </c>
      <c r="H953">
        <v>62.51</v>
      </c>
    </row>
    <row r="954" spans="1:8" x14ac:dyDescent="0.3">
      <c r="A954">
        <v>202005</v>
      </c>
      <c r="B954" s="1">
        <v>43952</v>
      </c>
      <c r="C954">
        <v>2020</v>
      </c>
      <c r="D954" t="s">
        <v>12</v>
      </c>
      <c r="E954" t="s">
        <v>34</v>
      </c>
      <c r="F954" t="s">
        <v>40</v>
      </c>
      <c r="G954" t="s">
        <v>33</v>
      </c>
      <c r="H954">
        <v>68.180000000000007</v>
      </c>
    </row>
    <row r="955" spans="1:8" x14ac:dyDescent="0.3">
      <c r="A955">
        <v>202006</v>
      </c>
      <c r="B955" s="1">
        <v>43983</v>
      </c>
      <c r="C955">
        <v>2020</v>
      </c>
      <c r="D955" t="s">
        <v>13</v>
      </c>
      <c r="E955" t="s">
        <v>34</v>
      </c>
      <c r="F955" t="s">
        <v>40</v>
      </c>
      <c r="G955" t="s">
        <v>33</v>
      </c>
      <c r="H955">
        <v>109.31</v>
      </c>
    </row>
    <row r="956" spans="1:8" x14ac:dyDescent="0.3">
      <c r="A956">
        <v>202007</v>
      </c>
      <c r="B956" s="1">
        <v>44013</v>
      </c>
      <c r="C956">
        <v>2020</v>
      </c>
      <c r="D956" t="s">
        <v>14</v>
      </c>
      <c r="E956" t="s">
        <v>34</v>
      </c>
      <c r="F956" t="s">
        <v>40</v>
      </c>
      <c r="G956" t="s">
        <v>33</v>
      </c>
      <c r="H956">
        <v>95.29</v>
      </c>
    </row>
    <row r="957" spans="1:8" x14ac:dyDescent="0.3">
      <c r="A957">
        <v>202008</v>
      </c>
      <c r="B957" s="1">
        <v>44044</v>
      </c>
      <c r="C957">
        <v>2020</v>
      </c>
      <c r="D957" t="s">
        <v>15</v>
      </c>
      <c r="E957" t="s">
        <v>34</v>
      </c>
      <c r="F957" t="s">
        <v>40</v>
      </c>
      <c r="G957" t="s">
        <v>33</v>
      </c>
      <c r="H957">
        <v>91.81</v>
      </c>
    </row>
    <row r="958" spans="1:8" x14ac:dyDescent="0.3">
      <c r="A958">
        <v>202009</v>
      </c>
      <c r="B958" s="1">
        <v>44075</v>
      </c>
      <c r="C958">
        <v>2020</v>
      </c>
      <c r="D958" t="s">
        <v>16</v>
      </c>
      <c r="E958" t="s">
        <v>34</v>
      </c>
      <c r="F958" t="s">
        <v>40</v>
      </c>
      <c r="G958" t="s">
        <v>33</v>
      </c>
      <c r="H958">
        <v>77.2</v>
      </c>
    </row>
    <row r="959" spans="1:8" x14ac:dyDescent="0.3">
      <c r="A959">
        <v>202010</v>
      </c>
      <c r="B959" s="1">
        <v>44105</v>
      </c>
      <c r="C959">
        <v>2020</v>
      </c>
      <c r="D959" t="s">
        <v>17</v>
      </c>
      <c r="E959" t="s">
        <v>34</v>
      </c>
      <c r="F959" t="s">
        <v>40</v>
      </c>
      <c r="G959" t="s">
        <v>33</v>
      </c>
      <c r="H959">
        <v>94.87</v>
      </c>
    </row>
    <row r="960" spans="1:8" x14ac:dyDescent="0.3">
      <c r="A960">
        <v>202011</v>
      </c>
      <c r="B960" s="1">
        <v>44136</v>
      </c>
      <c r="C960">
        <v>2020</v>
      </c>
      <c r="D960" t="s">
        <v>18</v>
      </c>
      <c r="E960" t="s">
        <v>34</v>
      </c>
      <c r="F960" t="s">
        <v>40</v>
      </c>
      <c r="G960" t="s">
        <v>33</v>
      </c>
      <c r="H960">
        <v>103.66</v>
      </c>
    </row>
    <row r="961" spans="1:8" x14ac:dyDescent="0.3">
      <c r="A961">
        <v>202012</v>
      </c>
      <c r="B961" s="1">
        <v>44166</v>
      </c>
      <c r="C961">
        <v>2020</v>
      </c>
      <c r="D961" t="s">
        <v>19</v>
      </c>
      <c r="E961" t="s">
        <v>34</v>
      </c>
      <c r="F961" t="s">
        <v>40</v>
      </c>
      <c r="G961" t="s">
        <v>33</v>
      </c>
      <c r="H961">
        <v>109.46</v>
      </c>
    </row>
    <row r="962" spans="1:8" x14ac:dyDescent="0.3">
      <c r="A962">
        <v>202001</v>
      </c>
      <c r="B962" s="1">
        <v>43831</v>
      </c>
      <c r="C962">
        <v>2020</v>
      </c>
      <c r="D962" t="s">
        <v>6</v>
      </c>
      <c r="E962" t="s">
        <v>34</v>
      </c>
      <c r="F962" t="s">
        <v>40</v>
      </c>
      <c r="G962" t="s">
        <v>33</v>
      </c>
      <c r="H962">
        <v>46.73</v>
      </c>
    </row>
    <row r="963" spans="1:8" x14ac:dyDescent="0.3">
      <c r="A963">
        <v>202002</v>
      </c>
      <c r="B963" s="1">
        <v>43862</v>
      </c>
      <c r="C963">
        <v>2020</v>
      </c>
      <c r="D963" t="s">
        <v>9</v>
      </c>
      <c r="E963" t="s">
        <v>34</v>
      </c>
      <c r="F963" t="s">
        <v>40</v>
      </c>
      <c r="G963" t="s">
        <v>33</v>
      </c>
      <c r="H963">
        <v>38.56</v>
      </c>
    </row>
    <row r="964" spans="1:8" x14ac:dyDescent="0.3">
      <c r="A964">
        <v>202003</v>
      </c>
      <c r="B964" s="1">
        <v>43891</v>
      </c>
      <c r="C964">
        <v>2020</v>
      </c>
      <c r="D964" t="s">
        <v>10</v>
      </c>
      <c r="E964" t="s">
        <v>34</v>
      </c>
      <c r="F964" t="s">
        <v>40</v>
      </c>
      <c r="G964" t="s">
        <v>33</v>
      </c>
      <c r="H964">
        <v>40.840000000000003</v>
      </c>
    </row>
    <row r="965" spans="1:8" x14ac:dyDescent="0.3">
      <c r="A965">
        <v>202004</v>
      </c>
      <c r="B965" s="1">
        <v>43922</v>
      </c>
      <c r="C965">
        <v>2020</v>
      </c>
      <c r="D965" t="s">
        <v>11</v>
      </c>
      <c r="E965" t="s">
        <v>34</v>
      </c>
      <c r="F965" t="s">
        <v>40</v>
      </c>
      <c r="G965" t="s">
        <v>33</v>
      </c>
      <c r="H965">
        <v>24.38</v>
      </c>
    </row>
    <row r="966" spans="1:8" x14ac:dyDescent="0.3">
      <c r="A966">
        <v>202005</v>
      </c>
      <c r="B966" s="1">
        <v>43952</v>
      </c>
      <c r="C966">
        <v>2020</v>
      </c>
      <c r="D966" t="s">
        <v>12</v>
      </c>
      <c r="E966" t="s">
        <v>34</v>
      </c>
      <c r="F966" t="s">
        <v>40</v>
      </c>
      <c r="G966" t="s">
        <v>33</v>
      </c>
      <c r="H966">
        <v>41.65</v>
      </c>
    </row>
    <row r="967" spans="1:8" x14ac:dyDescent="0.3">
      <c r="A967">
        <v>202006</v>
      </c>
      <c r="B967" s="1">
        <v>43983</v>
      </c>
      <c r="C967">
        <v>2020</v>
      </c>
      <c r="D967" t="s">
        <v>13</v>
      </c>
      <c r="E967" t="s">
        <v>34</v>
      </c>
      <c r="F967" t="s">
        <v>40</v>
      </c>
      <c r="G967" t="s">
        <v>33</v>
      </c>
      <c r="H967">
        <v>47.92</v>
      </c>
    </row>
    <row r="968" spans="1:8" x14ac:dyDescent="0.3">
      <c r="A968">
        <v>202007</v>
      </c>
      <c r="B968" s="1">
        <v>44013</v>
      </c>
      <c r="C968">
        <v>2020</v>
      </c>
      <c r="D968" t="s">
        <v>14</v>
      </c>
      <c r="E968" t="s">
        <v>34</v>
      </c>
      <c r="F968" t="s">
        <v>40</v>
      </c>
      <c r="G968" t="s">
        <v>33</v>
      </c>
      <c r="H968">
        <v>40.26</v>
      </c>
    </row>
    <row r="969" spans="1:8" x14ac:dyDescent="0.3">
      <c r="A969">
        <v>202008</v>
      </c>
      <c r="B969" s="1">
        <v>44044</v>
      </c>
      <c r="C969">
        <v>2020</v>
      </c>
      <c r="D969" t="s">
        <v>15</v>
      </c>
      <c r="E969" t="s">
        <v>34</v>
      </c>
      <c r="F969" t="s">
        <v>40</v>
      </c>
      <c r="G969" t="s">
        <v>33</v>
      </c>
      <c r="H969">
        <v>46.23</v>
      </c>
    </row>
    <row r="970" spans="1:8" x14ac:dyDescent="0.3">
      <c r="A970">
        <v>202009</v>
      </c>
      <c r="B970" s="1">
        <v>44075</v>
      </c>
      <c r="C970">
        <v>2020</v>
      </c>
      <c r="D970" t="s">
        <v>16</v>
      </c>
      <c r="E970" t="s">
        <v>34</v>
      </c>
      <c r="F970" t="s">
        <v>40</v>
      </c>
      <c r="G970" t="s">
        <v>33</v>
      </c>
      <c r="H970">
        <v>38.630000000000003</v>
      </c>
    </row>
    <row r="971" spans="1:8" x14ac:dyDescent="0.3">
      <c r="A971">
        <v>202010</v>
      </c>
      <c r="B971" s="1">
        <v>44105</v>
      </c>
      <c r="C971">
        <v>2020</v>
      </c>
      <c r="D971" t="s">
        <v>17</v>
      </c>
      <c r="E971" t="s">
        <v>34</v>
      </c>
      <c r="F971" t="s">
        <v>40</v>
      </c>
      <c r="G971" t="s">
        <v>33</v>
      </c>
      <c r="H971">
        <v>50.38</v>
      </c>
    </row>
    <row r="972" spans="1:8" x14ac:dyDescent="0.3">
      <c r="A972">
        <v>202011</v>
      </c>
      <c r="B972" s="1">
        <v>44136</v>
      </c>
      <c r="C972">
        <v>2020</v>
      </c>
      <c r="D972" t="s">
        <v>18</v>
      </c>
      <c r="E972" t="s">
        <v>34</v>
      </c>
      <c r="F972" t="s">
        <v>40</v>
      </c>
      <c r="G972" t="s">
        <v>33</v>
      </c>
      <c r="H972">
        <v>57.56</v>
      </c>
    </row>
    <row r="973" spans="1:8" x14ac:dyDescent="0.3">
      <c r="A973">
        <v>202012</v>
      </c>
      <c r="B973" s="1">
        <v>44166</v>
      </c>
      <c r="C973">
        <v>2020</v>
      </c>
      <c r="D973" t="s">
        <v>19</v>
      </c>
      <c r="E973" t="s">
        <v>34</v>
      </c>
      <c r="F973" t="s">
        <v>40</v>
      </c>
      <c r="G973" t="s">
        <v>33</v>
      </c>
      <c r="H973">
        <v>54.27</v>
      </c>
    </row>
    <row r="974" spans="1:8" x14ac:dyDescent="0.3">
      <c r="A974">
        <v>202001</v>
      </c>
      <c r="B974" s="1">
        <v>43831</v>
      </c>
      <c r="C974">
        <v>2020</v>
      </c>
      <c r="D974" t="s">
        <v>6</v>
      </c>
      <c r="E974" t="s">
        <v>34</v>
      </c>
      <c r="F974" t="s">
        <v>40</v>
      </c>
      <c r="G974" t="s">
        <v>33</v>
      </c>
      <c r="H974">
        <v>735.71</v>
      </c>
    </row>
    <row r="975" spans="1:8" x14ac:dyDescent="0.3">
      <c r="A975">
        <v>202002</v>
      </c>
      <c r="B975" s="1">
        <v>43862</v>
      </c>
      <c r="C975">
        <v>2020</v>
      </c>
      <c r="D975" t="s">
        <v>9</v>
      </c>
      <c r="E975" t="s">
        <v>34</v>
      </c>
      <c r="F975" t="s">
        <v>40</v>
      </c>
      <c r="G975" t="s">
        <v>33</v>
      </c>
      <c r="H975">
        <v>482.87</v>
      </c>
    </row>
    <row r="976" spans="1:8" x14ac:dyDescent="0.3">
      <c r="A976">
        <v>202003</v>
      </c>
      <c r="B976" s="1">
        <v>43891</v>
      </c>
      <c r="C976">
        <v>2020</v>
      </c>
      <c r="D976" t="s">
        <v>10</v>
      </c>
      <c r="E976" t="s">
        <v>34</v>
      </c>
      <c r="F976" t="s">
        <v>40</v>
      </c>
      <c r="G976" t="s">
        <v>33</v>
      </c>
      <c r="H976">
        <v>383.73</v>
      </c>
    </row>
    <row r="977" spans="1:8" x14ac:dyDescent="0.3">
      <c r="A977">
        <v>202004</v>
      </c>
      <c r="B977" s="1">
        <v>43922</v>
      </c>
      <c r="C977">
        <v>2020</v>
      </c>
      <c r="D977" t="s">
        <v>11</v>
      </c>
      <c r="E977" t="s">
        <v>34</v>
      </c>
      <c r="F977" t="s">
        <v>40</v>
      </c>
      <c r="G977" t="s">
        <v>33</v>
      </c>
      <c r="H977">
        <v>274.83999999999997</v>
      </c>
    </row>
    <row r="978" spans="1:8" x14ac:dyDescent="0.3">
      <c r="A978">
        <v>202005</v>
      </c>
      <c r="B978" s="1">
        <v>43952</v>
      </c>
      <c r="C978">
        <v>2020</v>
      </c>
      <c r="D978" t="s">
        <v>12</v>
      </c>
      <c r="E978" t="s">
        <v>34</v>
      </c>
      <c r="F978" t="s">
        <v>40</v>
      </c>
      <c r="G978" t="s">
        <v>33</v>
      </c>
      <c r="H978">
        <v>270.27</v>
      </c>
    </row>
    <row r="979" spans="1:8" x14ac:dyDescent="0.3">
      <c r="A979">
        <v>202006</v>
      </c>
      <c r="B979" s="1">
        <v>43983</v>
      </c>
      <c r="C979">
        <v>2020</v>
      </c>
      <c r="D979" t="s">
        <v>13</v>
      </c>
      <c r="E979" t="s">
        <v>34</v>
      </c>
      <c r="F979" t="s">
        <v>40</v>
      </c>
      <c r="G979" t="s">
        <v>33</v>
      </c>
      <c r="H979">
        <v>573.9</v>
      </c>
    </row>
    <row r="980" spans="1:8" x14ac:dyDescent="0.3">
      <c r="A980">
        <v>202007</v>
      </c>
      <c r="B980" s="1">
        <v>44013</v>
      </c>
      <c r="C980">
        <v>2020</v>
      </c>
      <c r="D980" t="s">
        <v>14</v>
      </c>
      <c r="E980" t="s">
        <v>34</v>
      </c>
      <c r="F980" t="s">
        <v>40</v>
      </c>
      <c r="G980" t="s">
        <v>33</v>
      </c>
      <c r="H980">
        <v>442.6</v>
      </c>
    </row>
    <row r="981" spans="1:8" x14ac:dyDescent="0.3">
      <c r="A981">
        <v>202008</v>
      </c>
      <c r="B981" s="1">
        <v>44044</v>
      </c>
      <c r="C981">
        <v>2020</v>
      </c>
      <c r="D981" t="s">
        <v>15</v>
      </c>
      <c r="E981" t="s">
        <v>34</v>
      </c>
      <c r="F981" t="s">
        <v>40</v>
      </c>
      <c r="G981" t="s">
        <v>33</v>
      </c>
      <c r="H981">
        <v>427</v>
      </c>
    </row>
    <row r="982" spans="1:8" x14ac:dyDescent="0.3">
      <c r="A982">
        <v>202009</v>
      </c>
      <c r="B982" s="1">
        <v>44075</v>
      </c>
      <c r="C982">
        <v>2020</v>
      </c>
      <c r="D982" t="s">
        <v>16</v>
      </c>
      <c r="E982" t="s">
        <v>34</v>
      </c>
      <c r="F982" t="s">
        <v>40</v>
      </c>
      <c r="G982" t="s">
        <v>33</v>
      </c>
      <c r="H982">
        <v>387.47</v>
      </c>
    </row>
    <row r="983" spans="1:8" x14ac:dyDescent="0.3">
      <c r="A983">
        <v>202010</v>
      </c>
      <c r="B983" s="1">
        <v>44105</v>
      </c>
      <c r="C983">
        <v>2020</v>
      </c>
      <c r="D983" t="s">
        <v>17</v>
      </c>
      <c r="E983" t="s">
        <v>34</v>
      </c>
      <c r="F983" t="s">
        <v>40</v>
      </c>
      <c r="G983" t="s">
        <v>33</v>
      </c>
      <c r="H983">
        <v>442.44</v>
      </c>
    </row>
    <row r="984" spans="1:8" x14ac:dyDescent="0.3">
      <c r="A984">
        <v>202011</v>
      </c>
      <c r="B984" s="1">
        <v>44136</v>
      </c>
      <c r="C984">
        <v>2020</v>
      </c>
      <c r="D984" t="s">
        <v>18</v>
      </c>
      <c r="E984" t="s">
        <v>34</v>
      </c>
      <c r="F984" t="s">
        <v>40</v>
      </c>
      <c r="G984" t="s">
        <v>33</v>
      </c>
      <c r="H984">
        <v>424.11</v>
      </c>
    </row>
    <row r="985" spans="1:8" x14ac:dyDescent="0.3">
      <c r="A985">
        <v>202012</v>
      </c>
      <c r="B985" s="1">
        <v>44166</v>
      </c>
      <c r="C985">
        <v>2020</v>
      </c>
      <c r="D985" t="s">
        <v>19</v>
      </c>
      <c r="E985" t="s">
        <v>34</v>
      </c>
      <c r="F985" t="s">
        <v>40</v>
      </c>
      <c r="G985" t="s">
        <v>33</v>
      </c>
      <c r="H985">
        <v>449.29</v>
      </c>
    </row>
    <row r="986" spans="1:8" x14ac:dyDescent="0.3">
      <c r="A986">
        <v>202001</v>
      </c>
      <c r="B986" s="1">
        <v>43831</v>
      </c>
      <c r="C986">
        <v>2020</v>
      </c>
      <c r="D986" t="s">
        <v>6</v>
      </c>
      <c r="E986" t="s">
        <v>35</v>
      </c>
      <c r="F986" t="s">
        <v>40</v>
      </c>
      <c r="G986" t="s">
        <v>33</v>
      </c>
      <c r="H986">
        <v>335.39</v>
      </c>
    </row>
    <row r="987" spans="1:8" x14ac:dyDescent="0.3">
      <c r="A987">
        <v>202002</v>
      </c>
      <c r="B987" s="1">
        <v>43862</v>
      </c>
      <c r="C987">
        <v>2020</v>
      </c>
      <c r="D987" t="s">
        <v>9</v>
      </c>
      <c r="E987" t="s">
        <v>35</v>
      </c>
      <c r="F987" t="s">
        <v>40</v>
      </c>
      <c r="G987" t="s">
        <v>33</v>
      </c>
      <c r="H987">
        <v>198.52</v>
      </c>
    </row>
    <row r="988" spans="1:8" x14ac:dyDescent="0.3">
      <c r="A988">
        <v>202003</v>
      </c>
      <c r="B988" s="1">
        <v>43891</v>
      </c>
      <c r="C988">
        <v>2020</v>
      </c>
      <c r="D988" t="s">
        <v>10</v>
      </c>
      <c r="E988" t="s">
        <v>35</v>
      </c>
      <c r="F988" t="s">
        <v>40</v>
      </c>
      <c r="G988" t="s">
        <v>33</v>
      </c>
      <c r="H988">
        <v>212.01</v>
      </c>
    </row>
    <row r="989" spans="1:8" x14ac:dyDescent="0.3">
      <c r="A989">
        <v>202004</v>
      </c>
      <c r="B989" s="1">
        <v>43922</v>
      </c>
      <c r="C989">
        <v>2020</v>
      </c>
      <c r="D989" t="s">
        <v>11</v>
      </c>
      <c r="E989" t="s">
        <v>35</v>
      </c>
      <c r="F989" t="s">
        <v>40</v>
      </c>
      <c r="G989" t="s">
        <v>33</v>
      </c>
      <c r="H989">
        <v>136.78</v>
      </c>
    </row>
    <row r="990" spans="1:8" x14ac:dyDescent="0.3">
      <c r="A990">
        <v>202005</v>
      </c>
      <c r="B990" s="1">
        <v>43952</v>
      </c>
      <c r="C990">
        <v>2020</v>
      </c>
      <c r="D990" t="s">
        <v>12</v>
      </c>
      <c r="E990" t="s">
        <v>35</v>
      </c>
      <c r="F990" t="s">
        <v>40</v>
      </c>
      <c r="G990" t="s">
        <v>33</v>
      </c>
      <c r="H990">
        <v>168.22</v>
      </c>
    </row>
    <row r="991" spans="1:8" x14ac:dyDescent="0.3">
      <c r="A991">
        <v>202006</v>
      </c>
      <c r="B991" s="1">
        <v>43983</v>
      </c>
      <c r="C991">
        <v>2020</v>
      </c>
      <c r="D991" t="s">
        <v>13</v>
      </c>
      <c r="E991" t="s">
        <v>35</v>
      </c>
      <c r="F991" t="s">
        <v>40</v>
      </c>
      <c r="G991" t="s">
        <v>33</v>
      </c>
      <c r="H991">
        <v>373.3</v>
      </c>
    </row>
    <row r="992" spans="1:8" x14ac:dyDescent="0.3">
      <c r="A992">
        <v>202007</v>
      </c>
      <c r="B992" s="1">
        <v>44013</v>
      </c>
      <c r="C992">
        <v>2020</v>
      </c>
      <c r="D992" t="s">
        <v>14</v>
      </c>
      <c r="E992" t="s">
        <v>35</v>
      </c>
      <c r="F992" t="s">
        <v>40</v>
      </c>
      <c r="G992" t="s">
        <v>33</v>
      </c>
      <c r="H992">
        <v>233.53</v>
      </c>
    </row>
    <row r="993" spans="1:8" x14ac:dyDescent="0.3">
      <c r="A993">
        <v>202008</v>
      </c>
      <c r="B993" s="1">
        <v>44044</v>
      </c>
      <c r="C993">
        <v>2020</v>
      </c>
      <c r="D993" t="s">
        <v>15</v>
      </c>
      <c r="E993" t="s">
        <v>35</v>
      </c>
      <c r="F993" t="s">
        <v>40</v>
      </c>
      <c r="G993" t="s">
        <v>33</v>
      </c>
      <c r="H993">
        <v>263.18</v>
      </c>
    </row>
    <row r="994" spans="1:8" x14ac:dyDescent="0.3">
      <c r="A994">
        <v>202009</v>
      </c>
      <c r="B994" s="1">
        <v>44075</v>
      </c>
      <c r="C994">
        <v>2020</v>
      </c>
      <c r="D994" t="s">
        <v>16</v>
      </c>
      <c r="E994" t="s">
        <v>35</v>
      </c>
      <c r="F994" t="s">
        <v>40</v>
      </c>
      <c r="G994" t="s">
        <v>33</v>
      </c>
      <c r="H994">
        <v>213.22</v>
      </c>
    </row>
    <row r="995" spans="1:8" x14ac:dyDescent="0.3">
      <c r="A995">
        <v>202010</v>
      </c>
      <c r="B995" s="1">
        <v>44105</v>
      </c>
      <c r="C995">
        <v>2020</v>
      </c>
      <c r="D995" t="s">
        <v>17</v>
      </c>
      <c r="E995" t="s">
        <v>35</v>
      </c>
      <c r="F995" t="s">
        <v>40</v>
      </c>
      <c r="G995" t="s">
        <v>33</v>
      </c>
      <c r="H995">
        <v>291.52999999999997</v>
      </c>
    </row>
    <row r="996" spans="1:8" x14ac:dyDescent="0.3">
      <c r="A996">
        <v>202011</v>
      </c>
      <c r="B996" s="1">
        <v>44136</v>
      </c>
      <c r="C996">
        <v>2020</v>
      </c>
      <c r="D996" t="s">
        <v>18</v>
      </c>
      <c r="E996" t="s">
        <v>35</v>
      </c>
      <c r="F996" t="s">
        <v>40</v>
      </c>
      <c r="G996" t="s">
        <v>33</v>
      </c>
      <c r="H996">
        <v>265.14999999999998</v>
      </c>
    </row>
    <row r="997" spans="1:8" x14ac:dyDescent="0.3">
      <c r="A997">
        <v>202012</v>
      </c>
      <c r="B997" s="1">
        <v>44166</v>
      </c>
      <c r="C997">
        <v>2020</v>
      </c>
      <c r="D997" t="s">
        <v>19</v>
      </c>
      <c r="E997" t="s">
        <v>35</v>
      </c>
      <c r="F997" t="s">
        <v>40</v>
      </c>
      <c r="G997" t="s">
        <v>33</v>
      </c>
      <c r="H997">
        <v>283.3</v>
      </c>
    </row>
    <row r="998" spans="1:8" x14ac:dyDescent="0.3">
      <c r="A998">
        <v>202001</v>
      </c>
      <c r="B998" s="1">
        <v>43831</v>
      </c>
      <c r="C998">
        <v>2020</v>
      </c>
      <c r="D998" t="s">
        <v>6</v>
      </c>
      <c r="E998" t="s">
        <v>35</v>
      </c>
      <c r="F998" t="s">
        <v>40</v>
      </c>
      <c r="G998" t="s">
        <v>33</v>
      </c>
      <c r="H998">
        <v>162.43</v>
      </c>
    </row>
    <row r="999" spans="1:8" x14ac:dyDescent="0.3">
      <c r="A999">
        <v>202002</v>
      </c>
      <c r="B999" s="1">
        <v>43862</v>
      </c>
      <c r="C999">
        <v>2020</v>
      </c>
      <c r="D999" t="s">
        <v>9</v>
      </c>
      <c r="E999" t="s">
        <v>35</v>
      </c>
      <c r="F999" t="s">
        <v>40</v>
      </c>
      <c r="G999" t="s">
        <v>33</v>
      </c>
      <c r="H999">
        <v>80.56</v>
      </c>
    </row>
    <row r="1000" spans="1:8" x14ac:dyDescent="0.3">
      <c r="A1000">
        <v>202003</v>
      </c>
      <c r="B1000" s="1">
        <v>43891</v>
      </c>
      <c r="C1000">
        <v>2020</v>
      </c>
      <c r="D1000" t="s">
        <v>10</v>
      </c>
      <c r="E1000" t="s">
        <v>35</v>
      </c>
      <c r="F1000" t="s">
        <v>40</v>
      </c>
      <c r="G1000" t="s">
        <v>33</v>
      </c>
      <c r="H1000">
        <v>65.290000000000006</v>
      </c>
    </row>
    <row r="1001" spans="1:8" x14ac:dyDescent="0.3">
      <c r="A1001">
        <v>202004</v>
      </c>
      <c r="B1001" s="1">
        <v>43922</v>
      </c>
      <c r="C1001">
        <v>2020</v>
      </c>
      <c r="D1001" t="s">
        <v>11</v>
      </c>
      <c r="E1001" t="s">
        <v>35</v>
      </c>
      <c r="F1001" t="s">
        <v>40</v>
      </c>
      <c r="G1001" t="s">
        <v>33</v>
      </c>
      <c r="H1001">
        <v>45.93</v>
      </c>
    </row>
    <row r="1002" spans="1:8" x14ac:dyDescent="0.3">
      <c r="A1002">
        <v>202005</v>
      </c>
      <c r="B1002" s="1">
        <v>43952</v>
      </c>
      <c r="C1002">
        <v>2020</v>
      </c>
      <c r="D1002" t="s">
        <v>12</v>
      </c>
      <c r="E1002" t="s">
        <v>35</v>
      </c>
      <c r="F1002" t="s">
        <v>40</v>
      </c>
      <c r="G1002" t="s">
        <v>33</v>
      </c>
      <c r="H1002">
        <v>62.31</v>
      </c>
    </row>
    <row r="1003" spans="1:8" x14ac:dyDescent="0.3">
      <c r="A1003">
        <v>202006</v>
      </c>
      <c r="B1003" s="1">
        <v>43983</v>
      </c>
      <c r="C1003">
        <v>2020</v>
      </c>
      <c r="D1003" t="s">
        <v>13</v>
      </c>
      <c r="E1003" t="s">
        <v>35</v>
      </c>
      <c r="F1003" t="s">
        <v>40</v>
      </c>
      <c r="G1003" t="s">
        <v>33</v>
      </c>
      <c r="H1003">
        <v>95.68</v>
      </c>
    </row>
    <row r="1004" spans="1:8" x14ac:dyDescent="0.3">
      <c r="A1004">
        <v>202007</v>
      </c>
      <c r="B1004" s="1">
        <v>44013</v>
      </c>
      <c r="C1004">
        <v>2020</v>
      </c>
      <c r="D1004" t="s">
        <v>14</v>
      </c>
      <c r="E1004" t="s">
        <v>35</v>
      </c>
      <c r="F1004" t="s">
        <v>40</v>
      </c>
      <c r="G1004" t="s">
        <v>33</v>
      </c>
      <c r="H1004">
        <v>94.18</v>
      </c>
    </row>
    <row r="1005" spans="1:8" x14ac:dyDescent="0.3">
      <c r="A1005">
        <v>202008</v>
      </c>
      <c r="B1005" s="1">
        <v>44044</v>
      </c>
      <c r="C1005">
        <v>2020</v>
      </c>
      <c r="D1005" t="s">
        <v>15</v>
      </c>
      <c r="E1005" t="s">
        <v>35</v>
      </c>
      <c r="F1005" t="s">
        <v>40</v>
      </c>
      <c r="G1005" t="s">
        <v>33</v>
      </c>
      <c r="H1005">
        <v>92.24</v>
      </c>
    </row>
    <row r="1006" spans="1:8" x14ac:dyDescent="0.3">
      <c r="A1006">
        <v>202009</v>
      </c>
      <c r="B1006" s="1">
        <v>44075</v>
      </c>
      <c r="C1006">
        <v>2020</v>
      </c>
      <c r="D1006" t="s">
        <v>16</v>
      </c>
      <c r="E1006" t="s">
        <v>35</v>
      </c>
      <c r="F1006" t="s">
        <v>40</v>
      </c>
      <c r="G1006" t="s">
        <v>33</v>
      </c>
      <c r="H1006">
        <v>85.21</v>
      </c>
    </row>
    <row r="1007" spans="1:8" x14ac:dyDescent="0.3">
      <c r="A1007">
        <v>202010</v>
      </c>
      <c r="B1007" s="1">
        <v>44105</v>
      </c>
      <c r="C1007">
        <v>2020</v>
      </c>
      <c r="D1007" t="s">
        <v>17</v>
      </c>
      <c r="E1007" t="s">
        <v>35</v>
      </c>
      <c r="F1007" t="s">
        <v>40</v>
      </c>
      <c r="G1007" t="s">
        <v>33</v>
      </c>
      <c r="H1007">
        <v>83.94</v>
      </c>
    </row>
    <row r="1008" spans="1:8" x14ac:dyDescent="0.3">
      <c r="A1008">
        <v>202011</v>
      </c>
      <c r="B1008" s="1">
        <v>44136</v>
      </c>
      <c r="C1008">
        <v>2020</v>
      </c>
      <c r="D1008" t="s">
        <v>18</v>
      </c>
      <c r="E1008" t="s">
        <v>35</v>
      </c>
      <c r="F1008" t="s">
        <v>40</v>
      </c>
      <c r="G1008" t="s">
        <v>33</v>
      </c>
      <c r="H1008">
        <v>112.9</v>
      </c>
    </row>
    <row r="1009" spans="1:8" x14ac:dyDescent="0.3">
      <c r="A1009">
        <v>202012</v>
      </c>
      <c r="B1009" s="1">
        <v>44166</v>
      </c>
      <c r="C1009">
        <v>2020</v>
      </c>
      <c r="D1009" t="s">
        <v>19</v>
      </c>
      <c r="E1009" t="s">
        <v>35</v>
      </c>
      <c r="F1009" t="s">
        <v>40</v>
      </c>
      <c r="G1009" t="s">
        <v>33</v>
      </c>
      <c r="H1009">
        <v>84.31</v>
      </c>
    </row>
    <row r="1010" spans="1:8" x14ac:dyDescent="0.3">
      <c r="A1010">
        <v>202001</v>
      </c>
      <c r="B1010" s="1">
        <v>43831</v>
      </c>
      <c r="C1010">
        <v>2020</v>
      </c>
      <c r="D1010" t="s">
        <v>6</v>
      </c>
      <c r="E1010" t="s">
        <v>35</v>
      </c>
      <c r="F1010" t="s">
        <v>40</v>
      </c>
      <c r="G1010" t="s">
        <v>33</v>
      </c>
      <c r="H1010">
        <v>74.680000000000007</v>
      </c>
    </row>
    <row r="1011" spans="1:8" x14ac:dyDescent="0.3">
      <c r="A1011">
        <v>202002</v>
      </c>
      <c r="B1011" s="1">
        <v>43862</v>
      </c>
      <c r="C1011">
        <v>2020</v>
      </c>
      <c r="D1011" t="s">
        <v>9</v>
      </c>
      <c r="E1011" t="s">
        <v>35</v>
      </c>
      <c r="F1011" t="s">
        <v>40</v>
      </c>
      <c r="G1011" t="s">
        <v>33</v>
      </c>
      <c r="H1011">
        <v>41.59</v>
      </c>
    </row>
    <row r="1012" spans="1:8" x14ac:dyDescent="0.3">
      <c r="A1012">
        <v>202003</v>
      </c>
      <c r="B1012" s="1">
        <v>43891</v>
      </c>
      <c r="C1012">
        <v>2020</v>
      </c>
      <c r="D1012" t="s">
        <v>10</v>
      </c>
      <c r="E1012" t="s">
        <v>35</v>
      </c>
      <c r="F1012" t="s">
        <v>40</v>
      </c>
      <c r="G1012" t="s">
        <v>33</v>
      </c>
      <c r="H1012">
        <v>50.05</v>
      </c>
    </row>
    <row r="1013" spans="1:8" x14ac:dyDescent="0.3">
      <c r="A1013">
        <v>202004</v>
      </c>
      <c r="B1013" s="1">
        <v>43922</v>
      </c>
      <c r="C1013">
        <v>2020</v>
      </c>
      <c r="D1013" t="s">
        <v>11</v>
      </c>
      <c r="E1013" t="s">
        <v>35</v>
      </c>
      <c r="F1013" t="s">
        <v>40</v>
      </c>
      <c r="G1013" t="s">
        <v>33</v>
      </c>
      <c r="H1013">
        <v>42.41</v>
      </c>
    </row>
    <row r="1014" spans="1:8" x14ac:dyDescent="0.3">
      <c r="A1014">
        <v>202005</v>
      </c>
      <c r="B1014" s="1">
        <v>43952</v>
      </c>
      <c r="C1014">
        <v>2020</v>
      </c>
      <c r="D1014" t="s">
        <v>12</v>
      </c>
      <c r="E1014" t="s">
        <v>35</v>
      </c>
      <c r="F1014" t="s">
        <v>40</v>
      </c>
      <c r="G1014" t="s">
        <v>33</v>
      </c>
      <c r="H1014">
        <v>46.47</v>
      </c>
    </row>
    <row r="1015" spans="1:8" x14ac:dyDescent="0.3">
      <c r="A1015">
        <v>202006</v>
      </c>
      <c r="B1015" s="1">
        <v>43983</v>
      </c>
      <c r="C1015">
        <v>2020</v>
      </c>
      <c r="D1015" t="s">
        <v>13</v>
      </c>
      <c r="E1015" t="s">
        <v>35</v>
      </c>
      <c r="F1015" t="s">
        <v>40</v>
      </c>
      <c r="G1015" t="s">
        <v>33</v>
      </c>
      <c r="H1015">
        <v>64.69</v>
      </c>
    </row>
    <row r="1016" spans="1:8" x14ac:dyDescent="0.3">
      <c r="A1016">
        <v>202007</v>
      </c>
      <c r="B1016" s="1">
        <v>44013</v>
      </c>
      <c r="C1016">
        <v>2020</v>
      </c>
      <c r="D1016" t="s">
        <v>14</v>
      </c>
      <c r="E1016" t="s">
        <v>35</v>
      </c>
      <c r="F1016" t="s">
        <v>40</v>
      </c>
      <c r="G1016" t="s">
        <v>33</v>
      </c>
      <c r="H1016">
        <v>49.66</v>
      </c>
    </row>
    <row r="1017" spans="1:8" x14ac:dyDescent="0.3">
      <c r="A1017">
        <v>202008</v>
      </c>
      <c r="B1017" s="1">
        <v>44044</v>
      </c>
      <c r="C1017">
        <v>2020</v>
      </c>
      <c r="D1017" t="s">
        <v>15</v>
      </c>
      <c r="E1017" t="s">
        <v>35</v>
      </c>
      <c r="F1017" t="s">
        <v>40</v>
      </c>
      <c r="G1017" t="s">
        <v>33</v>
      </c>
      <c r="H1017">
        <v>50.84</v>
      </c>
    </row>
    <row r="1018" spans="1:8" x14ac:dyDescent="0.3">
      <c r="A1018">
        <v>202009</v>
      </c>
      <c r="B1018" s="1">
        <v>44075</v>
      </c>
      <c r="C1018">
        <v>2020</v>
      </c>
      <c r="D1018" t="s">
        <v>16</v>
      </c>
      <c r="E1018" t="s">
        <v>35</v>
      </c>
      <c r="F1018" t="s">
        <v>40</v>
      </c>
      <c r="G1018" t="s">
        <v>33</v>
      </c>
      <c r="H1018">
        <v>54.18</v>
      </c>
    </row>
    <row r="1019" spans="1:8" x14ac:dyDescent="0.3">
      <c r="A1019">
        <v>202010</v>
      </c>
      <c r="B1019" s="1">
        <v>44105</v>
      </c>
      <c r="C1019">
        <v>2020</v>
      </c>
      <c r="D1019" t="s">
        <v>17</v>
      </c>
      <c r="E1019" t="s">
        <v>35</v>
      </c>
      <c r="F1019" t="s">
        <v>40</v>
      </c>
      <c r="G1019" t="s">
        <v>33</v>
      </c>
      <c r="H1019">
        <v>65.23</v>
      </c>
    </row>
    <row r="1020" spans="1:8" x14ac:dyDescent="0.3">
      <c r="A1020">
        <v>202011</v>
      </c>
      <c r="B1020" s="1">
        <v>44136</v>
      </c>
      <c r="C1020">
        <v>2020</v>
      </c>
      <c r="D1020" t="s">
        <v>18</v>
      </c>
      <c r="E1020" t="s">
        <v>35</v>
      </c>
      <c r="F1020" t="s">
        <v>40</v>
      </c>
      <c r="G1020" t="s">
        <v>33</v>
      </c>
      <c r="H1020">
        <v>50.42</v>
      </c>
    </row>
    <row r="1021" spans="1:8" x14ac:dyDescent="0.3">
      <c r="A1021">
        <v>202012</v>
      </c>
      <c r="B1021" s="1">
        <v>44166</v>
      </c>
      <c r="C1021">
        <v>2020</v>
      </c>
      <c r="D1021" t="s">
        <v>19</v>
      </c>
      <c r="E1021" t="s">
        <v>35</v>
      </c>
      <c r="F1021" t="s">
        <v>40</v>
      </c>
      <c r="G1021" t="s">
        <v>33</v>
      </c>
      <c r="H1021">
        <v>53.34</v>
      </c>
    </row>
    <row r="1022" spans="1:8" x14ac:dyDescent="0.3">
      <c r="A1022">
        <v>202001</v>
      </c>
      <c r="B1022" s="1">
        <v>43831</v>
      </c>
      <c r="C1022">
        <v>2020</v>
      </c>
      <c r="D1022" t="s">
        <v>6</v>
      </c>
      <c r="E1022" t="s">
        <v>35</v>
      </c>
      <c r="F1022" t="s">
        <v>40</v>
      </c>
      <c r="G1022" t="s">
        <v>33</v>
      </c>
      <c r="H1022">
        <v>1257.52</v>
      </c>
    </row>
    <row r="1023" spans="1:8" x14ac:dyDescent="0.3">
      <c r="A1023">
        <v>202002</v>
      </c>
      <c r="B1023" s="1">
        <v>43862</v>
      </c>
      <c r="C1023">
        <v>2020</v>
      </c>
      <c r="D1023" t="s">
        <v>9</v>
      </c>
      <c r="E1023" t="s">
        <v>35</v>
      </c>
      <c r="F1023" t="s">
        <v>40</v>
      </c>
      <c r="G1023" t="s">
        <v>33</v>
      </c>
      <c r="H1023">
        <v>860.36</v>
      </c>
    </row>
    <row r="1024" spans="1:8" x14ac:dyDescent="0.3">
      <c r="A1024">
        <v>202003</v>
      </c>
      <c r="B1024" s="1">
        <v>43891</v>
      </c>
      <c r="C1024">
        <v>2020</v>
      </c>
      <c r="D1024" t="s">
        <v>10</v>
      </c>
      <c r="E1024" t="s">
        <v>35</v>
      </c>
      <c r="F1024" t="s">
        <v>40</v>
      </c>
      <c r="G1024" t="s">
        <v>33</v>
      </c>
      <c r="H1024">
        <v>844.75</v>
      </c>
    </row>
    <row r="1025" spans="1:8" x14ac:dyDescent="0.3">
      <c r="A1025">
        <v>202004</v>
      </c>
      <c r="B1025" s="1">
        <v>43922</v>
      </c>
      <c r="C1025">
        <v>2020</v>
      </c>
      <c r="D1025" t="s">
        <v>11</v>
      </c>
      <c r="E1025" t="s">
        <v>35</v>
      </c>
      <c r="F1025" t="s">
        <v>40</v>
      </c>
      <c r="G1025" t="s">
        <v>33</v>
      </c>
      <c r="H1025">
        <v>325.44</v>
      </c>
    </row>
    <row r="1026" spans="1:8" x14ac:dyDescent="0.3">
      <c r="A1026">
        <v>202005</v>
      </c>
      <c r="B1026" s="1">
        <v>43952</v>
      </c>
      <c r="C1026">
        <v>2020</v>
      </c>
      <c r="D1026" t="s">
        <v>12</v>
      </c>
      <c r="E1026" t="s">
        <v>35</v>
      </c>
      <c r="F1026" t="s">
        <v>40</v>
      </c>
      <c r="G1026" t="s">
        <v>33</v>
      </c>
      <c r="H1026">
        <v>471.36</v>
      </c>
    </row>
    <row r="1027" spans="1:8" x14ac:dyDescent="0.3">
      <c r="A1027">
        <v>202006</v>
      </c>
      <c r="B1027" s="1">
        <v>43983</v>
      </c>
      <c r="C1027">
        <v>2020</v>
      </c>
      <c r="D1027" t="s">
        <v>13</v>
      </c>
      <c r="E1027" t="s">
        <v>35</v>
      </c>
      <c r="F1027" t="s">
        <v>40</v>
      </c>
      <c r="G1027" t="s">
        <v>33</v>
      </c>
      <c r="H1027">
        <v>1786</v>
      </c>
    </row>
    <row r="1028" spans="1:8" x14ac:dyDescent="0.3">
      <c r="A1028">
        <v>202007</v>
      </c>
      <c r="B1028" s="1">
        <v>44013</v>
      </c>
      <c r="C1028">
        <v>2020</v>
      </c>
      <c r="D1028" t="s">
        <v>14</v>
      </c>
      <c r="E1028" t="s">
        <v>35</v>
      </c>
      <c r="F1028" t="s">
        <v>40</v>
      </c>
      <c r="G1028" t="s">
        <v>33</v>
      </c>
      <c r="H1028">
        <v>819.14</v>
      </c>
    </row>
    <row r="1029" spans="1:8" x14ac:dyDescent="0.3">
      <c r="A1029">
        <v>202008</v>
      </c>
      <c r="B1029" s="1">
        <v>44044</v>
      </c>
      <c r="C1029">
        <v>2020</v>
      </c>
      <c r="D1029" t="s">
        <v>15</v>
      </c>
      <c r="E1029" t="s">
        <v>35</v>
      </c>
      <c r="F1029" t="s">
        <v>40</v>
      </c>
      <c r="G1029" t="s">
        <v>33</v>
      </c>
      <c r="H1029">
        <v>895.69</v>
      </c>
    </row>
    <row r="1030" spans="1:8" x14ac:dyDescent="0.3">
      <c r="A1030">
        <v>202009</v>
      </c>
      <c r="B1030" s="1">
        <v>44075</v>
      </c>
      <c r="C1030">
        <v>2020</v>
      </c>
      <c r="D1030" t="s">
        <v>16</v>
      </c>
      <c r="E1030" t="s">
        <v>35</v>
      </c>
      <c r="F1030" t="s">
        <v>40</v>
      </c>
      <c r="G1030" t="s">
        <v>33</v>
      </c>
      <c r="H1030">
        <v>760.36</v>
      </c>
    </row>
    <row r="1031" spans="1:8" x14ac:dyDescent="0.3">
      <c r="A1031">
        <v>202010</v>
      </c>
      <c r="B1031" s="1">
        <v>44105</v>
      </c>
      <c r="C1031">
        <v>2020</v>
      </c>
      <c r="D1031" t="s">
        <v>17</v>
      </c>
      <c r="E1031" t="s">
        <v>35</v>
      </c>
      <c r="F1031" t="s">
        <v>40</v>
      </c>
      <c r="G1031" t="s">
        <v>33</v>
      </c>
      <c r="H1031">
        <v>1118.5899999999999</v>
      </c>
    </row>
    <row r="1032" spans="1:8" x14ac:dyDescent="0.3">
      <c r="A1032">
        <v>202011</v>
      </c>
      <c r="B1032" s="1">
        <v>44136</v>
      </c>
      <c r="C1032">
        <v>2020</v>
      </c>
      <c r="D1032" t="s">
        <v>18</v>
      </c>
      <c r="E1032" t="s">
        <v>35</v>
      </c>
      <c r="F1032" t="s">
        <v>40</v>
      </c>
      <c r="G1032" t="s">
        <v>33</v>
      </c>
      <c r="H1032">
        <v>1022.95</v>
      </c>
    </row>
    <row r="1033" spans="1:8" x14ac:dyDescent="0.3">
      <c r="A1033">
        <v>202012</v>
      </c>
      <c r="B1033" s="1">
        <v>44166</v>
      </c>
      <c r="C1033">
        <v>2020</v>
      </c>
      <c r="D1033" t="s">
        <v>19</v>
      </c>
      <c r="E1033" t="s">
        <v>35</v>
      </c>
      <c r="F1033" t="s">
        <v>40</v>
      </c>
      <c r="G1033" t="s">
        <v>33</v>
      </c>
      <c r="H1033">
        <v>922.54</v>
      </c>
    </row>
    <row r="1034" spans="1:8" x14ac:dyDescent="0.3">
      <c r="A1034">
        <v>202001</v>
      </c>
      <c r="B1034" s="1">
        <v>43831</v>
      </c>
      <c r="C1034">
        <v>2020</v>
      </c>
      <c r="D1034" t="s">
        <v>6</v>
      </c>
      <c r="E1034" t="s">
        <v>35</v>
      </c>
      <c r="F1034" t="s">
        <v>40</v>
      </c>
      <c r="G1034" t="s">
        <v>33</v>
      </c>
      <c r="H1034">
        <v>1794.28</v>
      </c>
    </row>
    <row r="1035" spans="1:8" x14ac:dyDescent="0.3">
      <c r="A1035">
        <v>202002</v>
      </c>
      <c r="B1035" s="1">
        <v>43862</v>
      </c>
      <c r="C1035">
        <v>2020</v>
      </c>
      <c r="D1035" t="s">
        <v>9</v>
      </c>
      <c r="E1035" t="s">
        <v>35</v>
      </c>
      <c r="F1035" t="s">
        <v>40</v>
      </c>
      <c r="G1035" t="s">
        <v>33</v>
      </c>
      <c r="H1035">
        <v>920.82</v>
      </c>
    </row>
    <row r="1036" spans="1:8" x14ac:dyDescent="0.3">
      <c r="A1036">
        <v>202003</v>
      </c>
      <c r="B1036" s="1">
        <v>43891</v>
      </c>
      <c r="C1036">
        <v>2020</v>
      </c>
      <c r="D1036" t="s">
        <v>10</v>
      </c>
      <c r="E1036" t="s">
        <v>35</v>
      </c>
      <c r="F1036" t="s">
        <v>40</v>
      </c>
      <c r="G1036" t="s">
        <v>33</v>
      </c>
      <c r="H1036">
        <v>928.01</v>
      </c>
    </row>
    <row r="1037" spans="1:8" x14ac:dyDescent="0.3">
      <c r="A1037">
        <v>202004</v>
      </c>
      <c r="B1037" s="1">
        <v>43922</v>
      </c>
      <c r="C1037">
        <v>2020</v>
      </c>
      <c r="D1037" t="s">
        <v>11</v>
      </c>
      <c r="E1037" t="s">
        <v>35</v>
      </c>
      <c r="F1037" t="s">
        <v>40</v>
      </c>
      <c r="G1037" t="s">
        <v>33</v>
      </c>
      <c r="H1037">
        <v>823.09</v>
      </c>
    </row>
    <row r="1038" spans="1:8" x14ac:dyDescent="0.3">
      <c r="A1038">
        <v>202005</v>
      </c>
      <c r="B1038" s="1">
        <v>43952</v>
      </c>
      <c r="C1038">
        <v>2020</v>
      </c>
      <c r="D1038" t="s">
        <v>12</v>
      </c>
      <c r="E1038" t="s">
        <v>35</v>
      </c>
      <c r="F1038" t="s">
        <v>40</v>
      </c>
      <c r="G1038" t="s">
        <v>33</v>
      </c>
      <c r="H1038">
        <v>898.57</v>
      </c>
    </row>
    <row r="1039" spans="1:8" x14ac:dyDescent="0.3">
      <c r="A1039">
        <v>202006</v>
      </c>
      <c r="B1039" s="1">
        <v>43983</v>
      </c>
      <c r="C1039">
        <v>2020</v>
      </c>
      <c r="D1039" t="s">
        <v>13</v>
      </c>
      <c r="E1039" t="s">
        <v>35</v>
      </c>
      <c r="F1039" t="s">
        <v>40</v>
      </c>
      <c r="G1039" t="s">
        <v>33</v>
      </c>
      <c r="H1039">
        <v>2625.55</v>
      </c>
    </row>
    <row r="1040" spans="1:8" x14ac:dyDescent="0.3">
      <c r="A1040">
        <v>202007</v>
      </c>
      <c r="B1040" s="1">
        <v>44013</v>
      </c>
      <c r="C1040">
        <v>2020</v>
      </c>
      <c r="D1040" t="s">
        <v>14</v>
      </c>
      <c r="E1040" t="s">
        <v>35</v>
      </c>
      <c r="F1040" t="s">
        <v>40</v>
      </c>
      <c r="G1040" t="s">
        <v>33</v>
      </c>
      <c r="H1040">
        <v>1530.73</v>
      </c>
    </row>
    <row r="1041" spans="1:8" x14ac:dyDescent="0.3">
      <c r="A1041">
        <v>202008</v>
      </c>
      <c r="B1041" s="1">
        <v>44044</v>
      </c>
      <c r="C1041">
        <v>2020</v>
      </c>
      <c r="D1041" t="s">
        <v>15</v>
      </c>
      <c r="E1041" t="s">
        <v>35</v>
      </c>
      <c r="F1041" t="s">
        <v>40</v>
      </c>
      <c r="G1041" t="s">
        <v>33</v>
      </c>
      <c r="H1041">
        <v>1300.6500000000001</v>
      </c>
    </row>
    <row r="1042" spans="1:8" x14ac:dyDescent="0.3">
      <c r="A1042">
        <v>202009</v>
      </c>
      <c r="B1042" s="1">
        <v>44075</v>
      </c>
      <c r="C1042">
        <v>2020</v>
      </c>
      <c r="D1042" t="s">
        <v>16</v>
      </c>
      <c r="E1042" t="s">
        <v>35</v>
      </c>
      <c r="F1042" t="s">
        <v>40</v>
      </c>
      <c r="G1042" t="s">
        <v>33</v>
      </c>
      <c r="H1042">
        <v>1437.32</v>
      </c>
    </row>
    <row r="1043" spans="1:8" x14ac:dyDescent="0.3">
      <c r="A1043">
        <v>202010</v>
      </c>
      <c r="B1043" s="1">
        <v>44105</v>
      </c>
      <c r="C1043">
        <v>2020</v>
      </c>
      <c r="D1043" t="s">
        <v>17</v>
      </c>
      <c r="E1043" t="s">
        <v>35</v>
      </c>
      <c r="F1043" t="s">
        <v>40</v>
      </c>
      <c r="G1043" t="s">
        <v>33</v>
      </c>
      <c r="H1043">
        <v>1115.1400000000001</v>
      </c>
    </row>
    <row r="1044" spans="1:8" x14ac:dyDescent="0.3">
      <c r="A1044">
        <v>202011</v>
      </c>
      <c r="B1044" s="1">
        <v>44136</v>
      </c>
      <c r="C1044">
        <v>2020</v>
      </c>
      <c r="D1044" t="s">
        <v>18</v>
      </c>
      <c r="E1044" t="s">
        <v>35</v>
      </c>
      <c r="F1044" t="s">
        <v>40</v>
      </c>
      <c r="G1044" t="s">
        <v>33</v>
      </c>
      <c r="H1044">
        <v>1697.46</v>
      </c>
    </row>
    <row r="1045" spans="1:8" x14ac:dyDescent="0.3">
      <c r="A1045">
        <v>202012</v>
      </c>
      <c r="B1045" s="1">
        <v>44166</v>
      </c>
      <c r="C1045">
        <v>2020</v>
      </c>
      <c r="D1045" t="s">
        <v>19</v>
      </c>
      <c r="E1045" t="s">
        <v>35</v>
      </c>
      <c r="F1045" t="s">
        <v>40</v>
      </c>
      <c r="G1045" t="s">
        <v>33</v>
      </c>
      <c r="H1045">
        <v>1022.2</v>
      </c>
    </row>
    <row r="1046" spans="1:8" x14ac:dyDescent="0.3">
      <c r="A1046">
        <v>202001</v>
      </c>
      <c r="B1046" s="1">
        <v>43831</v>
      </c>
      <c r="C1046">
        <v>2020</v>
      </c>
      <c r="D1046" t="s">
        <v>6</v>
      </c>
      <c r="E1046" t="s">
        <v>36</v>
      </c>
      <c r="F1046" t="s">
        <v>40</v>
      </c>
      <c r="G1046" t="s">
        <v>33</v>
      </c>
      <c r="H1046">
        <v>153.05000000000001</v>
      </c>
    </row>
    <row r="1047" spans="1:8" x14ac:dyDescent="0.3">
      <c r="A1047">
        <v>202002</v>
      </c>
      <c r="B1047" s="1">
        <v>43862</v>
      </c>
      <c r="C1047">
        <v>2020</v>
      </c>
      <c r="D1047" t="s">
        <v>9</v>
      </c>
      <c r="E1047" t="s">
        <v>36</v>
      </c>
      <c r="F1047" t="s">
        <v>40</v>
      </c>
      <c r="G1047" t="s">
        <v>33</v>
      </c>
      <c r="H1047">
        <v>89.68</v>
      </c>
    </row>
    <row r="1048" spans="1:8" x14ac:dyDescent="0.3">
      <c r="A1048">
        <v>202003</v>
      </c>
      <c r="B1048" s="1">
        <v>43891</v>
      </c>
      <c r="C1048">
        <v>2020</v>
      </c>
      <c r="D1048" t="s">
        <v>10</v>
      </c>
      <c r="E1048" t="s">
        <v>36</v>
      </c>
      <c r="F1048" t="s">
        <v>40</v>
      </c>
      <c r="G1048" t="s">
        <v>33</v>
      </c>
      <c r="H1048">
        <v>98.52</v>
      </c>
    </row>
    <row r="1049" spans="1:8" x14ac:dyDescent="0.3">
      <c r="A1049">
        <v>202004</v>
      </c>
      <c r="B1049" s="1">
        <v>43922</v>
      </c>
      <c r="C1049">
        <v>2020</v>
      </c>
      <c r="D1049" t="s">
        <v>11</v>
      </c>
      <c r="E1049" t="s">
        <v>36</v>
      </c>
      <c r="F1049" t="s">
        <v>40</v>
      </c>
      <c r="G1049" t="s">
        <v>33</v>
      </c>
      <c r="H1049">
        <v>62.01</v>
      </c>
    </row>
    <row r="1050" spans="1:8" x14ac:dyDescent="0.3">
      <c r="A1050">
        <v>202005</v>
      </c>
      <c r="B1050" s="1">
        <v>43952</v>
      </c>
      <c r="C1050">
        <v>2020</v>
      </c>
      <c r="D1050" t="s">
        <v>12</v>
      </c>
      <c r="E1050" t="s">
        <v>36</v>
      </c>
      <c r="F1050" t="s">
        <v>40</v>
      </c>
      <c r="G1050" t="s">
        <v>33</v>
      </c>
      <c r="H1050">
        <v>98.12</v>
      </c>
    </row>
    <row r="1051" spans="1:8" x14ac:dyDescent="0.3">
      <c r="A1051">
        <v>202006</v>
      </c>
      <c r="B1051" s="1">
        <v>43983</v>
      </c>
      <c r="C1051">
        <v>2020</v>
      </c>
      <c r="D1051" t="s">
        <v>13</v>
      </c>
      <c r="E1051" t="s">
        <v>36</v>
      </c>
      <c r="F1051" t="s">
        <v>40</v>
      </c>
      <c r="G1051" t="s">
        <v>33</v>
      </c>
      <c r="H1051">
        <v>141.37</v>
      </c>
    </row>
    <row r="1052" spans="1:8" x14ac:dyDescent="0.3">
      <c r="A1052">
        <v>202007</v>
      </c>
      <c r="B1052" s="1">
        <v>44013</v>
      </c>
      <c r="C1052">
        <v>2020</v>
      </c>
      <c r="D1052" t="s">
        <v>14</v>
      </c>
      <c r="E1052" t="s">
        <v>36</v>
      </c>
      <c r="F1052" t="s">
        <v>40</v>
      </c>
      <c r="G1052" t="s">
        <v>33</v>
      </c>
      <c r="H1052">
        <v>125.5</v>
      </c>
    </row>
    <row r="1053" spans="1:8" x14ac:dyDescent="0.3">
      <c r="A1053">
        <v>202008</v>
      </c>
      <c r="B1053" s="1">
        <v>44044</v>
      </c>
      <c r="C1053">
        <v>2020</v>
      </c>
      <c r="D1053" t="s">
        <v>15</v>
      </c>
      <c r="E1053" t="s">
        <v>36</v>
      </c>
      <c r="F1053" t="s">
        <v>40</v>
      </c>
      <c r="G1053" t="s">
        <v>33</v>
      </c>
      <c r="H1053">
        <v>122.26</v>
      </c>
    </row>
    <row r="1054" spans="1:8" x14ac:dyDescent="0.3">
      <c r="A1054">
        <v>202009</v>
      </c>
      <c r="B1054" s="1">
        <v>44075</v>
      </c>
      <c r="C1054">
        <v>2020</v>
      </c>
      <c r="D1054" t="s">
        <v>16</v>
      </c>
      <c r="E1054" t="s">
        <v>36</v>
      </c>
      <c r="F1054" t="s">
        <v>40</v>
      </c>
      <c r="G1054" t="s">
        <v>33</v>
      </c>
      <c r="H1054">
        <v>99.22</v>
      </c>
    </row>
    <row r="1055" spans="1:8" x14ac:dyDescent="0.3">
      <c r="A1055">
        <v>202010</v>
      </c>
      <c r="B1055" s="1">
        <v>44105</v>
      </c>
      <c r="C1055">
        <v>2020</v>
      </c>
      <c r="D1055" t="s">
        <v>17</v>
      </c>
      <c r="E1055" t="s">
        <v>36</v>
      </c>
      <c r="F1055" t="s">
        <v>40</v>
      </c>
      <c r="G1055" t="s">
        <v>33</v>
      </c>
      <c r="H1055">
        <v>121.8</v>
      </c>
    </row>
    <row r="1056" spans="1:8" x14ac:dyDescent="0.3">
      <c r="A1056">
        <v>202011</v>
      </c>
      <c r="B1056" s="1">
        <v>44136</v>
      </c>
      <c r="C1056">
        <v>2020</v>
      </c>
      <c r="D1056" t="s">
        <v>18</v>
      </c>
      <c r="E1056" t="s">
        <v>36</v>
      </c>
      <c r="F1056" t="s">
        <v>40</v>
      </c>
      <c r="G1056" t="s">
        <v>33</v>
      </c>
      <c r="H1056">
        <v>120.64</v>
      </c>
    </row>
    <row r="1057" spans="1:8" x14ac:dyDescent="0.3">
      <c r="A1057">
        <v>202012</v>
      </c>
      <c r="B1057" s="1">
        <v>44166</v>
      </c>
      <c r="C1057">
        <v>2020</v>
      </c>
      <c r="D1057" t="s">
        <v>19</v>
      </c>
      <c r="E1057" t="s">
        <v>36</v>
      </c>
      <c r="F1057" t="s">
        <v>40</v>
      </c>
      <c r="G1057" t="s">
        <v>33</v>
      </c>
      <c r="H1057">
        <v>121.83</v>
      </c>
    </row>
    <row r="1058" spans="1:8" x14ac:dyDescent="0.3">
      <c r="A1058">
        <v>202001</v>
      </c>
      <c r="B1058" s="1">
        <v>43831</v>
      </c>
      <c r="C1058">
        <v>2020</v>
      </c>
      <c r="D1058" t="s">
        <v>6</v>
      </c>
      <c r="E1058" t="s">
        <v>36</v>
      </c>
      <c r="F1058" t="s">
        <v>40</v>
      </c>
      <c r="G1058" t="s">
        <v>33</v>
      </c>
      <c r="H1058">
        <v>286.14999999999998</v>
      </c>
    </row>
    <row r="1059" spans="1:8" x14ac:dyDescent="0.3">
      <c r="A1059">
        <v>202002</v>
      </c>
      <c r="B1059" s="1">
        <v>43862</v>
      </c>
      <c r="C1059">
        <v>2020</v>
      </c>
      <c r="D1059" t="s">
        <v>9</v>
      </c>
      <c r="E1059" t="s">
        <v>36</v>
      </c>
      <c r="F1059" t="s">
        <v>40</v>
      </c>
      <c r="G1059" t="s">
        <v>33</v>
      </c>
      <c r="H1059">
        <v>177.14</v>
      </c>
    </row>
    <row r="1060" spans="1:8" x14ac:dyDescent="0.3">
      <c r="A1060">
        <v>202003</v>
      </c>
      <c r="B1060" s="1">
        <v>43891</v>
      </c>
      <c r="C1060">
        <v>2020</v>
      </c>
      <c r="D1060" t="s">
        <v>10</v>
      </c>
      <c r="E1060" t="s">
        <v>36</v>
      </c>
      <c r="F1060" t="s">
        <v>40</v>
      </c>
      <c r="G1060" t="s">
        <v>33</v>
      </c>
      <c r="H1060">
        <v>188.89</v>
      </c>
    </row>
    <row r="1061" spans="1:8" x14ac:dyDescent="0.3">
      <c r="A1061">
        <v>202004</v>
      </c>
      <c r="B1061" s="1">
        <v>43922</v>
      </c>
      <c r="C1061">
        <v>2020</v>
      </c>
      <c r="D1061" t="s">
        <v>11</v>
      </c>
      <c r="E1061" t="s">
        <v>36</v>
      </c>
      <c r="F1061" t="s">
        <v>40</v>
      </c>
      <c r="G1061" t="s">
        <v>33</v>
      </c>
      <c r="H1061">
        <v>106.96</v>
      </c>
    </row>
    <row r="1062" spans="1:8" x14ac:dyDescent="0.3">
      <c r="A1062">
        <v>202005</v>
      </c>
      <c r="B1062" s="1">
        <v>43952</v>
      </c>
      <c r="C1062">
        <v>2020</v>
      </c>
      <c r="D1062" t="s">
        <v>12</v>
      </c>
      <c r="E1062" t="s">
        <v>36</v>
      </c>
      <c r="F1062" t="s">
        <v>40</v>
      </c>
      <c r="G1062" t="s">
        <v>33</v>
      </c>
      <c r="H1062">
        <v>156.29</v>
      </c>
    </row>
    <row r="1063" spans="1:8" x14ac:dyDescent="0.3">
      <c r="A1063">
        <v>202006</v>
      </c>
      <c r="B1063" s="1">
        <v>43983</v>
      </c>
      <c r="C1063">
        <v>2020</v>
      </c>
      <c r="D1063" t="s">
        <v>13</v>
      </c>
      <c r="E1063" t="s">
        <v>36</v>
      </c>
      <c r="F1063" t="s">
        <v>40</v>
      </c>
      <c r="G1063" t="s">
        <v>33</v>
      </c>
      <c r="H1063">
        <v>381.37</v>
      </c>
    </row>
    <row r="1064" spans="1:8" x14ac:dyDescent="0.3">
      <c r="A1064">
        <v>202007</v>
      </c>
      <c r="B1064" s="1">
        <v>44013</v>
      </c>
      <c r="C1064">
        <v>2020</v>
      </c>
      <c r="D1064" t="s">
        <v>14</v>
      </c>
      <c r="E1064" t="s">
        <v>36</v>
      </c>
      <c r="F1064" t="s">
        <v>40</v>
      </c>
      <c r="G1064" t="s">
        <v>33</v>
      </c>
      <c r="H1064">
        <v>219.12</v>
      </c>
    </row>
    <row r="1065" spans="1:8" x14ac:dyDescent="0.3">
      <c r="A1065">
        <v>202008</v>
      </c>
      <c r="B1065" s="1">
        <v>44044</v>
      </c>
      <c r="C1065">
        <v>2020</v>
      </c>
      <c r="D1065" t="s">
        <v>15</v>
      </c>
      <c r="E1065" t="s">
        <v>36</v>
      </c>
      <c r="F1065" t="s">
        <v>40</v>
      </c>
      <c r="G1065" t="s">
        <v>33</v>
      </c>
      <c r="H1065">
        <v>216.27</v>
      </c>
    </row>
    <row r="1066" spans="1:8" x14ac:dyDescent="0.3">
      <c r="A1066">
        <v>202009</v>
      </c>
      <c r="B1066" s="1">
        <v>44075</v>
      </c>
      <c r="C1066">
        <v>2020</v>
      </c>
      <c r="D1066" t="s">
        <v>16</v>
      </c>
      <c r="E1066" t="s">
        <v>36</v>
      </c>
      <c r="F1066" t="s">
        <v>40</v>
      </c>
      <c r="G1066" t="s">
        <v>33</v>
      </c>
      <c r="H1066">
        <v>200.51</v>
      </c>
    </row>
    <row r="1067" spans="1:8" x14ac:dyDescent="0.3">
      <c r="A1067">
        <v>202010</v>
      </c>
      <c r="B1067" s="1">
        <v>44105</v>
      </c>
      <c r="C1067">
        <v>2020</v>
      </c>
      <c r="D1067" t="s">
        <v>17</v>
      </c>
      <c r="E1067" t="s">
        <v>36</v>
      </c>
      <c r="F1067" t="s">
        <v>40</v>
      </c>
      <c r="G1067" t="s">
        <v>33</v>
      </c>
      <c r="H1067">
        <v>209.59</v>
      </c>
    </row>
    <row r="1068" spans="1:8" x14ac:dyDescent="0.3">
      <c r="A1068">
        <v>202011</v>
      </c>
      <c r="B1068" s="1">
        <v>44136</v>
      </c>
      <c r="C1068">
        <v>2020</v>
      </c>
      <c r="D1068" t="s">
        <v>18</v>
      </c>
      <c r="E1068" t="s">
        <v>36</v>
      </c>
      <c r="F1068" t="s">
        <v>40</v>
      </c>
      <c r="G1068" t="s">
        <v>33</v>
      </c>
      <c r="H1068">
        <v>210.31</v>
      </c>
    </row>
    <row r="1069" spans="1:8" x14ac:dyDescent="0.3">
      <c r="A1069">
        <v>202012</v>
      </c>
      <c r="B1069" s="1">
        <v>44166</v>
      </c>
      <c r="C1069">
        <v>2020</v>
      </c>
      <c r="D1069" t="s">
        <v>19</v>
      </c>
      <c r="E1069" t="s">
        <v>36</v>
      </c>
      <c r="F1069" t="s">
        <v>40</v>
      </c>
      <c r="G1069" t="s">
        <v>33</v>
      </c>
      <c r="H1069">
        <v>242.35</v>
      </c>
    </row>
    <row r="1070" spans="1:8" x14ac:dyDescent="0.3">
      <c r="A1070">
        <v>202001</v>
      </c>
      <c r="B1070" s="1">
        <v>43831</v>
      </c>
      <c r="C1070">
        <v>2020</v>
      </c>
      <c r="D1070" t="s">
        <v>6</v>
      </c>
      <c r="E1070" t="s">
        <v>36</v>
      </c>
      <c r="F1070" t="s">
        <v>40</v>
      </c>
      <c r="G1070" t="s">
        <v>33</v>
      </c>
      <c r="H1070">
        <v>169.34</v>
      </c>
    </row>
    <row r="1071" spans="1:8" x14ac:dyDescent="0.3">
      <c r="A1071">
        <v>202002</v>
      </c>
      <c r="B1071" s="1">
        <v>43862</v>
      </c>
      <c r="C1071">
        <v>2020</v>
      </c>
      <c r="D1071" t="s">
        <v>9</v>
      </c>
      <c r="E1071" t="s">
        <v>36</v>
      </c>
      <c r="F1071" t="s">
        <v>40</v>
      </c>
      <c r="G1071" t="s">
        <v>33</v>
      </c>
      <c r="H1071">
        <v>100.72</v>
      </c>
    </row>
    <row r="1072" spans="1:8" x14ac:dyDescent="0.3">
      <c r="A1072">
        <v>202003</v>
      </c>
      <c r="B1072" s="1">
        <v>43891</v>
      </c>
      <c r="C1072">
        <v>2020</v>
      </c>
      <c r="D1072" t="s">
        <v>10</v>
      </c>
      <c r="E1072" t="s">
        <v>36</v>
      </c>
      <c r="F1072" t="s">
        <v>40</v>
      </c>
      <c r="G1072" t="s">
        <v>33</v>
      </c>
      <c r="H1072">
        <v>115.53</v>
      </c>
    </row>
    <row r="1073" spans="1:8" x14ac:dyDescent="0.3">
      <c r="A1073">
        <v>202004</v>
      </c>
      <c r="B1073" s="1">
        <v>43922</v>
      </c>
      <c r="C1073">
        <v>2020</v>
      </c>
      <c r="D1073" t="s">
        <v>11</v>
      </c>
      <c r="E1073" t="s">
        <v>36</v>
      </c>
      <c r="F1073" t="s">
        <v>40</v>
      </c>
      <c r="G1073" t="s">
        <v>33</v>
      </c>
      <c r="H1073">
        <v>86.73</v>
      </c>
    </row>
    <row r="1074" spans="1:8" x14ac:dyDescent="0.3">
      <c r="A1074">
        <v>202005</v>
      </c>
      <c r="B1074" s="1">
        <v>43952</v>
      </c>
      <c r="C1074">
        <v>2020</v>
      </c>
      <c r="D1074" t="s">
        <v>12</v>
      </c>
      <c r="E1074" t="s">
        <v>36</v>
      </c>
      <c r="F1074" t="s">
        <v>40</v>
      </c>
      <c r="G1074" t="s">
        <v>33</v>
      </c>
      <c r="H1074">
        <v>86.34</v>
      </c>
    </row>
    <row r="1075" spans="1:8" x14ac:dyDescent="0.3">
      <c r="A1075">
        <v>202006</v>
      </c>
      <c r="B1075" s="1">
        <v>43983</v>
      </c>
      <c r="C1075">
        <v>2020</v>
      </c>
      <c r="D1075" t="s">
        <v>13</v>
      </c>
      <c r="E1075" t="s">
        <v>36</v>
      </c>
      <c r="F1075" t="s">
        <v>40</v>
      </c>
      <c r="G1075" t="s">
        <v>33</v>
      </c>
      <c r="H1075">
        <v>187.38</v>
      </c>
    </row>
    <row r="1076" spans="1:8" x14ac:dyDescent="0.3">
      <c r="A1076">
        <v>202007</v>
      </c>
      <c r="B1076" s="1">
        <v>44013</v>
      </c>
      <c r="C1076">
        <v>2020</v>
      </c>
      <c r="D1076" t="s">
        <v>14</v>
      </c>
      <c r="E1076" t="s">
        <v>36</v>
      </c>
      <c r="F1076" t="s">
        <v>40</v>
      </c>
      <c r="G1076" t="s">
        <v>33</v>
      </c>
      <c r="H1076">
        <v>129.77000000000001</v>
      </c>
    </row>
    <row r="1077" spans="1:8" x14ac:dyDescent="0.3">
      <c r="A1077">
        <v>202008</v>
      </c>
      <c r="B1077" s="1">
        <v>44044</v>
      </c>
      <c r="C1077">
        <v>2020</v>
      </c>
      <c r="D1077" t="s">
        <v>15</v>
      </c>
      <c r="E1077" t="s">
        <v>36</v>
      </c>
      <c r="F1077" t="s">
        <v>40</v>
      </c>
      <c r="G1077" t="s">
        <v>33</v>
      </c>
      <c r="H1077">
        <v>141.75</v>
      </c>
    </row>
    <row r="1078" spans="1:8" x14ac:dyDescent="0.3">
      <c r="A1078">
        <v>202009</v>
      </c>
      <c r="B1078" s="1">
        <v>44075</v>
      </c>
      <c r="C1078">
        <v>2020</v>
      </c>
      <c r="D1078" t="s">
        <v>16</v>
      </c>
      <c r="E1078" t="s">
        <v>36</v>
      </c>
      <c r="F1078" t="s">
        <v>40</v>
      </c>
      <c r="G1078" t="s">
        <v>33</v>
      </c>
      <c r="H1078">
        <v>113.16</v>
      </c>
    </row>
    <row r="1079" spans="1:8" x14ac:dyDescent="0.3">
      <c r="A1079">
        <v>202010</v>
      </c>
      <c r="B1079" s="1">
        <v>44105</v>
      </c>
      <c r="C1079">
        <v>2020</v>
      </c>
      <c r="D1079" t="s">
        <v>17</v>
      </c>
      <c r="E1079" t="s">
        <v>36</v>
      </c>
      <c r="F1079" t="s">
        <v>40</v>
      </c>
      <c r="G1079" t="s">
        <v>33</v>
      </c>
      <c r="H1079">
        <v>146.96</v>
      </c>
    </row>
    <row r="1080" spans="1:8" x14ac:dyDescent="0.3">
      <c r="A1080">
        <v>202011</v>
      </c>
      <c r="B1080" s="1">
        <v>44136</v>
      </c>
      <c r="C1080">
        <v>2020</v>
      </c>
      <c r="D1080" t="s">
        <v>18</v>
      </c>
      <c r="E1080" t="s">
        <v>36</v>
      </c>
      <c r="F1080" t="s">
        <v>40</v>
      </c>
      <c r="G1080" t="s">
        <v>33</v>
      </c>
      <c r="H1080">
        <v>138.19</v>
      </c>
    </row>
    <row r="1081" spans="1:8" x14ac:dyDescent="0.3">
      <c r="A1081">
        <v>202012</v>
      </c>
      <c r="B1081" s="1">
        <v>44166</v>
      </c>
      <c r="C1081">
        <v>2020</v>
      </c>
      <c r="D1081" t="s">
        <v>19</v>
      </c>
      <c r="E1081" t="s">
        <v>36</v>
      </c>
      <c r="F1081" t="s">
        <v>40</v>
      </c>
      <c r="G1081" t="s">
        <v>33</v>
      </c>
      <c r="H1081">
        <v>140.15</v>
      </c>
    </row>
    <row r="1082" spans="1:8" x14ac:dyDescent="0.3">
      <c r="A1082">
        <v>202001</v>
      </c>
      <c r="B1082" s="1">
        <v>43831</v>
      </c>
      <c r="C1082">
        <v>2020</v>
      </c>
      <c r="D1082" t="s">
        <v>6</v>
      </c>
      <c r="E1082" t="s">
        <v>36</v>
      </c>
      <c r="F1082" t="s">
        <v>40</v>
      </c>
      <c r="G1082" t="s">
        <v>33</v>
      </c>
      <c r="H1082">
        <v>88.81</v>
      </c>
    </row>
    <row r="1083" spans="1:8" x14ac:dyDescent="0.3">
      <c r="A1083">
        <v>202002</v>
      </c>
      <c r="B1083" s="1">
        <v>43862</v>
      </c>
      <c r="C1083">
        <v>2020</v>
      </c>
      <c r="D1083" t="s">
        <v>9</v>
      </c>
      <c r="E1083" t="s">
        <v>36</v>
      </c>
      <c r="F1083" t="s">
        <v>40</v>
      </c>
      <c r="G1083" t="s">
        <v>33</v>
      </c>
      <c r="H1083">
        <v>63.75</v>
      </c>
    </row>
    <row r="1084" spans="1:8" x14ac:dyDescent="0.3">
      <c r="A1084">
        <v>202003</v>
      </c>
      <c r="B1084" s="1">
        <v>43891</v>
      </c>
      <c r="C1084">
        <v>2020</v>
      </c>
      <c r="D1084" t="s">
        <v>10</v>
      </c>
      <c r="E1084" t="s">
        <v>36</v>
      </c>
      <c r="F1084" t="s">
        <v>40</v>
      </c>
      <c r="G1084" t="s">
        <v>33</v>
      </c>
      <c r="H1084">
        <v>60.15</v>
      </c>
    </row>
    <row r="1085" spans="1:8" x14ac:dyDescent="0.3">
      <c r="A1085">
        <v>202004</v>
      </c>
      <c r="B1085" s="1">
        <v>43922</v>
      </c>
      <c r="C1085">
        <v>2020</v>
      </c>
      <c r="D1085" t="s">
        <v>11</v>
      </c>
      <c r="E1085" t="s">
        <v>36</v>
      </c>
      <c r="F1085" t="s">
        <v>40</v>
      </c>
      <c r="G1085" t="s">
        <v>33</v>
      </c>
      <c r="H1085">
        <v>33.53</v>
      </c>
    </row>
    <row r="1086" spans="1:8" x14ac:dyDescent="0.3">
      <c r="A1086">
        <v>202005</v>
      </c>
      <c r="B1086" s="1">
        <v>43952</v>
      </c>
      <c r="C1086">
        <v>2020</v>
      </c>
      <c r="D1086" t="s">
        <v>12</v>
      </c>
      <c r="E1086" t="s">
        <v>36</v>
      </c>
      <c r="F1086" t="s">
        <v>40</v>
      </c>
      <c r="G1086" t="s">
        <v>33</v>
      </c>
      <c r="H1086">
        <v>48.18</v>
      </c>
    </row>
    <row r="1087" spans="1:8" x14ac:dyDescent="0.3">
      <c r="A1087">
        <v>202006</v>
      </c>
      <c r="B1087" s="1">
        <v>43983</v>
      </c>
      <c r="C1087">
        <v>2020</v>
      </c>
      <c r="D1087" t="s">
        <v>13</v>
      </c>
      <c r="E1087" t="s">
        <v>36</v>
      </c>
      <c r="F1087" t="s">
        <v>40</v>
      </c>
      <c r="G1087" t="s">
        <v>33</v>
      </c>
      <c r="H1087">
        <v>126.11</v>
      </c>
    </row>
    <row r="1088" spans="1:8" x14ac:dyDescent="0.3">
      <c r="A1088">
        <v>202007</v>
      </c>
      <c r="B1088" s="1">
        <v>44013</v>
      </c>
      <c r="C1088">
        <v>2020</v>
      </c>
      <c r="D1088" t="s">
        <v>14</v>
      </c>
      <c r="E1088" t="s">
        <v>36</v>
      </c>
      <c r="F1088" t="s">
        <v>40</v>
      </c>
      <c r="G1088" t="s">
        <v>33</v>
      </c>
      <c r="H1088">
        <v>98.57</v>
      </c>
    </row>
    <row r="1089" spans="1:8" x14ac:dyDescent="0.3">
      <c r="A1089">
        <v>202008</v>
      </c>
      <c r="B1089" s="1">
        <v>44044</v>
      </c>
      <c r="C1089">
        <v>2020</v>
      </c>
      <c r="D1089" t="s">
        <v>15</v>
      </c>
      <c r="E1089" t="s">
        <v>36</v>
      </c>
      <c r="F1089" t="s">
        <v>40</v>
      </c>
      <c r="G1089" t="s">
        <v>33</v>
      </c>
      <c r="H1089">
        <v>95.87</v>
      </c>
    </row>
    <row r="1090" spans="1:8" x14ac:dyDescent="0.3">
      <c r="A1090">
        <v>202009</v>
      </c>
      <c r="B1090" s="1">
        <v>44075</v>
      </c>
      <c r="C1090">
        <v>2020</v>
      </c>
      <c r="D1090" t="s">
        <v>16</v>
      </c>
      <c r="E1090" t="s">
        <v>36</v>
      </c>
      <c r="F1090" t="s">
        <v>40</v>
      </c>
      <c r="G1090" t="s">
        <v>33</v>
      </c>
      <c r="H1090">
        <v>90.7</v>
      </c>
    </row>
    <row r="1091" spans="1:8" x14ac:dyDescent="0.3">
      <c r="A1091">
        <v>202010</v>
      </c>
      <c r="B1091" s="1">
        <v>44105</v>
      </c>
      <c r="C1091">
        <v>2020</v>
      </c>
      <c r="D1091" t="s">
        <v>17</v>
      </c>
      <c r="E1091" t="s">
        <v>36</v>
      </c>
      <c r="F1091" t="s">
        <v>40</v>
      </c>
      <c r="G1091" t="s">
        <v>33</v>
      </c>
      <c r="H1091">
        <v>83.85</v>
      </c>
    </row>
    <row r="1092" spans="1:8" x14ac:dyDescent="0.3">
      <c r="A1092">
        <v>202011</v>
      </c>
      <c r="B1092" s="1">
        <v>44136</v>
      </c>
      <c r="C1092">
        <v>2020</v>
      </c>
      <c r="D1092" t="s">
        <v>18</v>
      </c>
      <c r="E1092" t="s">
        <v>36</v>
      </c>
      <c r="F1092" t="s">
        <v>40</v>
      </c>
      <c r="G1092" t="s">
        <v>33</v>
      </c>
      <c r="H1092">
        <v>116.08</v>
      </c>
    </row>
    <row r="1093" spans="1:8" x14ac:dyDescent="0.3">
      <c r="A1093">
        <v>202012</v>
      </c>
      <c r="B1093" s="1">
        <v>44166</v>
      </c>
      <c r="C1093">
        <v>2020</v>
      </c>
      <c r="D1093" t="s">
        <v>19</v>
      </c>
      <c r="E1093" t="s">
        <v>36</v>
      </c>
      <c r="F1093" t="s">
        <v>40</v>
      </c>
      <c r="G1093" t="s">
        <v>33</v>
      </c>
      <c r="H1093">
        <v>64.75</v>
      </c>
    </row>
    <row r="1094" spans="1:8" x14ac:dyDescent="0.3">
      <c r="A1094">
        <v>202001</v>
      </c>
      <c r="B1094" s="1">
        <v>43831</v>
      </c>
      <c r="C1094">
        <v>2020</v>
      </c>
      <c r="D1094" t="s">
        <v>6</v>
      </c>
      <c r="E1094" t="s">
        <v>37</v>
      </c>
      <c r="F1094" t="s">
        <v>40</v>
      </c>
      <c r="G1094" t="s">
        <v>33</v>
      </c>
      <c r="H1094">
        <v>236.15</v>
      </c>
    </row>
    <row r="1095" spans="1:8" x14ac:dyDescent="0.3">
      <c r="A1095">
        <v>202002</v>
      </c>
      <c r="B1095" s="1">
        <v>43862</v>
      </c>
      <c r="C1095">
        <v>2020</v>
      </c>
      <c r="D1095" t="s">
        <v>9</v>
      </c>
      <c r="E1095" t="s">
        <v>37</v>
      </c>
      <c r="F1095" t="s">
        <v>40</v>
      </c>
      <c r="G1095" t="s">
        <v>33</v>
      </c>
      <c r="H1095">
        <v>150.78</v>
      </c>
    </row>
    <row r="1096" spans="1:8" x14ac:dyDescent="0.3">
      <c r="A1096">
        <v>202003</v>
      </c>
      <c r="B1096" s="1">
        <v>43891</v>
      </c>
      <c r="C1096">
        <v>2020</v>
      </c>
      <c r="D1096" t="s">
        <v>10</v>
      </c>
      <c r="E1096" t="s">
        <v>37</v>
      </c>
      <c r="F1096" t="s">
        <v>40</v>
      </c>
      <c r="G1096" t="s">
        <v>33</v>
      </c>
      <c r="H1096">
        <v>162.27000000000001</v>
      </c>
    </row>
    <row r="1097" spans="1:8" x14ac:dyDescent="0.3">
      <c r="A1097">
        <v>202004</v>
      </c>
      <c r="B1097" s="1">
        <v>43922</v>
      </c>
      <c r="C1097">
        <v>2020</v>
      </c>
      <c r="D1097" t="s">
        <v>11</v>
      </c>
      <c r="E1097" t="s">
        <v>37</v>
      </c>
      <c r="F1097" t="s">
        <v>40</v>
      </c>
      <c r="G1097" t="s">
        <v>33</v>
      </c>
      <c r="H1097">
        <v>106.8</v>
      </c>
    </row>
    <row r="1098" spans="1:8" x14ac:dyDescent="0.3">
      <c r="A1098">
        <v>202005</v>
      </c>
      <c r="B1098" s="1">
        <v>43952</v>
      </c>
      <c r="C1098">
        <v>2020</v>
      </c>
      <c r="D1098" t="s">
        <v>12</v>
      </c>
      <c r="E1098" t="s">
        <v>37</v>
      </c>
      <c r="F1098" t="s">
        <v>40</v>
      </c>
      <c r="G1098" t="s">
        <v>33</v>
      </c>
      <c r="H1098">
        <v>117.95</v>
      </c>
    </row>
    <row r="1099" spans="1:8" x14ac:dyDescent="0.3">
      <c r="A1099">
        <v>202006</v>
      </c>
      <c r="B1099" s="1">
        <v>43983</v>
      </c>
      <c r="C1099">
        <v>2020</v>
      </c>
      <c r="D1099" t="s">
        <v>13</v>
      </c>
      <c r="E1099" t="s">
        <v>37</v>
      </c>
      <c r="F1099" t="s">
        <v>40</v>
      </c>
      <c r="G1099" t="s">
        <v>33</v>
      </c>
      <c r="H1099">
        <v>268.3</v>
      </c>
    </row>
    <row r="1100" spans="1:8" x14ac:dyDescent="0.3">
      <c r="A1100">
        <v>202007</v>
      </c>
      <c r="B1100" s="1">
        <v>44013</v>
      </c>
      <c r="C1100">
        <v>2020</v>
      </c>
      <c r="D1100" t="s">
        <v>14</v>
      </c>
      <c r="E1100" t="s">
        <v>37</v>
      </c>
      <c r="F1100" t="s">
        <v>40</v>
      </c>
      <c r="G1100" t="s">
        <v>33</v>
      </c>
      <c r="H1100">
        <v>166.07</v>
      </c>
    </row>
    <row r="1101" spans="1:8" x14ac:dyDescent="0.3">
      <c r="A1101">
        <v>202008</v>
      </c>
      <c r="B1101" s="1">
        <v>44044</v>
      </c>
      <c r="C1101">
        <v>2020</v>
      </c>
      <c r="D1101" t="s">
        <v>15</v>
      </c>
      <c r="E1101" t="s">
        <v>37</v>
      </c>
      <c r="F1101" t="s">
        <v>40</v>
      </c>
      <c r="G1101" t="s">
        <v>33</v>
      </c>
      <c r="H1101">
        <v>152.88</v>
      </c>
    </row>
    <row r="1102" spans="1:8" x14ac:dyDescent="0.3">
      <c r="A1102">
        <v>202009</v>
      </c>
      <c r="B1102" s="1">
        <v>44075</v>
      </c>
      <c r="C1102">
        <v>2020</v>
      </c>
      <c r="D1102" t="s">
        <v>16</v>
      </c>
      <c r="E1102" t="s">
        <v>37</v>
      </c>
      <c r="F1102" t="s">
        <v>40</v>
      </c>
      <c r="G1102" t="s">
        <v>33</v>
      </c>
      <c r="H1102">
        <v>168.08</v>
      </c>
    </row>
    <row r="1103" spans="1:8" x14ac:dyDescent="0.3">
      <c r="A1103">
        <v>202010</v>
      </c>
      <c r="B1103" s="1">
        <v>44105</v>
      </c>
      <c r="C1103">
        <v>2020</v>
      </c>
      <c r="D1103" t="s">
        <v>17</v>
      </c>
      <c r="E1103" t="s">
        <v>37</v>
      </c>
      <c r="F1103" t="s">
        <v>40</v>
      </c>
      <c r="G1103" t="s">
        <v>33</v>
      </c>
      <c r="H1103">
        <v>194.43</v>
      </c>
    </row>
    <row r="1104" spans="1:8" x14ac:dyDescent="0.3">
      <c r="A1104">
        <v>202011</v>
      </c>
      <c r="B1104" s="1">
        <v>44136</v>
      </c>
      <c r="C1104">
        <v>2020</v>
      </c>
      <c r="D1104" t="s">
        <v>18</v>
      </c>
      <c r="E1104" t="s">
        <v>37</v>
      </c>
      <c r="F1104" t="s">
        <v>40</v>
      </c>
      <c r="G1104" t="s">
        <v>33</v>
      </c>
      <c r="H1104">
        <v>190.61</v>
      </c>
    </row>
    <row r="1105" spans="1:8" x14ac:dyDescent="0.3">
      <c r="A1105">
        <v>202012</v>
      </c>
      <c r="B1105" s="1">
        <v>44166</v>
      </c>
      <c r="C1105">
        <v>2020</v>
      </c>
      <c r="D1105" t="s">
        <v>19</v>
      </c>
      <c r="E1105" t="s">
        <v>37</v>
      </c>
      <c r="F1105" t="s">
        <v>40</v>
      </c>
      <c r="G1105" t="s">
        <v>33</v>
      </c>
      <c r="H1105">
        <v>180.08</v>
      </c>
    </row>
    <row r="1106" spans="1:8" x14ac:dyDescent="0.3">
      <c r="A1106">
        <v>202001</v>
      </c>
      <c r="B1106" s="1">
        <v>43831</v>
      </c>
      <c r="C1106">
        <v>2020</v>
      </c>
      <c r="D1106" t="s">
        <v>6</v>
      </c>
      <c r="E1106" t="s">
        <v>37</v>
      </c>
      <c r="F1106" t="s">
        <v>40</v>
      </c>
      <c r="G1106" t="s">
        <v>33</v>
      </c>
      <c r="H1106">
        <v>103.63</v>
      </c>
    </row>
    <row r="1107" spans="1:8" x14ac:dyDescent="0.3">
      <c r="A1107">
        <v>202002</v>
      </c>
      <c r="B1107" s="1">
        <v>43862</v>
      </c>
      <c r="C1107">
        <v>2020</v>
      </c>
      <c r="D1107" t="s">
        <v>9</v>
      </c>
      <c r="E1107" t="s">
        <v>37</v>
      </c>
      <c r="F1107" t="s">
        <v>40</v>
      </c>
      <c r="G1107" t="s">
        <v>33</v>
      </c>
      <c r="H1107">
        <v>61.78</v>
      </c>
    </row>
    <row r="1108" spans="1:8" x14ac:dyDescent="0.3">
      <c r="A1108">
        <v>202003</v>
      </c>
      <c r="B1108" s="1">
        <v>43891</v>
      </c>
      <c r="C1108">
        <v>2020</v>
      </c>
      <c r="D1108" t="s">
        <v>10</v>
      </c>
      <c r="E1108" t="s">
        <v>37</v>
      </c>
      <c r="F1108" t="s">
        <v>40</v>
      </c>
      <c r="G1108" t="s">
        <v>33</v>
      </c>
      <c r="H1108">
        <v>58.79</v>
      </c>
    </row>
    <row r="1109" spans="1:8" x14ac:dyDescent="0.3">
      <c r="A1109">
        <v>202004</v>
      </c>
      <c r="B1109" s="1">
        <v>43922</v>
      </c>
      <c r="C1109">
        <v>2020</v>
      </c>
      <c r="D1109" t="s">
        <v>11</v>
      </c>
      <c r="E1109" t="s">
        <v>37</v>
      </c>
      <c r="F1109" t="s">
        <v>40</v>
      </c>
      <c r="G1109" t="s">
        <v>33</v>
      </c>
      <c r="H1109">
        <v>56.23</v>
      </c>
    </row>
    <row r="1110" spans="1:8" x14ac:dyDescent="0.3">
      <c r="A1110">
        <v>202005</v>
      </c>
      <c r="B1110" s="1">
        <v>43952</v>
      </c>
      <c r="C1110">
        <v>2020</v>
      </c>
      <c r="D1110" t="s">
        <v>12</v>
      </c>
      <c r="E1110" t="s">
        <v>37</v>
      </c>
      <c r="F1110" t="s">
        <v>40</v>
      </c>
      <c r="G1110" t="s">
        <v>33</v>
      </c>
      <c r="H1110">
        <v>78.790000000000006</v>
      </c>
    </row>
    <row r="1111" spans="1:8" x14ac:dyDescent="0.3">
      <c r="A1111">
        <v>202006</v>
      </c>
      <c r="B1111" s="1">
        <v>43983</v>
      </c>
      <c r="C1111">
        <v>2020</v>
      </c>
      <c r="D1111" t="s">
        <v>13</v>
      </c>
      <c r="E1111" t="s">
        <v>37</v>
      </c>
      <c r="F1111" t="s">
        <v>40</v>
      </c>
      <c r="G1111" t="s">
        <v>33</v>
      </c>
      <c r="H1111">
        <v>86.77</v>
      </c>
    </row>
    <row r="1112" spans="1:8" x14ac:dyDescent="0.3">
      <c r="A1112">
        <v>202007</v>
      </c>
      <c r="B1112" s="1">
        <v>44013</v>
      </c>
      <c r="C1112">
        <v>2020</v>
      </c>
      <c r="D1112" t="s">
        <v>14</v>
      </c>
      <c r="E1112" t="s">
        <v>37</v>
      </c>
      <c r="F1112" t="s">
        <v>40</v>
      </c>
      <c r="G1112" t="s">
        <v>33</v>
      </c>
      <c r="H1112">
        <v>68.48</v>
      </c>
    </row>
    <row r="1113" spans="1:8" x14ac:dyDescent="0.3">
      <c r="A1113">
        <v>202008</v>
      </c>
      <c r="B1113" s="1">
        <v>44044</v>
      </c>
      <c r="C1113">
        <v>2020</v>
      </c>
      <c r="D1113" t="s">
        <v>15</v>
      </c>
      <c r="E1113" t="s">
        <v>37</v>
      </c>
      <c r="F1113" t="s">
        <v>40</v>
      </c>
      <c r="G1113" t="s">
        <v>33</v>
      </c>
      <c r="H1113">
        <v>87.55</v>
      </c>
    </row>
    <row r="1114" spans="1:8" x14ac:dyDescent="0.3">
      <c r="A1114">
        <v>202009</v>
      </c>
      <c r="B1114" s="1">
        <v>44075</v>
      </c>
      <c r="C1114">
        <v>2020</v>
      </c>
      <c r="D1114" t="s">
        <v>16</v>
      </c>
      <c r="E1114" t="s">
        <v>37</v>
      </c>
      <c r="F1114" t="s">
        <v>40</v>
      </c>
      <c r="G1114" t="s">
        <v>33</v>
      </c>
      <c r="H1114">
        <v>78.64</v>
      </c>
    </row>
    <row r="1115" spans="1:8" x14ac:dyDescent="0.3">
      <c r="A1115">
        <v>202010</v>
      </c>
      <c r="B1115" s="1">
        <v>44105</v>
      </c>
      <c r="C1115">
        <v>2020</v>
      </c>
      <c r="D1115" t="s">
        <v>17</v>
      </c>
      <c r="E1115" t="s">
        <v>37</v>
      </c>
      <c r="F1115" t="s">
        <v>40</v>
      </c>
      <c r="G1115" t="s">
        <v>33</v>
      </c>
      <c r="H1115">
        <v>76.72</v>
      </c>
    </row>
    <row r="1116" spans="1:8" x14ac:dyDescent="0.3">
      <c r="A1116">
        <v>202011</v>
      </c>
      <c r="B1116" s="1">
        <v>44136</v>
      </c>
      <c r="C1116">
        <v>2020</v>
      </c>
      <c r="D1116" t="s">
        <v>18</v>
      </c>
      <c r="E1116" t="s">
        <v>37</v>
      </c>
      <c r="F1116" t="s">
        <v>40</v>
      </c>
      <c r="G1116" t="s">
        <v>33</v>
      </c>
      <c r="H1116">
        <v>84.69</v>
      </c>
    </row>
    <row r="1117" spans="1:8" x14ac:dyDescent="0.3">
      <c r="A1117">
        <v>202012</v>
      </c>
      <c r="B1117" s="1">
        <v>44166</v>
      </c>
      <c r="C1117">
        <v>2020</v>
      </c>
      <c r="D1117" t="s">
        <v>19</v>
      </c>
      <c r="E1117" t="s">
        <v>37</v>
      </c>
      <c r="F1117" t="s">
        <v>40</v>
      </c>
      <c r="G1117" t="s">
        <v>33</v>
      </c>
      <c r="H1117">
        <v>76.959999999999994</v>
      </c>
    </row>
    <row r="1118" spans="1:8" x14ac:dyDescent="0.3">
      <c r="A1118">
        <v>202001</v>
      </c>
      <c r="B1118" s="1">
        <v>43831</v>
      </c>
      <c r="C1118">
        <v>2020</v>
      </c>
      <c r="D1118" t="s">
        <v>6</v>
      </c>
      <c r="E1118" t="s">
        <v>37</v>
      </c>
      <c r="F1118" t="s">
        <v>40</v>
      </c>
      <c r="G1118" t="s">
        <v>33</v>
      </c>
      <c r="H1118">
        <v>142.22999999999999</v>
      </c>
    </row>
    <row r="1119" spans="1:8" x14ac:dyDescent="0.3">
      <c r="A1119">
        <v>202002</v>
      </c>
      <c r="B1119" s="1">
        <v>43862</v>
      </c>
      <c r="C1119">
        <v>2020</v>
      </c>
      <c r="D1119" t="s">
        <v>9</v>
      </c>
      <c r="E1119" t="s">
        <v>37</v>
      </c>
      <c r="F1119" t="s">
        <v>40</v>
      </c>
      <c r="G1119" t="s">
        <v>33</v>
      </c>
      <c r="H1119">
        <v>83.83</v>
      </c>
    </row>
    <row r="1120" spans="1:8" x14ac:dyDescent="0.3">
      <c r="A1120">
        <v>202003</v>
      </c>
      <c r="B1120" s="1">
        <v>43891</v>
      </c>
      <c r="C1120">
        <v>2020</v>
      </c>
      <c r="D1120" t="s">
        <v>10</v>
      </c>
      <c r="E1120" t="s">
        <v>37</v>
      </c>
      <c r="F1120" t="s">
        <v>40</v>
      </c>
      <c r="G1120" t="s">
        <v>33</v>
      </c>
      <c r="H1120">
        <v>75.89</v>
      </c>
    </row>
    <row r="1121" spans="1:8" x14ac:dyDescent="0.3">
      <c r="A1121">
        <v>202004</v>
      </c>
      <c r="B1121" s="1">
        <v>43922</v>
      </c>
      <c r="C1121">
        <v>2020</v>
      </c>
      <c r="D1121" t="s">
        <v>11</v>
      </c>
      <c r="E1121" t="s">
        <v>37</v>
      </c>
      <c r="F1121" t="s">
        <v>40</v>
      </c>
      <c r="G1121" t="s">
        <v>33</v>
      </c>
      <c r="H1121">
        <v>59.44</v>
      </c>
    </row>
    <row r="1122" spans="1:8" x14ac:dyDescent="0.3">
      <c r="A1122">
        <v>202005</v>
      </c>
      <c r="B1122" s="1">
        <v>43952</v>
      </c>
      <c r="C1122">
        <v>2020</v>
      </c>
      <c r="D1122" t="s">
        <v>12</v>
      </c>
      <c r="E1122" t="s">
        <v>37</v>
      </c>
      <c r="F1122" t="s">
        <v>40</v>
      </c>
      <c r="G1122" t="s">
        <v>33</v>
      </c>
      <c r="H1122">
        <v>64.16</v>
      </c>
    </row>
    <row r="1123" spans="1:8" x14ac:dyDescent="0.3">
      <c r="A1123">
        <v>202006</v>
      </c>
      <c r="B1123" s="1">
        <v>43983</v>
      </c>
      <c r="C1123">
        <v>2020</v>
      </c>
      <c r="D1123" t="s">
        <v>13</v>
      </c>
      <c r="E1123" t="s">
        <v>37</v>
      </c>
      <c r="F1123" t="s">
        <v>40</v>
      </c>
      <c r="G1123" t="s">
        <v>33</v>
      </c>
      <c r="H1123">
        <v>133.13</v>
      </c>
    </row>
    <row r="1124" spans="1:8" x14ac:dyDescent="0.3">
      <c r="A1124">
        <v>202007</v>
      </c>
      <c r="B1124" s="1">
        <v>44013</v>
      </c>
      <c r="C1124">
        <v>2020</v>
      </c>
      <c r="D1124" t="s">
        <v>14</v>
      </c>
      <c r="E1124" t="s">
        <v>37</v>
      </c>
      <c r="F1124" t="s">
        <v>40</v>
      </c>
      <c r="G1124" t="s">
        <v>33</v>
      </c>
      <c r="H1124">
        <v>97.49</v>
      </c>
    </row>
    <row r="1125" spans="1:8" x14ac:dyDescent="0.3">
      <c r="A1125">
        <v>202008</v>
      </c>
      <c r="B1125" s="1">
        <v>44044</v>
      </c>
      <c r="C1125">
        <v>2020</v>
      </c>
      <c r="D1125" t="s">
        <v>15</v>
      </c>
      <c r="E1125" t="s">
        <v>37</v>
      </c>
      <c r="F1125" t="s">
        <v>40</v>
      </c>
      <c r="G1125" t="s">
        <v>33</v>
      </c>
      <c r="H1125">
        <v>85.05</v>
      </c>
    </row>
    <row r="1126" spans="1:8" x14ac:dyDescent="0.3">
      <c r="A1126">
        <v>202009</v>
      </c>
      <c r="B1126" s="1">
        <v>44075</v>
      </c>
      <c r="C1126">
        <v>2020</v>
      </c>
      <c r="D1126" t="s">
        <v>16</v>
      </c>
      <c r="E1126" t="s">
        <v>37</v>
      </c>
      <c r="F1126" t="s">
        <v>40</v>
      </c>
      <c r="G1126" t="s">
        <v>33</v>
      </c>
      <c r="H1126">
        <v>79.180000000000007</v>
      </c>
    </row>
    <row r="1127" spans="1:8" x14ac:dyDescent="0.3">
      <c r="A1127">
        <v>202010</v>
      </c>
      <c r="B1127" s="1">
        <v>44105</v>
      </c>
      <c r="C1127">
        <v>2020</v>
      </c>
      <c r="D1127" t="s">
        <v>17</v>
      </c>
      <c r="E1127" t="s">
        <v>37</v>
      </c>
      <c r="F1127" t="s">
        <v>40</v>
      </c>
      <c r="G1127" t="s">
        <v>33</v>
      </c>
      <c r="H1127">
        <v>85.54</v>
      </c>
    </row>
    <row r="1128" spans="1:8" x14ac:dyDescent="0.3">
      <c r="A1128">
        <v>202011</v>
      </c>
      <c r="B1128" s="1">
        <v>44136</v>
      </c>
      <c r="C1128">
        <v>2020</v>
      </c>
      <c r="D1128" t="s">
        <v>18</v>
      </c>
      <c r="E1128" t="s">
        <v>37</v>
      </c>
      <c r="F1128" t="s">
        <v>40</v>
      </c>
      <c r="G1128" t="s">
        <v>33</v>
      </c>
      <c r="H1128">
        <v>85.43</v>
      </c>
    </row>
    <row r="1129" spans="1:8" x14ac:dyDescent="0.3">
      <c r="A1129">
        <v>202012</v>
      </c>
      <c r="B1129" s="1">
        <v>44166</v>
      </c>
      <c r="C1129">
        <v>2020</v>
      </c>
      <c r="D1129" t="s">
        <v>19</v>
      </c>
      <c r="E1129" t="s">
        <v>37</v>
      </c>
      <c r="F1129" t="s">
        <v>40</v>
      </c>
      <c r="G1129" t="s">
        <v>33</v>
      </c>
      <c r="H1129">
        <v>85.08</v>
      </c>
    </row>
    <row r="1130" spans="1:8" x14ac:dyDescent="0.3">
      <c r="A1130">
        <v>202001</v>
      </c>
      <c r="B1130" s="1">
        <v>43831</v>
      </c>
      <c r="C1130">
        <v>2020</v>
      </c>
      <c r="D1130" t="s">
        <v>6</v>
      </c>
      <c r="E1130" t="s">
        <v>37</v>
      </c>
      <c r="F1130" t="s">
        <v>40</v>
      </c>
      <c r="G1130" t="s">
        <v>33</v>
      </c>
      <c r="H1130">
        <v>93.73</v>
      </c>
    </row>
    <row r="1131" spans="1:8" x14ac:dyDescent="0.3">
      <c r="A1131">
        <v>202002</v>
      </c>
      <c r="B1131" s="1">
        <v>43862</v>
      </c>
      <c r="C1131">
        <v>2020</v>
      </c>
      <c r="D1131" t="s">
        <v>9</v>
      </c>
      <c r="E1131" t="s">
        <v>37</v>
      </c>
      <c r="F1131" t="s">
        <v>40</v>
      </c>
      <c r="G1131" t="s">
        <v>33</v>
      </c>
      <c r="H1131">
        <v>59.23</v>
      </c>
    </row>
    <row r="1132" spans="1:8" x14ac:dyDescent="0.3">
      <c r="A1132">
        <v>202003</v>
      </c>
      <c r="B1132" s="1">
        <v>43891</v>
      </c>
      <c r="C1132">
        <v>2020</v>
      </c>
      <c r="D1132" t="s">
        <v>10</v>
      </c>
      <c r="E1132" t="s">
        <v>37</v>
      </c>
      <c r="F1132" t="s">
        <v>40</v>
      </c>
      <c r="G1132" t="s">
        <v>33</v>
      </c>
      <c r="H1132">
        <v>52.56</v>
      </c>
    </row>
    <row r="1133" spans="1:8" x14ac:dyDescent="0.3">
      <c r="A1133">
        <v>202004</v>
      </c>
      <c r="B1133" s="1">
        <v>43922</v>
      </c>
      <c r="C1133">
        <v>2020</v>
      </c>
      <c r="D1133" t="s">
        <v>11</v>
      </c>
      <c r="E1133" t="s">
        <v>37</v>
      </c>
      <c r="F1133" t="s">
        <v>40</v>
      </c>
      <c r="G1133" t="s">
        <v>33</v>
      </c>
      <c r="H1133">
        <v>64.72</v>
      </c>
    </row>
    <row r="1134" spans="1:8" x14ac:dyDescent="0.3">
      <c r="A1134">
        <v>202005</v>
      </c>
      <c r="B1134" s="1">
        <v>43952</v>
      </c>
      <c r="C1134">
        <v>2020</v>
      </c>
      <c r="D1134" t="s">
        <v>12</v>
      </c>
      <c r="E1134" t="s">
        <v>37</v>
      </c>
      <c r="F1134" t="s">
        <v>40</v>
      </c>
      <c r="G1134" t="s">
        <v>33</v>
      </c>
      <c r="H1134">
        <v>58.71</v>
      </c>
    </row>
    <row r="1135" spans="1:8" x14ac:dyDescent="0.3">
      <c r="A1135">
        <v>202006</v>
      </c>
      <c r="B1135" s="1">
        <v>43983</v>
      </c>
      <c r="C1135">
        <v>2020</v>
      </c>
      <c r="D1135" t="s">
        <v>13</v>
      </c>
      <c r="E1135" t="s">
        <v>37</v>
      </c>
      <c r="F1135" t="s">
        <v>40</v>
      </c>
      <c r="G1135" t="s">
        <v>33</v>
      </c>
      <c r="H1135">
        <v>73.86</v>
      </c>
    </row>
    <row r="1136" spans="1:8" x14ac:dyDescent="0.3">
      <c r="A1136">
        <v>202007</v>
      </c>
      <c r="B1136" s="1">
        <v>44013</v>
      </c>
      <c r="C1136">
        <v>2020</v>
      </c>
      <c r="D1136" t="s">
        <v>14</v>
      </c>
      <c r="E1136" t="s">
        <v>37</v>
      </c>
      <c r="F1136" t="s">
        <v>40</v>
      </c>
      <c r="G1136" t="s">
        <v>33</v>
      </c>
      <c r="H1136">
        <v>62.9</v>
      </c>
    </row>
    <row r="1137" spans="1:8" x14ac:dyDescent="0.3">
      <c r="A1137">
        <v>202008</v>
      </c>
      <c r="B1137" s="1">
        <v>44044</v>
      </c>
      <c r="C1137">
        <v>2020</v>
      </c>
      <c r="D1137" t="s">
        <v>15</v>
      </c>
      <c r="E1137" t="s">
        <v>37</v>
      </c>
      <c r="F1137" t="s">
        <v>40</v>
      </c>
      <c r="G1137" t="s">
        <v>33</v>
      </c>
      <c r="H1137">
        <v>60.69</v>
      </c>
    </row>
    <row r="1138" spans="1:8" x14ac:dyDescent="0.3">
      <c r="A1138">
        <v>202009</v>
      </c>
      <c r="B1138" s="1">
        <v>44075</v>
      </c>
      <c r="C1138">
        <v>2020</v>
      </c>
      <c r="D1138" t="s">
        <v>16</v>
      </c>
      <c r="E1138" t="s">
        <v>37</v>
      </c>
      <c r="F1138" t="s">
        <v>40</v>
      </c>
      <c r="G1138" t="s">
        <v>33</v>
      </c>
      <c r="H1138">
        <v>68.09</v>
      </c>
    </row>
    <row r="1139" spans="1:8" x14ac:dyDescent="0.3">
      <c r="A1139">
        <v>202010</v>
      </c>
      <c r="B1139" s="1">
        <v>44105</v>
      </c>
      <c r="C1139">
        <v>2020</v>
      </c>
      <c r="D1139" t="s">
        <v>17</v>
      </c>
      <c r="E1139" t="s">
        <v>37</v>
      </c>
      <c r="F1139" t="s">
        <v>40</v>
      </c>
      <c r="G1139" t="s">
        <v>33</v>
      </c>
      <c r="H1139">
        <v>69.38</v>
      </c>
    </row>
    <row r="1140" spans="1:8" x14ac:dyDescent="0.3">
      <c r="A1140">
        <v>202011</v>
      </c>
      <c r="B1140" s="1">
        <v>44136</v>
      </c>
      <c r="C1140">
        <v>2020</v>
      </c>
      <c r="D1140" t="s">
        <v>18</v>
      </c>
      <c r="E1140" t="s">
        <v>37</v>
      </c>
      <c r="F1140" t="s">
        <v>40</v>
      </c>
      <c r="G1140" t="s">
        <v>33</v>
      </c>
      <c r="H1140">
        <v>64.680000000000007</v>
      </c>
    </row>
    <row r="1141" spans="1:8" x14ac:dyDescent="0.3">
      <c r="A1141">
        <v>202012</v>
      </c>
      <c r="B1141" s="1">
        <v>44166</v>
      </c>
      <c r="C1141">
        <v>2020</v>
      </c>
      <c r="D1141" t="s">
        <v>19</v>
      </c>
      <c r="E1141" t="s">
        <v>37</v>
      </c>
      <c r="F1141" t="s">
        <v>40</v>
      </c>
      <c r="G1141" t="s">
        <v>33</v>
      </c>
      <c r="H1141">
        <v>72.540000000000006</v>
      </c>
    </row>
    <row r="1142" spans="1:8" x14ac:dyDescent="0.3">
      <c r="A1142">
        <v>202001</v>
      </c>
      <c r="B1142" s="1">
        <v>43831</v>
      </c>
      <c r="C1142">
        <v>2020</v>
      </c>
      <c r="D1142" t="s">
        <v>6</v>
      </c>
      <c r="E1142" t="s">
        <v>38</v>
      </c>
      <c r="F1142" t="s">
        <v>40</v>
      </c>
      <c r="G1142" t="s">
        <v>33</v>
      </c>
      <c r="H1142">
        <v>16.440000000000001</v>
      </c>
    </row>
    <row r="1143" spans="1:8" x14ac:dyDescent="0.3">
      <c r="A1143">
        <v>202002</v>
      </c>
      <c r="B1143" s="1">
        <v>43862</v>
      </c>
      <c r="C1143">
        <v>2020</v>
      </c>
      <c r="D1143" t="s">
        <v>9</v>
      </c>
      <c r="E1143" t="s">
        <v>38</v>
      </c>
      <c r="F1143" t="s">
        <v>40</v>
      </c>
      <c r="G1143" t="s">
        <v>33</v>
      </c>
      <c r="H1143">
        <v>10.93</v>
      </c>
    </row>
    <row r="1144" spans="1:8" x14ac:dyDescent="0.3">
      <c r="A1144">
        <v>202003</v>
      </c>
      <c r="B1144" s="1">
        <v>43891</v>
      </c>
      <c r="C1144">
        <v>2020</v>
      </c>
      <c r="D1144" t="s">
        <v>10</v>
      </c>
      <c r="E1144" t="s">
        <v>38</v>
      </c>
      <c r="F1144" t="s">
        <v>40</v>
      </c>
      <c r="G1144" t="s">
        <v>33</v>
      </c>
      <c r="H1144">
        <v>24.29</v>
      </c>
    </row>
    <row r="1145" spans="1:8" x14ac:dyDescent="0.3">
      <c r="A1145">
        <v>202004</v>
      </c>
      <c r="B1145" s="1">
        <v>43922</v>
      </c>
      <c r="C1145">
        <v>2020</v>
      </c>
      <c r="D1145" t="s">
        <v>11</v>
      </c>
      <c r="E1145" t="s">
        <v>38</v>
      </c>
      <c r="F1145" t="s">
        <v>40</v>
      </c>
      <c r="G1145" t="s">
        <v>33</v>
      </c>
      <c r="H1145">
        <v>9.39</v>
      </c>
    </row>
    <row r="1146" spans="1:8" x14ac:dyDescent="0.3">
      <c r="A1146">
        <v>202005</v>
      </c>
      <c r="B1146" s="1">
        <v>43952</v>
      </c>
      <c r="C1146">
        <v>2020</v>
      </c>
      <c r="D1146" t="s">
        <v>12</v>
      </c>
      <c r="E1146" t="s">
        <v>38</v>
      </c>
      <c r="F1146" t="s">
        <v>40</v>
      </c>
      <c r="G1146" t="s">
        <v>33</v>
      </c>
      <c r="H1146">
        <v>8.31</v>
      </c>
    </row>
    <row r="1147" spans="1:8" x14ac:dyDescent="0.3">
      <c r="A1147">
        <v>202006</v>
      </c>
      <c r="B1147" s="1">
        <v>43983</v>
      </c>
      <c r="C1147">
        <v>2020</v>
      </c>
      <c r="D1147" t="s">
        <v>13</v>
      </c>
      <c r="E1147" t="s">
        <v>38</v>
      </c>
      <c r="F1147" t="s">
        <v>40</v>
      </c>
      <c r="G1147" t="s">
        <v>33</v>
      </c>
      <c r="H1147">
        <v>16.670000000000002</v>
      </c>
    </row>
    <row r="1148" spans="1:8" x14ac:dyDescent="0.3">
      <c r="A1148">
        <v>202007</v>
      </c>
      <c r="B1148" s="1">
        <v>44013</v>
      </c>
      <c r="C1148">
        <v>2020</v>
      </c>
      <c r="D1148" t="s">
        <v>14</v>
      </c>
      <c r="E1148" t="s">
        <v>38</v>
      </c>
      <c r="F1148" t="s">
        <v>40</v>
      </c>
      <c r="G1148" t="s">
        <v>33</v>
      </c>
      <c r="H1148">
        <v>17.38</v>
      </c>
    </row>
    <row r="1149" spans="1:8" x14ac:dyDescent="0.3">
      <c r="A1149">
        <v>202008</v>
      </c>
      <c r="B1149" s="1">
        <v>44044</v>
      </c>
      <c r="C1149">
        <v>2020</v>
      </c>
      <c r="D1149" t="s">
        <v>15</v>
      </c>
      <c r="E1149" t="s">
        <v>38</v>
      </c>
      <c r="F1149" t="s">
        <v>40</v>
      </c>
      <c r="G1149" t="s">
        <v>33</v>
      </c>
      <c r="H1149">
        <v>12.3</v>
      </c>
    </row>
    <row r="1150" spans="1:8" x14ac:dyDescent="0.3">
      <c r="A1150">
        <v>202009</v>
      </c>
      <c r="B1150" s="1">
        <v>44075</v>
      </c>
      <c r="C1150">
        <v>2020</v>
      </c>
      <c r="D1150" t="s">
        <v>16</v>
      </c>
      <c r="E1150" t="s">
        <v>38</v>
      </c>
      <c r="F1150" t="s">
        <v>40</v>
      </c>
      <c r="G1150" t="s">
        <v>33</v>
      </c>
      <c r="H1150">
        <v>15.63</v>
      </c>
    </row>
    <row r="1151" spans="1:8" x14ac:dyDescent="0.3">
      <c r="A1151">
        <v>202010</v>
      </c>
      <c r="B1151" s="1">
        <v>44105</v>
      </c>
      <c r="C1151">
        <v>2020</v>
      </c>
      <c r="D1151" t="s">
        <v>17</v>
      </c>
      <c r="E1151" t="s">
        <v>38</v>
      </c>
      <c r="F1151" t="s">
        <v>40</v>
      </c>
      <c r="G1151" t="s">
        <v>33</v>
      </c>
      <c r="H1151">
        <v>21.86</v>
      </c>
    </row>
    <row r="1152" spans="1:8" x14ac:dyDescent="0.3">
      <c r="A1152">
        <v>202011</v>
      </c>
      <c r="B1152" s="1">
        <v>44136</v>
      </c>
      <c r="C1152">
        <v>2020</v>
      </c>
      <c r="D1152" t="s">
        <v>18</v>
      </c>
      <c r="E1152" t="s">
        <v>38</v>
      </c>
      <c r="F1152" t="s">
        <v>40</v>
      </c>
      <c r="G1152" t="s">
        <v>33</v>
      </c>
      <c r="H1152">
        <v>13.6</v>
      </c>
    </row>
    <row r="1153" spans="1:8" x14ac:dyDescent="0.3">
      <c r="A1153">
        <v>202012</v>
      </c>
      <c r="B1153" s="1">
        <v>44166</v>
      </c>
      <c r="C1153">
        <v>2020</v>
      </c>
      <c r="D1153" t="s">
        <v>19</v>
      </c>
      <c r="E1153" t="s">
        <v>38</v>
      </c>
      <c r="F1153" t="s">
        <v>40</v>
      </c>
      <c r="G1153" t="s">
        <v>33</v>
      </c>
      <c r="H1153">
        <v>11.86</v>
      </c>
    </row>
    <row r="1154" spans="1:8" x14ac:dyDescent="0.3">
      <c r="A1154">
        <v>202001</v>
      </c>
      <c r="B1154" s="1">
        <v>43831</v>
      </c>
      <c r="C1154">
        <v>2020</v>
      </c>
      <c r="D1154" t="s">
        <v>6</v>
      </c>
      <c r="E1154" t="s">
        <v>38</v>
      </c>
      <c r="F1154" t="s">
        <v>40</v>
      </c>
      <c r="G1154" t="s">
        <v>33</v>
      </c>
      <c r="H1154">
        <v>37.18</v>
      </c>
    </row>
    <row r="1155" spans="1:8" x14ac:dyDescent="0.3">
      <c r="A1155">
        <v>202002</v>
      </c>
      <c r="B1155" s="1">
        <v>43862</v>
      </c>
      <c r="C1155">
        <v>2020</v>
      </c>
      <c r="D1155" t="s">
        <v>9</v>
      </c>
      <c r="E1155" t="s">
        <v>38</v>
      </c>
      <c r="F1155" t="s">
        <v>40</v>
      </c>
      <c r="G1155" t="s">
        <v>33</v>
      </c>
      <c r="H1155">
        <v>35.18</v>
      </c>
    </row>
    <row r="1156" spans="1:8" x14ac:dyDescent="0.3">
      <c r="A1156">
        <v>202003</v>
      </c>
      <c r="B1156" s="1">
        <v>43891</v>
      </c>
      <c r="C1156">
        <v>2020</v>
      </c>
      <c r="D1156" t="s">
        <v>10</v>
      </c>
      <c r="E1156" t="s">
        <v>38</v>
      </c>
      <c r="F1156" t="s">
        <v>40</v>
      </c>
      <c r="G1156" t="s">
        <v>33</v>
      </c>
      <c r="H1156">
        <v>38.83</v>
      </c>
    </row>
    <row r="1157" spans="1:8" x14ac:dyDescent="0.3">
      <c r="A1157">
        <v>202004</v>
      </c>
      <c r="B1157" s="1">
        <v>43922</v>
      </c>
      <c r="C1157">
        <v>2020</v>
      </c>
      <c r="D1157" t="s">
        <v>11</v>
      </c>
      <c r="E1157" t="s">
        <v>38</v>
      </c>
      <c r="F1157" t="s">
        <v>40</v>
      </c>
      <c r="G1157" t="s">
        <v>33</v>
      </c>
      <c r="H1157">
        <v>35.99</v>
      </c>
    </row>
    <row r="1158" spans="1:8" x14ac:dyDescent="0.3">
      <c r="A1158">
        <v>202005</v>
      </c>
      <c r="B1158" s="1">
        <v>43952</v>
      </c>
      <c r="C1158">
        <v>2020</v>
      </c>
      <c r="D1158" t="s">
        <v>12</v>
      </c>
      <c r="E1158" t="s">
        <v>38</v>
      </c>
      <c r="F1158" t="s">
        <v>40</v>
      </c>
      <c r="G1158" t="s">
        <v>33</v>
      </c>
      <c r="H1158">
        <v>27.84</v>
      </c>
    </row>
    <row r="1159" spans="1:8" x14ac:dyDescent="0.3">
      <c r="A1159">
        <v>202006</v>
      </c>
      <c r="B1159" s="1">
        <v>43983</v>
      </c>
      <c r="C1159">
        <v>2020</v>
      </c>
      <c r="D1159" t="s">
        <v>13</v>
      </c>
      <c r="E1159" t="s">
        <v>38</v>
      </c>
      <c r="F1159" t="s">
        <v>40</v>
      </c>
      <c r="G1159" t="s">
        <v>33</v>
      </c>
      <c r="H1159">
        <v>60.45</v>
      </c>
    </row>
    <row r="1160" spans="1:8" x14ac:dyDescent="0.3">
      <c r="A1160">
        <v>202007</v>
      </c>
      <c r="B1160" s="1">
        <v>44013</v>
      </c>
      <c r="C1160">
        <v>2020</v>
      </c>
      <c r="D1160" t="s">
        <v>14</v>
      </c>
      <c r="E1160" t="s">
        <v>38</v>
      </c>
      <c r="F1160" t="s">
        <v>40</v>
      </c>
      <c r="G1160" t="s">
        <v>33</v>
      </c>
      <c r="H1160">
        <v>33.32</v>
      </c>
    </row>
    <row r="1161" spans="1:8" x14ac:dyDescent="0.3">
      <c r="A1161">
        <v>202008</v>
      </c>
      <c r="B1161" s="1">
        <v>44044</v>
      </c>
      <c r="C1161">
        <v>2020</v>
      </c>
      <c r="D1161" t="s">
        <v>15</v>
      </c>
      <c r="E1161" t="s">
        <v>38</v>
      </c>
      <c r="F1161" t="s">
        <v>40</v>
      </c>
      <c r="G1161" t="s">
        <v>33</v>
      </c>
      <c r="H1161">
        <v>37.549999999999997</v>
      </c>
    </row>
    <row r="1162" spans="1:8" x14ac:dyDescent="0.3">
      <c r="A1162">
        <v>202009</v>
      </c>
      <c r="B1162" s="1">
        <v>44075</v>
      </c>
      <c r="C1162">
        <v>2020</v>
      </c>
      <c r="D1162" t="s">
        <v>16</v>
      </c>
      <c r="E1162" t="s">
        <v>38</v>
      </c>
      <c r="F1162" t="s">
        <v>40</v>
      </c>
      <c r="G1162" t="s">
        <v>33</v>
      </c>
      <c r="H1162">
        <v>29.79</v>
      </c>
    </row>
    <row r="1163" spans="1:8" x14ac:dyDescent="0.3">
      <c r="A1163">
        <v>202010</v>
      </c>
      <c r="B1163" s="1">
        <v>44105</v>
      </c>
      <c r="C1163">
        <v>2020</v>
      </c>
      <c r="D1163" t="s">
        <v>17</v>
      </c>
      <c r="E1163" t="s">
        <v>38</v>
      </c>
      <c r="F1163" t="s">
        <v>40</v>
      </c>
      <c r="G1163" t="s">
        <v>33</v>
      </c>
      <c r="H1163">
        <v>34.15</v>
      </c>
    </row>
    <row r="1164" spans="1:8" x14ac:dyDescent="0.3">
      <c r="A1164">
        <v>202011</v>
      </c>
      <c r="B1164" s="1">
        <v>44136</v>
      </c>
      <c r="C1164">
        <v>2020</v>
      </c>
      <c r="D1164" t="s">
        <v>18</v>
      </c>
      <c r="E1164" t="s">
        <v>38</v>
      </c>
      <c r="F1164" t="s">
        <v>40</v>
      </c>
      <c r="G1164" t="s">
        <v>33</v>
      </c>
      <c r="H1164">
        <v>36.17</v>
      </c>
    </row>
    <row r="1165" spans="1:8" x14ac:dyDescent="0.3">
      <c r="A1165">
        <v>202012</v>
      </c>
      <c r="B1165" s="1">
        <v>44166</v>
      </c>
      <c r="C1165">
        <v>2020</v>
      </c>
      <c r="D1165" t="s">
        <v>19</v>
      </c>
      <c r="E1165" t="s">
        <v>38</v>
      </c>
      <c r="F1165" t="s">
        <v>40</v>
      </c>
      <c r="G1165" t="s">
        <v>33</v>
      </c>
      <c r="H1165">
        <v>53.58</v>
      </c>
    </row>
    <row r="1166" spans="1:8" x14ac:dyDescent="0.3">
      <c r="A1166">
        <v>202001</v>
      </c>
      <c r="B1166" s="1">
        <v>43831</v>
      </c>
      <c r="C1166">
        <v>2020</v>
      </c>
      <c r="D1166" t="s">
        <v>6</v>
      </c>
      <c r="E1166" t="s">
        <v>38</v>
      </c>
      <c r="F1166" t="s">
        <v>40</v>
      </c>
      <c r="G1166" t="s">
        <v>33</v>
      </c>
      <c r="H1166">
        <v>172.38</v>
      </c>
    </row>
    <row r="1167" spans="1:8" x14ac:dyDescent="0.3">
      <c r="A1167">
        <v>202002</v>
      </c>
      <c r="B1167" s="1">
        <v>43862</v>
      </c>
      <c r="C1167">
        <v>2020</v>
      </c>
      <c r="D1167" t="s">
        <v>9</v>
      </c>
      <c r="E1167" t="s">
        <v>38</v>
      </c>
      <c r="F1167" t="s">
        <v>40</v>
      </c>
      <c r="G1167" t="s">
        <v>33</v>
      </c>
      <c r="H1167">
        <v>174.46</v>
      </c>
    </row>
    <row r="1168" spans="1:8" x14ac:dyDescent="0.3">
      <c r="A1168">
        <v>202003</v>
      </c>
      <c r="B1168" s="1">
        <v>43891</v>
      </c>
      <c r="C1168">
        <v>2020</v>
      </c>
      <c r="D1168" t="s">
        <v>10</v>
      </c>
      <c r="E1168" t="s">
        <v>38</v>
      </c>
      <c r="F1168" t="s">
        <v>40</v>
      </c>
      <c r="G1168" t="s">
        <v>33</v>
      </c>
      <c r="H1168">
        <v>77.930000000000007</v>
      </c>
    </row>
    <row r="1169" spans="1:8" x14ac:dyDescent="0.3">
      <c r="A1169">
        <v>202004</v>
      </c>
      <c r="B1169" s="1">
        <v>43922</v>
      </c>
      <c r="C1169">
        <v>2020</v>
      </c>
      <c r="D1169" t="s">
        <v>11</v>
      </c>
      <c r="E1169" t="s">
        <v>38</v>
      </c>
      <c r="F1169" t="s">
        <v>40</v>
      </c>
      <c r="G1169" t="s">
        <v>33</v>
      </c>
      <c r="H1169">
        <v>85.77</v>
      </c>
    </row>
    <row r="1170" spans="1:8" x14ac:dyDescent="0.3">
      <c r="A1170">
        <v>202005</v>
      </c>
      <c r="B1170" s="1">
        <v>43952</v>
      </c>
      <c r="C1170">
        <v>2020</v>
      </c>
      <c r="D1170" t="s">
        <v>12</v>
      </c>
      <c r="E1170" t="s">
        <v>38</v>
      </c>
      <c r="F1170" t="s">
        <v>40</v>
      </c>
      <c r="G1170" t="s">
        <v>33</v>
      </c>
      <c r="H1170">
        <v>152.9</v>
      </c>
    </row>
    <row r="1171" spans="1:8" x14ac:dyDescent="0.3">
      <c r="A1171">
        <v>202006</v>
      </c>
      <c r="B1171" s="1">
        <v>43983</v>
      </c>
      <c r="C1171">
        <v>2020</v>
      </c>
      <c r="D1171" t="s">
        <v>13</v>
      </c>
      <c r="E1171" t="s">
        <v>38</v>
      </c>
      <c r="F1171" t="s">
        <v>40</v>
      </c>
      <c r="G1171" t="s">
        <v>33</v>
      </c>
      <c r="H1171">
        <v>130.59</v>
      </c>
    </row>
    <row r="1172" spans="1:8" x14ac:dyDescent="0.3">
      <c r="A1172">
        <v>202007</v>
      </c>
      <c r="B1172" s="1">
        <v>44013</v>
      </c>
      <c r="C1172">
        <v>2020</v>
      </c>
      <c r="D1172" t="s">
        <v>14</v>
      </c>
      <c r="E1172" t="s">
        <v>38</v>
      </c>
      <c r="F1172" t="s">
        <v>40</v>
      </c>
      <c r="G1172" t="s">
        <v>33</v>
      </c>
      <c r="H1172">
        <v>157.28</v>
      </c>
    </row>
    <row r="1173" spans="1:8" x14ac:dyDescent="0.3">
      <c r="A1173">
        <v>202008</v>
      </c>
      <c r="B1173" s="1">
        <v>44044</v>
      </c>
      <c r="C1173">
        <v>2020</v>
      </c>
      <c r="D1173" t="s">
        <v>15</v>
      </c>
      <c r="E1173" t="s">
        <v>38</v>
      </c>
      <c r="F1173" t="s">
        <v>40</v>
      </c>
      <c r="G1173" t="s">
        <v>33</v>
      </c>
      <c r="H1173">
        <v>111.2</v>
      </c>
    </row>
    <row r="1174" spans="1:8" x14ac:dyDescent="0.3">
      <c r="A1174">
        <v>202009</v>
      </c>
      <c r="B1174" s="1">
        <v>44075</v>
      </c>
      <c r="C1174">
        <v>2020</v>
      </c>
      <c r="D1174" t="s">
        <v>16</v>
      </c>
      <c r="E1174" t="s">
        <v>38</v>
      </c>
      <c r="F1174" t="s">
        <v>40</v>
      </c>
      <c r="G1174" t="s">
        <v>33</v>
      </c>
      <c r="H1174">
        <v>100</v>
      </c>
    </row>
    <row r="1175" spans="1:8" x14ac:dyDescent="0.3">
      <c r="A1175">
        <v>202010</v>
      </c>
      <c r="B1175" s="1">
        <v>44105</v>
      </c>
      <c r="C1175">
        <v>2020</v>
      </c>
      <c r="D1175" t="s">
        <v>17</v>
      </c>
      <c r="E1175" t="s">
        <v>38</v>
      </c>
      <c r="F1175" t="s">
        <v>40</v>
      </c>
      <c r="G1175" t="s">
        <v>33</v>
      </c>
      <c r="H1175">
        <v>102.5</v>
      </c>
    </row>
    <row r="1176" spans="1:8" x14ac:dyDescent="0.3">
      <c r="A1176">
        <v>202011</v>
      </c>
      <c r="B1176" s="1">
        <v>44136</v>
      </c>
      <c r="C1176">
        <v>2020</v>
      </c>
      <c r="D1176" t="s">
        <v>18</v>
      </c>
      <c r="E1176" t="s">
        <v>38</v>
      </c>
      <c r="F1176" t="s">
        <v>40</v>
      </c>
      <c r="G1176" t="s">
        <v>33</v>
      </c>
      <c r="H1176">
        <v>144.53</v>
      </c>
    </row>
    <row r="1177" spans="1:8" x14ac:dyDescent="0.3">
      <c r="A1177">
        <v>202012</v>
      </c>
      <c r="B1177" s="1">
        <v>44166</v>
      </c>
      <c r="C1177">
        <v>2020</v>
      </c>
      <c r="D1177" t="s">
        <v>19</v>
      </c>
      <c r="E1177" t="s">
        <v>38</v>
      </c>
      <c r="F1177" t="s">
        <v>40</v>
      </c>
      <c r="G1177" t="s">
        <v>33</v>
      </c>
      <c r="H1177">
        <v>137.06</v>
      </c>
    </row>
    <row r="1178" spans="1:8" x14ac:dyDescent="0.3">
      <c r="A1178">
        <v>202001</v>
      </c>
      <c r="B1178" s="1">
        <v>43831</v>
      </c>
      <c r="C1178">
        <v>2020</v>
      </c>
      <c r="D1178" t="s">
        <v>6</v>
      </c>
      <c r="E1178" t="s">
        <v>38</v>
      </c>
      <c r="F1178" t="s">
        <v>40</v>
      </c>
      <c r="G1178" t="s">
        <v>33</v>
      </c>
      <c r="H1178">
        <v>14.19</v>
      </c>
    </row>
    <row r="1179" spans="1:8" x14ac:dyDescent="0.3">
      <c r="A1179">
        <v>202002</v>
      </c>
      <c r="B1179" s="1">
        <v>43862</v>
      </c>
      <c r="C1179">
        <v>2020</v>
      </c>
      <c r="D1179" t="s">
        <v>9</v>
      </c>
      <c r="E1179" t="s">
        <v>38</v>
      </c>
      <c r="F1179" t="s">
        <v>40</v>
      </c>
      <c r="G1179" t="s">
        <v>33</v>
      </c>
      <c r="H1179">
        <v>14.57</v>
      </c>
    </row>
    <row r="1180" spans="1:8" x14ac:dyDescent="0.3">
      <c r="A1180">
        <v>202003</v>
      </c>
      <c r="B1180" s="1">
        <v>43891</v>
      </c>
      <c r="C1180">
        <v>2020</v>
      </c>
      <c r="D1180" t="s">
        <v>10</v>
      </c>
      <c r="E1180" t="s">
        <v>38</v>
      </c>
      <c r="F1180" t="s">
        <v>40</v>
      </c>
      <c r="G1180" t="s">
        <v>33</v>
      </c>
      <c r="H1180">
        <v>17.12</v>
      </c>
    </row>
    <row r="1181" spans="1:8" x14ac:dyDescent="0.3">
      <c r="A1181">
        <v>202004</v>
      </c>
      <c r="B1181" s="1">
        <v>43922</v>
      </c>
      <c r="C1181">
        <v>2020</v>
      </c>
      <c r="D1181" t="s">
        <v>11</v>
      </c>
      <c r="E1181" t="s">
        <v>38</v>
      </c>
      <c r="F1181" t="s">
        <v>40</v>
      </c>
      <c r="G1181" t="s">
        <v>33</v>
      </c>
      <c r="H1181">
        <v>6.8</v>
      </c>
    </row>
    <row r="1182" spans="1:8" x14ac:dyDescent="0.3">
      <c r="A1182">
        <v>202005</v>
      </c>
      <c r="B1182" s="1">
        <v>43952</v>
      </c>
      <c r="C1182">
        <v>2020</v>
      </c>
      <c r="D1182" t="s">
        <v>12</v>
      </c>
      <c r="E1182" t="s">
        <v>38</v>
      </c>
      <c r="F1182" t="s">
        <v>40</v>
      </c>
      <c r="G1182" t="s">
        <v>33</v>
      </c>
      <c r="H1182">
        <v>7.8</v>
      </c>
    </row>
    <row r="1183" spans="1:8" x14ac:dyDescent="0.3">
      <c r="A1183">
        <v>202006</v>
      </c>
      <c r="B1183" s="1">
        <v>43983</v>
      </c>
      <c r="C1183">
        <v>2020</v>
      </c>
      <c r="D1183" t="s">
        <v>13</v>
      </c>
      <c r="E1183" t="s">
        <v>38</v>
      </c>
      <c r="F1183" t="s">
        <v>40</v>
      </c>
      <c r="G1183" t="s">
        <v>33</v>
      </c>
      <c r="H1183">
        <v>17.25</v>
      </c>
    </row>
    <row r="1184" spans="1:8" x14ac:dyDescent="0.3">
      <c r="A1184">
        <v>202007</v>
      </c>
      <c r="B1184" s="1">
        <v>44013</v>
      </c>
      <c r="C1184">
        <v>2020</v>
      </c>
      <c r="D1184" t="s">
        <v>14</v>
      </c>
      <c r="E1184" t="s">
        <v>38</v>
      </c>
      <c r="F1184" t="s">
        <v>40</v>
      </c>
      <c r="G1184" t="s">
        <v>33</v>
      </c>
      <c r="H1184">
        <v>12.83</v>
      </c>
    </row>
    <row r="1185" spans="1:8" x14ac:dyDescent="0.3">
      <c r="A1185">
        <v>202008</v>
      </c>
      <c r="B1185" s="1">
        <v>44044</v>
      </c>
      <c r="C1185">
        <v>2020</v>
      </c>
      <c r="D1185" t="s">
        <v>15</v>
      </c>
      <c r="E1185" t="s">
        <v>38</v>
      </c>
      <c r="F1185" t="s">
        <v>40</v>
      </c>
      <c r="G1185" t="s">
        <v>33</v>
      </c>
      <c r="H1185">
        <v>7.78</v>
      </c>
    </row>
    <row r="1186" spans="1:8" x14ac:dyDescent="0.3">
      <c r="A1186">
        <v>202009</v>
      </c>
      <c r="B1186" s="1">
        <v>44075</v>
      </c>
      <c r="C1186">
        <v>2020</v>
      </c>
      <c r="D1186" t="s">
        <v>16</v>
      </c>
      <c r="E1186" t="s">
        <v>38</v>
      </c>
      <c r="F1186" t="s">
        <v>40</v>
      </c>
      <c r="G1186" t="s">
        <v>33</v>
      </c>
      <c r="H1186">
        <v>8.6300000000000008</v>
      </c>
    </row>
    <row r="1187" spans="1:8" x14ac:dyDescent="0.3">
      <c r="A1187">
        <v>202010</v>
      </c>
      <c r="B1187" s="1">
        <v>44105</v>
      </c>
      <c r="C1187">
        <v>2020</v>
      </c>
      <c r="D1187" t="s">
        <v>17</v>
      </c>
      <c r="E1187" t="s">
        <v>38</v>
      </c>
      <c r="F1187" t="s">
        <v>40</v>
      </c>
      <c r="G1187" t="s">
        <v>33</v>
      </c>
      <c r="H1187">
        <v>7.97</v>
      </c>
    </row>
    <row r="1188" spans="1:8" x14ac:dyDescent="0.3">
      <c r="A1188">
        <v>202011</v>
      </c>
      <c r="B1188" s="1">
        <v>44136</v>
      </c>
      <c r="C1188">
        <v>2020</v>
      </c>
      <c r="D1188" t="s">
        <v>18</v>
      </c>
      <c r="E1188" t="s">
        <v>38</v>
      </c>
      <c r="F1188" t="s">
        <v>40</v>
      </c>
      <c r="G1188" t="s">
        <v>33</v>
      </c>
      <c r="H1188">
        <v>12.26</v>
      </c>
    </row>
    <row r="1189" spans="1:8" x14ac:dyDescent="0.3">
      <c r="A1189">
        <v>202012</v>
      </c>
      <c r="B1189" s="1">
        <v>44166</v>
      </c>
      <c r="C1189">
        <v>2020</v>
      </c>
      <c r="D1189" t="s">
        <v>19</v>
      </c>
      <c r="E1189" t="s">
        <v>38</v>
      </c>
      <c r="F1189" t="s">
        <v>40</v>
      </c>
      <c r="G1189" t="s">
        <v>33</v>
      </c>
      <c r="H1189">
        <v>24.1</v>
      </c>
    </row>
    <row r="1190" spans="1:8" x14ac:dyDescent="0.3">
      <c r="A1190">
        <v>202001</v>
      </c>
      <c r="B1190" s="1">
        <v>43831</v>
      </c>
      <c r="C1190">
        <v>2020</v>
      </c>
      <c r="D1190" t="s">
        <v>6</v>
      </c>
      <c r="E1190" t="s">
        <v>38</v>
      </c>
      <c r="F1190" t="s">
        <v>40</v>
      </c>
      <c r="G1190" t="s">
        <v>33</v>
      </c>
      <c r="H1190">
        <v>14.38</v>
      </c>
    </row>
    <row r="1191" spans="1:8" x14ac:dyDescent="0.3">
      <c r="A1191">
        <v>202002</v>
      </c>
      <c r="B1191" s="1">
        <v>43862</v>
      </c>
      <c r="C1191">
        <v>2020</v>
      </c>
      <c r="D1191" t="s">
        <v>9</v>
      </c>
      <c r="E1191" t="s">
        <v>38</v>
      </c>
      <c r="F1191" t="s">
        <v>40</v>
      </c>
      <c r="G1191" t="s">
        <v>33</v>
      </c>
      <c r="H1191">
        <v>20.170000000000002</v>
      </c>
    </row>
    <row r="1192" spans="1:8" x14ac:dyDescent="0.3">
      <c r="A1192">
        <v>202003</v>
      </c>
      <c r="B1192" s="1">
        <v>43891</v>
      </c>
      <c r="C1192">
        <v>2020</v>
      </c>
      <c r="D1192" t="s">
        <v>10</v>
      </c>
      <c r="E1192" t="s">
        <v>38</v>
      </c>
      <c r="F1192" t="s">
        <v>40</v>
      </c>
      <c r="G1192" t="s">
        <v>33</v>
      </c>
      <c r="H1192">
        <v>16.13</v>
      </c>
    </row>
    <row r="1193" spans="1:8" x14ac:dyDescent="0.3">
      <c r="A1193">
        <v>202004</v>
      </c>
      <c r="B1193" s="1">
        <v>43922</v>
      </c>
      <c r="C1193">
        <v>2020</v>
      </c>
      <c r="D1193" t="s">
        <v>11</v>
      </c>
      <c r="E1193" t="s">
        <v>38</v>
      </c>
      <c r="F1193" t="s">
        <v>40</v>
      </c>
      <c r="G1193" t="s">
        <v>33</v>
      </c>
      <c r="H1193">
        <v>10.23</v>
      </c>
    </row>
    <row r="1194" spans="1:8" x14ac:dyDescent="0.3">
      <c r="A1194">
        <v>202005</v>
      </c>
      <c r="B1194" s="1">
        <v>43952</v>
      </c>
      <c r="C1194">
        <v>2020</v>
      </c>
      <c r="D1194" t="s">
        <v>12</v>
      </c>
      <c r="E1194" t="s">
        <v>38</v>
      </c>
      <c r="F1194" t="s">
        <v>40</v>
      </c>
      <c r="G1194" t="s">
        <v>33</v>
      </c>
      <c r="H1194">
        <v>11.94</v>
      </c>
    </row>
    <row r="1195" spans="1:8" x14ac:dyDescent="0.3">
      <c r="A1195">
        <v>202006</v>
      </c>
      <c r="B1195" s="1">
        <v>43983</v>
      </c>
      <c r="C1195">
        <v>2020</v>
      </c>
      <c r="D1195" t="s">
        <v>13</v>
      </c>
      <c r="E1195" t="s">
        <v>38</v>
      </c>
      <c r="F1195" t="s">
        <v>40</v>
      </c>
      <c r="G1195" t="s">
        <v>33</v>
      </c>
      <c r="H1195">
        <v>53.14</v>
      </c>
    </row>
    <row r="1196" spans="1:8" x14ac:dyDescent="0.3">
      <c r="A1196">
        <v>202007</v>
      </c>
      <c r="B1196" s="1">
        <v>44013</v>
      </c>
      <c r="C1196">
        <v>2020</v>
      </c>
      <c r="D1196" t="s">
        <v>14</v>
      </c>
      <c r="E1196" t="s">
        <v>38</v>
      </c>
      <c r="F1196" t="s">
        <v>40</v>
      </c>
      <c r="G1196" t="s">
        <v>33</v>
      </c>
      <c r="H1196">
        <v>22.85</v>
      </c>
    </row>
    <row r="1197" spans="1:8" x14ac:dyDescent="0.3">
      <c r="A1197">
        <v>202008</v>
      </c>
      <c r="B1197" s="1">
        <v>44044</v>
      </c>
      <c r="C1197">
        <v>2020</v>
      </c>
      <c r="D1197" t="s">
        <v>15</v>
      </c>
      <c r="E1197" t="s">
        <v>38</v>
      </c>
      <c r="F1197" t="s">
        <v>40</v>
      </c>
      <c r="G1197" t="s">
        <v>33</v>
      </c>
      <c r="H1197">
        <v>16.579999999999998</v>
      </c>
    </row>
    <row r="1198" spans="1:8" x14ac:dyDescent="0.3">
      <c r="A1198">
        <v>202009</v>
      </c>
      <c r="B1198" s="1">
        <v>44075</v>
      </c>
      <c r="C1198">
        <v>2020</v>
      </c>
      <c r="D1198" t="s">
        <v>16</v>
      </c>
      <c r="E1198" t="s">
        <v>38</v>
      </c>
      <c r="F1198" t="s">
        <v>40</v>
      </c>
      <c r="G1198" t="s">
        <v>33</v>
      </c>
      <c r="H1198">
        <v>23.48</v>
      </c>
    </row>
    <row r="1199" spans="1:8" x14ac:dyDescent="0.3">
      <c r="A1199">
        <v>202010</v>
      </c>
      <c r="B1199" s="1">
        <v>44105</v>
      </c>
      <c r="C1199">
        <v>2020</v>
      </c>
      <c r="D1199" t="s">
        <v>17</v>
      </c>
      <c r="E1199" t="s">
        <v>38</v>
      </c>
      <c r="F1199" t="s">
        <v>40</v>
      </c>
      <c r="G1199" t="s">
        <v>33</v>
      </c>
      <c r="H1199">
        <v>14.81</v>
      </c>
    </row>
    <row r="1200" spans="1:8" x14ac:dyDescent="0.3">
      <c r="A1200">
        <v>202011</v>
      </c>
      <c r="B1200" s="1">
        <v>44136</v>
      </c>
      <c r="C1200">
        <v>2020</v>
      </c>
      <c r="D1200" t="s">
        <v>18</v>
      </c>
      <c r="E1200" t="s">
        <v>38</v>
      </c>
      <c r="F1200" t="s">
        <v>40</v>
      </c>
      <c r="G1200" t="s">
        <v>33</v>
      </c>
      <c r="H1200">
        <v>18.12</v>
      </c>
    </row>
    <row r="1201" spans="1:8" x14ac:dyDescent="0.3">
      <c r="A1201">
        <v>202012</v>
      </c>
      <c r="B1201" s="1">
        <v>44166</v>
      </c>
      <c r="C1201">
        <v>2020</v>
      </c>
      <c r="D1201" t="s">
        <v>19</v>
      </c>
      <c r="E1201" t="s">
        <v>38</v>
      </c>
      <c r="F1201" t="s">
        <v>40</v>
      </c>
      <c r="G1201" t="s">
        <v>33</v>
      </c>
      <c r="H1201">
        <v>28.19</v>
      </c>
    </row>
    <row r="1202" spans="1:8" x14ac:dyDescent="0.3">
      <c r="A1202">
        <v>202101</v>
      </c>
      <c r="B1202" s="1">
        <v>44197</v>
      </c>
      <c r="C1202">
        <v>2021</v>
      </c>
      <c r="D1202" t="s">
        <v>6</v>
      </c>
      <c r="E1202" t="s">
        <v>7</v>
      </c>
      <c r="F1202" t="s">
        <v>7</v>
      </c>
      <c r="G1202" t="s">
        <v>8</v>
      </c>
      <c r="H1202">
        <v>534.27</v>
      </c>
    </row>
    <row r="1203" spans="1:8" x14ac:dyDescent="0.3">
      <c r="A1203">
        <v>202102</v>
      </c>
      <c r="B1203" s="1">
        <v>44228</v>
      </c>
      <c r="C1203">
        <v>2021</v>
      </c>
      <c r="D1203" t="s">
        <v>9</v>
      </c>
      <c r="E1203" t="s">
        <v>7</v>
      </c>
      <c r="F1203" t="s">
        <v>7</v>
      </c>
      <c r="G1203" t="s">
        <v>8</v>
      </c>
      <c r="H1203">
        <v>364.67</v>
      </c>
    </row>
    <row r="1204" spans="1:8" x14ac:dyDescent="0.3">
      <c r="A1204">
        <v>202103</v>
      </c>
      <c r="B1204" s="1">
        <v>44256</v>
      </c>
      <c r="C1204">
        <v>2021</v>
      </c>
      <c r="D1204" t="s">
        <v>10</v>
      </c>
      <c r="E1204" t="s">
        <v>7</v>
      </c>
      <c r="F1204" t="s">
        <v>7</v>
      </c>
      <c r="G1204" t="s">
        <v>8</v>
      </c>
      <c r="H1204">
        <v>404.13</v>
      </c>
    </row>
    <row r="1205" spans="1:8" x14ac:dyDescent="0.3">
      <c r="A1205">
        <v>202104</v>
      </c>
      <c r="B1205" s="1">
        <v>44287</v>
      </c>
      <c r="C1205">
        <v>2021</v>
      </c>
      <c r="D1205" t="s">
        <v>11</v>
      </c>
      <c r="E1205" t="s">
        <v>7</v>
      </c>
      <c r="F1205" t="s">
        <v>7</v>
      </c>
      <c r="G1205" t="s">
        <v>8</v>
      </c>
      <c r="H1205">
        <v>678.82</v>
      </c>
    </row>
    <row r="1206" spans="1:8" x14ac:dyDescent="0.3">
      <c r="A1206">
        <v>202105</v>
      </c>
      <c r="B1206" s="1">
        <v>44317</v>
      </c>
      <c r="C1206">
        <v>2021</v>
      </c>
      <c r="D1206" t="s">
        <v>12</v>
      </c>
      <c r="E1206" t="s">
        <v>7</v>
      </c>
      <c r="F1206" t="s">
        <v>7</v>
      </c>
      <c r="G1206" t="s">
        <v>8</v>
      </c>
      <c r="H1206">
        <v>510.88</v>
      </c>
    </row>
    <row r="1207" spans="1:8" x14ac:dyDescent="0.3">
      <c r="A1207">
        <v>202106</v>
      </c>
      <c r="B1207" s="1">
        <v>44348</v>
      </c>
      <c r="C1207">
        <v>2021</v>
      </c>
      <c r="D1207" t="s">
        <v>13</v>
      </c>
      <c r="E1207" t="s">
        <v>7</v>
      </c>
      <c r="F1207" t="s">
        <v>7</v>
      </c>
      <c r="G1207" t="s">
        <v>8</v>
      </c>
      <c r="H1207">
        <v>457</v>
      </c>
    </row>
    <row r="1208" spans="1:8" x14ac:dyDescent="0.3">
      <c r="A1208">
        <v>202107</v>
      </c>
      <c r="B1208" s="1">
        <v>44378</v>
      </c>
      <c r="C1208">
        <v>2021</v>
      </c>
      <c r="D1208" t="s">
        <v>14</v>
      </c>
      <c r="E1208" t="s">
        <v>7</v>
      </c>
      <c r="F1208" t="s">
        <v>7</v>
      </c>
      <c r="G1208" t="s">
        <v>8</v>
      </c>
      <c r="H1208">
        <v>493.94</v>
      </c>
    </row>
    <row r="1209" spans="1:8" x14ac:dyDescent="0.3">
      <c r="A1209">
        <v>202108</v>
      </c>
      <c r="B1209" s="1">
        <v>44409</v>
      </c>
      <c r="C1209">
        <v>2021</v>
      </c>
      <c r="D1209" t="s">
        <v>15</v>
      </c>
      <c r="E1209" t="s">
        <v>7</v>
      </c>
      <c r="F1209" t="s">
        <v>7</v>
      </c>
      <c r="G1209" t="s">
        <v>8</v>
      </c>
      <c r="H1209">
        <v>446.86</v>
      </c>
    </row>
    <row r="1210" spans="1:8" x14ac:dyDescent="0.3">
      <c r="A1210">
        <v>202109</v>
      </c>
      <c r="B1210" s="1">
        <v>44440</v>
      </c>
      <c r="C1210">
        <v>2021</v>
      </c>
      <c r="D1210" t="s">
        <v>16</v>
      </c>
      <c r="E1210" t="s">
        <v>7</v>
      </c>
      <c r="F1210" t="s">
        <v>7</v>
      </c>
      <c r="G1210" t="s">
        <v>8</v>
      </c>
      <c r="H1210">
        <v>425.92</v>
      </c>
    </row>
    <row r="1211" spans="1:8" x14ac:dyDescent="0.3">
      <c r="A1211">
        <v>202110</v>
      </c>
      <c r="B1211" s="1">
        <v>44470</v>
      </c>
      <c r="C1211">
        <v>2021</v>
      </c>
      <c r="D1211" t="s">
        <v>17</v>
      </c>
      <c r="E1211" t="s">
        <v>7</v>
      </c>
      <c r="F1211" t="s">
        <v>7</v>
      </c>
      <c r="G1211" t="s">
        <v>8</v>
      </c>
      <c r="H1211">
        <v>442.79</v>
      </c>
    </row>
    <row r="1212" spans="1:8" x14ac:dyDescent="0.3">
      <c r="A1212">
        <v>202111</v>
      </c>
      <c r="B1212" s="1">
        <v>44501</v>
      </c>
      <c r="C1212">
        <v>2021</v>
      </c>
      <c r="D1212" t="s">
        <v>18</v>
      </c>
      <c r="E1212" t="s">
        <v>7</v>
      </c>
      <c r="F1212" t="s">
        <v>7</v>
      </c>
      <c r="G1212" t="s">
        <v>8</v>
      </c>
      <c r="H1212">
        <v>499.81</v>
      </c>
    </row>
    <row r="1213" spans="1:8" x14ac:dyDescent="0.3">
      <c r="A1213">
        <v>202112</v>
      </c>
      <c r="B1213" s="1">
        <v>44531</v>
      </c>
      <c r="C1213">
        <v>2021</v>
      </c>
      <c r="D1213" t="s">
        <v>19</v>
      </c>
      <c r="E1213" t="s">
        <v>7</v>
      </c>
      <c r="F1213" t="s">
        <v>7</v>
      </c>
      <c r="G1213" t="s">
        <v>8</v>
      </c>
      <c r="H1213">
        <v>509.87</v>
      </c>
    </row>
    <row r="1214" spans="1:8" x14ac:dyDescent="0.3">
      <c r="A1214">
        <v>202101</v>
      </c>
      <c r="B1214" s="1">
        <v>44197</v>
      </c>
      <c r="C1214">
        <v>2021</v>
      </c>
      <c r="D1214" t="s">
        <v>6</v>
      </c>
      <c r="E1214" t="s">
        <v>7</v>
      </c>
      <c r="F1214" t="s">
        <v>7</v>
      </c>
      <c r="G1214" t="s">
        <v>8</v>
      </c>
      <c r="H1214">
        <v>527.94000000000005</v>
      </c>
    </row>
    <row r="1215" spans="1:8" x14ac:dyDescent="0.3">
      <c r="A1215">
        <v>202102</v>
      </c>
      <c r="B1215" s="1">
        <v>44228</v>
      </c>
      <c r="C1215">
        <v>2021</v>
      </c>
      <c r="D1215" t="s">
        <v>9</v>
      </c>
      <c r="E1215" t="s">
        <v>7</v>
      </c>
      <c r="F1215" t="s">
        <v>7</v>
      </c>
      <c r="G1215" t="s">
        <v>8</v>
      </c>
      <c r="H1215">
        <v>438.13</v>
      </c>
    </row>
    <row r="1216" spans="1:8" x14ac:dyDescent="0.3">
      <c r="A1216">
        <v>202103</v>
      </c>
      <c r="B1216" s="1">
        <v>44256</v>
      </c>
      <c r="C1216">
        <v>2021</v>
      </c>
      <c r="D1216" t="s">
        <v>10</v>
      </c>
      <c r="E1216" t="s">
        <v>7</v>
      </c>
      <c r="F1216" t="s">
        <v>7</v>
      </c>
      <c r="G1216" t="s">
        <v>8</v>
      </c>
      <c r="H1216">
        <v>468.59</v>
      </c>
    </row>
    <row r="1217" spans="1:8" x14ac:dyDescent="0.3">
      <c r="A1217">
        <v>202104</v>
      </c>
      <c r="B1217" s="1">
        <v>44287</v>
      </c>
      <c r="C1217">
        <v>2021</v>
      </c>
      <c r="D1217" t="s">
        <v>11</v>
      </c>
      <c r="E1217" t="s">
        <v>7</v>
      </c>
      <c r="F1217" t="s">
        <v>7</v>
      </c>
      <c r="G1217" t="s">
        <v>8</v>
      </c>
      <c r="H1217">
        <v>880.19</v>
      </c>
    </row>
    <row r="1218" spans="1:8" x14ac:dyDescent="0.3">
      <c r="A1218">
        <v>202105</v>
      </c>
      <c r="B1218" s="1">
        <v>44317</v>
      </c>
      <c r="C1218">
        <v>2021</v>
      </c>
      <c r="D1218" t="s">
        <v>12</v>
      </c>
      <c r="E1218" t="s">
        <v>7</v>
      </c>
      <c r="F1218" t="s">
        <v>7</v>
      </c>
      <c r="G1218" t="s">
        <v>8</v>
      </c>
      <c r="H1218">
        <v>618.66999999999996</v>
      </c>
    </row>
    <row r="1219" spans="1:8" x14ac:dyDescent="0.3">
      <c r="A1219">
        <v>202106</v>
      </c>
      <c r="B1219" s="1">
        <v>44348</v>
      </c>
      <c r="C1219">
        <v>2021</v>
      </c>
      <c r="D1219" t="s">
        <v>13</v>
      </c>
      <c r="E1219" t="s">
        <v>7</v>
      </c>
      <c r="F1219" t="s">
        <v>7</v>
      </c>
      <c r="G1219" t="s">
        <v>8</v>
      </c>
      <c r="H1219">
        <v>456.9</v>
      </c>
    </row>
    <row r="1220" spans="1:8" x14ac:dyDescent="0.3">
      <c r="A1220">
        <v>202107</v>
      </c>
      <c r="B1220" s="1">
        <v>44378</v>
      </c>
      <c r="C1220">
        <v>2021</v>
      </c>
      <c r="D1220" t="s">
        <v>14</v>
      </c>
      <c r="E1220" t="s">
        <v>7</v>
      </c>
      <c r="F1220" t="s">
        <v>7</v>
      </c>
      <c r="G1220" t="s">
        <v>8</v>
      </c>
      <c r="H1220">
        <v>503.03</v>
      </c>
    </row>
    <row r="1221" spans="1:8" x14ac:dyDescent="0.3">
      <c r="A1221">
        <v>202108</v>
      </c>
      <c r="B1221" s="1">
        <v>44409</v>
      </c>
      <c r="C1221">
        <v>2021</v>
      </c>
      <c r="D1221" t="s">
        <v>15</v>
      </c>
      <c r="E1221" t="s">
        <v>7</v>
      </c>
      <c r="F1221" t="s">
        <v>7</v>
      </c>
      <c r="G1221" t="s">
        <v>8</v>
      </c>
      <c r="H1221">
        <v>543.13</v>
      </c>
    </row>
    <row r="1222" spans="1:8" x14ac:dyDescent="0.3">
      <c r="A1222">
        <v>202109</v>
      </c>
      <c r="B1222" s="1">
        <v>44440</v>
      </c>
      <c r="C1222">
        <v>2021</v>
      </c>
      <c r="D1222" t="s">
        <v>16</v>
      </c>
      <c r="E1222" t="s">
        <v>7</v>
      </c>
      <c r="F1222" t="s">
        <v>7</v>
      </c>
      <c r="G1222" t="s">
        <v>8</v>
      </c>
      <c r="H1222">
        <v>516.89</v>
      </c>
    </row>
    <row r="1223" spans="1:8" x14ac:dyDescent="0.3">
      <c r="A1223">
        <v>202110</v>
      </c>
      <c r="B1223" s="1">
        <v>44470</v>
      </c>
      <c r="C1223">
        <v>2021</v>
      </c>
      <c r="D1223" t="s">
        <v>17</v>
      </c>
      <c r="E1223" t="s">
        <v>7</v>
      </c>
      <c r="F1223" t="s">
        <v>7</v>
      </c>
      <c r="G1223" t="s">
        <v>8</v>
      </c>
      <c r="H1223">
        <v>464.53</v>
      </c>
    </row>
    <row r="1224" spans="1:8" x14ac:dyDescent="0.3">
      <c r="A1224">
        <v>202111</v>
      </c>
      <c r="B1224" s="1">
        <v>44501</v>
      </c>
      <c r="C1224">
        <v>2021</v>
      </c>
      <c r="D1224" t="s">
        <v>18</v>
      </c>
      <c r="E1224" t="s">
        <v>7</v>
      </c>
      <c r="F1224" t="s">
        <v>7</v>
      </c>
      <c r="G1224" t="s">
        <v>8</v>
      </c>
      <c r="H1224">
        <v>689.73</v>
      </c>
    </row>
    <row r="1225" spans="1:8" x14ac:dyDescent="0.3">
      <c r="A1225">
        <v>202112</v>
      </c>
      <c r="B1225" s="1">
        <v>44531</v>
      </c>
      <c r="C1225">
        <v>2021</v>
      </c>
      <c r="D1225" t="s">
        <v>19</v>
      </c>
      <c r="E1225" t="s">
        <v>7</v>
      </c>
      <c r="F1225" t="s">
        <v>7</v>
      </c>
      <c r="G1225" t="s">
        <v>8</v>
      </c>
      <c r="H1225">
        <v>565.59</v>
      </c>
    </row>
    <row r="1226" spans="1:8" x14ac:dyDescent="0.3">
      <c r="A1226">
        <v>202101</v>
      </c>
      <c r="B1226" s="1">
        <v>44197</v>
      </c>
      <c r="C1226">
        <v>2021</v>
      </c>
      <c r="D1226" t="s">
        <v>6</v>
      </c>
      <c r="E1226" t="s">
        <v>7</v>
      </c>
      <c r="F1226" t="s">
        <v>7</v>
      </c>
      <c r="G1226" t="s">
        <v>8</v>
      </c>
      <c r="H1226">
        <v>9750.2800000000007</v>
      </c>
    </row>
    <row r="1227" spans="1:8" x14ac:dyDescent="0.3">
      <c r="A1227">
        <v>202102</v>
      </c>
      <c r="B1227" s="1">
        <v>44228</v>
      </c>
      <c r="C1227">
        <v>2021</v>
      </c>
      <c r="D1227" t="s">
        <v>9</v>
      </c>
      <c r="E1227" t="s">
        <v>7</v>
      </c>
      <c r="F1227" t="s">
        <v>7</v>
      </c>
      <c r="G1227" t="s">
        <v>8</v>
      </c>
      <c r="H1227">
        <v>6909</v>
      </c>
    </row>
    <row r="1228" spans="1:8" x14ac:dyDescent="0.3">
      <c r="A1228">
        <v>202103</v>
      </c>
      <c r="B1228" s="1">
        <v>44256</v>
      </c>
      <c r="C1228">
        <v>2021</v>
      </c>
      <c r="D1228" t="s">
        <v>10</v>
      </c>
      <c r="E1228" t="s">
        <v>7</v>
      </c>
      <c r="F1228" t="s">
        <v>7</v>
      </c>
      <c r="G1228" t="s">
        <v>8</v>
      </c>
      <c r="H1228">
        <v>7105.32</v>
      </c>
    </row>
    <row r="1229" spans="1:8" x14ac:dyDescent="0.3">
      <c r="A1229">
        <v>202104</v>
      </c>
      <c r="B1229" s="1">
        <v>44287</v>
      </c>
      <c r="C1229">
        <v>2021</v>
      </c>
      <c r="D1229" t="s">
        <v>11</v>
      </c>
      <c r="E1229" t="s">
        <v>7</v>
      </c>
      <c r="F1229" t="s">
        <v>7</v>
      </c>
      <c r="G1229" t="s">
        <v>8</v>
      </c>
      <c r="H1229">
        <v>11715.33</v>
      </c>
    </row>
    <row r="1230" spans="1:8" x14ac:dyDescent="0.3">
      <c r="A1230">
        <v>202105</v>
      </c>
      <c r="B1230" s="1">
        <v>44317</v>
      </c>
      <c r="C1230">
        <v>2021</v>
      </c>
      <c r="D1230" t="s">
        <v>12</v>
      </c>
      <c r="E1230" t="s">
        <v>7</v>
      </c>
      <c r="F1230" t="s">
        <v>7</v>
      </c>
      <c r="G1230" t="s">
        <v>8</v>
      </c>
      <c r="H1230">
        <v>8407.52</v>
      </c>
    </row>
    <row r="1231" spans="1:8" x14ac:dyDescent="0.3">
      <c r="A1231">
        <v>202106</v>
      </c>
      <c r="B1231" s="1">
        <v>44348</v>
      </c>
      <c r="C1231">
        <v>2021</v>
      </c>
      <c r="D1231" t="s">
        <v>13</v>
      </c>
      <c r="E1231" t="s">
        <v>7</v>
      </c>
      <c r="F1231" t="s">
        <v>7</v>
      </c>
      <c r="G1231" t="s">
        <v>8</v>
      </c>
      <c r="H1231">
        <v>10482.700000000001</v>
      </c>
    </row>
    <row r="1232" spans="1:8" x14ac:dyDescent="0.3">
      <c r="A1232">
        <v>202107</v>
      </c>
      <c r="B1232" s="1">
        <v>44378</v>
      </c>
      <c r="C1232">
        <v>2021</v>
      </c>
      <c r="D1232" t="s">
        <v>14</v>
      </c>
      <c r="E1232" t="s">
        <v>7</v>
      </c>
      <c r="F1232" t="s">
        <v>7</v>
      </c>
      <c r="G1232" t="s">
        <v>8</v>
      </c>
      <c r="H1232">
        <v>8565.2900000000009</v>
      </c>
    </row>
    <row r="1233" spans="1:8" x14ac:dyDescent="0.3">
      <c r="A1233">
        <v>202108</v>
      </c>
      <c r="B1233" s="1">
        <v>44409</v>
      </c>
      <c r="C1233">
        <v>2021</v>
      </c>
      <c r="D1233" t="s">
        <v>15</v>
      </c>
      <c r="E1233" t="s">
        <v>7</v>
      </c>
      <c r="F1233" t="s">
        <v>7</v>
      </c>
      <c r="G1233" t="s">
        <v>8</v>
      </c>
      <c r="H1233">
        <v>8357.92</v>
      </c>
    </row>
    <row r="1234" spans="1:8" x14ac:dyDescent="0.3">
      <c r="A1234">
        <v>202109</v>
      </c>
      <c r="B1234" s="1">
        <v>44440</v>
      </c>
      <c r="C1234">
        <v>2021</v>
      </c>
      <c r="D1234" t="s">
        <v>16</v>
      </c>
      <c r="E1234" t="s">
        <v>7</v>
      </c>
      <c r="F1234" t="s">
        <v>7</v>
      </c>
      <c r="G1234" t="s">
        <v>8</v>
      </c>
      <c r="H1234">
        <v>9754.83</v>
      </c>
    </row>
    <row r="1235" spans="1:8" x14ac:dyDescent="0.3">
      <c r="A1235">
        <v>202110</v>
      </c>
      <c r="B1235" s="1">
        <v>44470</v>
      </c>
      <c r="C1235">
        <v>2021</v>
      </c>
      <c r="D1235" t="s">
        <v>17</v>
      </c>
      <c r="E1235" t="s">
        <v>7</v>
      </c>
      <c r="F1235" t="s">
        <v>7</v>
      </c>
      <c r="G1235" t="s">
        <v>8</v>
      </c>
      <c r="H1235">
        <v>8565.65</v>
      </c>
    </row>
    <row r="1236" spans="1:8" x14ac:dyDescent="0.3">
      <c r="A1236">
        <v>202111</v>
      </c>
      <c r="B1236" s="1">
        <v>44501</v>
      </c>
      <c r="C1236">
        <v>2021</v>
      </c>
      <c r="D1236" t="s">
        <v>18</v>
      </c>
      <c r="E1236" t="s">
        <v>7</v>
      </c>
      <c r="F1236" t="s">
        <v>7</v>
      </c>
      <c r="G1236" t="s">
        <v>8</v>
      </c>
      <c r="H1236">
        <v>11450.57</v>
      </c>
    </row>
    <row r="1237" spans="1:8" x14ac:dyDescent="0.3">
      <c r="A1237">
        <v>202112</v>
      </c>
      <c r="B1237" s="1">
        <v>44531</v>
      </c>
      <c r="C1237">
        <v>2021</v>
      </c>
      <c r="D1237" t="s">
        <v>19</v>
      </c>
      <c r="E1237" t="s">
        <v>7</v>
      </c>
      <c r="F1237" t="s">
        <v>7</v>
      </c>
      <c r="G1237" t="s">
        <v>8</v>
      </c>
      <c r="H1237">
        <v>9823.2999999999993</v>
      </c>
    </row>
    <row r="1238" spans="1:8" x14ac:dyDescent="0.3">
      <c r="A1238">
        <v>202101</v>
      </c>
      <c r="B1238" s="1">
        <v>44197</v>
      </c>
      <c r="C1238">
        <v>2021</v>
      </c>
      <c r="D1238" t="s">
        <v>6</v>
      </c>
      <c r="E1238" t="s">
        <v>7</v>
      </c>
      <c r="F1238" t="s">
        <v>7</v>
      </c>
      <c r="G1238" t="s">
        <v>8</v>
      </c>
      <c r="H1238">
        <v>263.18</v>
      </c>
    </row>
    <row r="1239" spans="1:8" x14ac:dyDescent="0.3">
      <c r="A1239">
        <v>202102</v>
      </c>
      <c r="B1239" s="1">
        <v>44228</v>
      </c>
      <c r="C1239">
        <v>2021</v>
      </c>
      <c r="D1239" t="s">
        <v>9</v>
      </c>
      <c r="E1239" t="s">
        <v>7</v>
      </c>
      <c r="F1239" t="s">
        <v>7</v>
      </c>
      <c r="G1239" t="s">
        <v>8</v>
      </c>
      <c r="H1239">
        <v>230.18</v>
      </c>
    </row>
    <row r="1240" spans="1:8" x14ac:dyDescent="0.3">
      <c r="A1240">
        <v>202103</v>
      </c>
      <c r="B1240" s="1">
        <v>44256</v>
      </c>
      <c r="C1240">
        <v>2021</v>
      </c>
      <c r="D1240" t="s">
        <v>10</v>
      </c>
      <c r="E1240" t="s">
        <v>7</v>
      </c>
      <c r="F1240" t="s">
        <v>7</v>
      </c>
      <c r="G1240" t="s">
        <v>8</v>
      </c>
      <c r="H1240">
        <v>250.96</v>
      </c>
    </row>
    <row r="1241" spans="1:8" x14ac:dyDescent="0.3">
      <c r="A1241">
        <v>202104</v>
      </c>
      <c r="B1241" s="1">
        <v>44287</v>
      </c>
      <c r="C1241">
        <v>2021</v>
      </c>
      <c r="D1241" t="s">
        <v>11</v>
      </c>
      <c r="E1241" t="s">
        <v>7</v>
      </c>
      <c r="F1241" t="s">
        <v>7</v>
      </c>
      <c r="G1241" t="s">
        <v>8</v>
      </c>
      <c r="H1241">
        <v>338.74</v>
      </c>
    </row>
    <row r="1242" spans="1:8" x14ac:dyDescent="0.3">
      <c r="A1242">
        <v>202105</v>
      </c>
      <c r="B1242" s="1">
        <v>44317</v>
      </c>
      <c r="C1242">
        <v>2021</v>
      </c>
      <c r="D1242" t="s">
        <v>12</v>
      </c>
      <c r="E1242" t="s">
        <v>7</v>
      </c>
      <c r="F1242" t="s">
        <v>7</v>
      </c>
      <c r="G1242" t="s">
        <v>8</v>
      </c>
      <c r="H1242">
        <v>270.08</v>
      </c>
    </row>
    <row r="1243" spans="1:8" x14ac:dyDescent="0.3">
      <c r="A1243">
        <v>202106</v>
      </c>
      <c r="B1243" s="1">
        <v>44348</v>
      </c>
      <c r="C1243">
        <v>2021</v>
      </c>
      <c r="D1243" t="s">
        <v>13</v>
      </c>
      <c r="E1243" t="s">
        <v>7</v>
      </c>
      <c r="F1243" t="s">
        <v>7</v>
      </c>
      <c r="G1243" t="s">
        <v>8</v>
      </c>
      <c r="H1243">
        <v>288.22000000000003</v>
      </c>
    </row>
    <row r="1244" spans="1:8" x14ac:dyDescent="0.3">
      <c r="A1244">
        <v>202107</v>
      </c>
      <c r="B1244" s="1">
        <v>44378</v>
      </c>
      <c r="C1244">
        <v>2021</v>
      </c>
      <c r="D1244" t="s">
        <v>14</v>
      </c>
      <c r="E1244" t="s">
        <v>7</v>
      </c>
      <c r="F1244" t="s">
        <v>7</v>
      </c>
      <c r="G1244" t="s">
        <v>8</v>
      </c>
      <c r="H1244">
        <v>267.01</v>
      </c>
    </row>
    <row r="1245" spans="1:8" x14ac:dyDescent="0.3">
      <c r="A1245">
        <v>202108</v>
      </c>
      <c r="B1245" s="1">
        <v>44409</v>
      </c>
      <c r="C1245">
        <v>2021</v>
      </c>
      <c r="D1245" t="s">
        <v>15</v>
      </c>
      <c r="E1245" t="s">
        <v>7</v>
      </c>
      <c r="F1245" t="s">
        <v>7</v>
      </c>
      <c r="G1245" t="s">
        <v>8</v>
      </c>
      <c r="H1245">
        <v>251.17</v>
      </c>
    </row>
    <row r="1246" spans="1:8" x14ac:dyDescent="0.3">
      <c r="A1246">
        <v>202109</v>
      </c>
      <c r="B1246" s="1">
        <v>44440</v>
      </c>
      <c r="C1246">
        <v>2021</v>
      </c>
      <c r="D1246" t="s">
        <v>16</v>
      </c>
      <c r="E1246" t="s">
        <v>7</v>
      </c>
      <c r="F1246" t="s">
        <v>7</v>
      </c>
      <c r="G1246" t="s">
        <v>8</v>
      </c>
      <c r="H1246">
        <v>209.22</v>
      </c>
    </row>
    <row r="1247" spans="1:8" x14ac:dyDescent="0.3">
      <c r="A1247">
        <v>202110</v>
      </c>
      <c r="B1247" s="1">
        <v>44470</v>
      </c>
      <c r="C1247">
        <v>2021</v>
      </c>
      <c r="D1247" t="s">
        <v>17</v>
      </c>
      <c r="E1247" t="s">
        <v>7</v>
      </c>
      <c r="F1247" t="s">
        <v>7</v>
      </c>
      <c r="G1247" t="s">
        <v>8</v>
      </c>
      <c r="H1247">
        <v>271.11</v>
      </c>
    </row>
    <row r="1248" spans="1:8" x14ac:dyDescent="0.3">
      <c r="A1248">
        <v>202111</v>
      </c>
      <c r="B1248" s="1">
        <v>44501</v>
      </c>
      <c r="C1248">
        <v>2021</v>
      </c>
      <c r="D1248" t="s">
        <v>18</v>
      </c>
      <c r="E1248" t="s">
        <v>7</v>
      </c>
      <c r="F1248" t="s">
        <v>7</v>
      </c>
      <c r="G1248" t="s">
        <v>8</v>
      </c>
      <c r="H1248">
        <v>309.68</v>
      </c>
    </row>
    <row r="1249" spans="1:8" x14ac:dyDescent="0.3">
      <c r="A1249">
        <v>202112</v>
      </c>
      <c r="B1249" s="1">
        <v>44531</v>
      </c>
      <c r="C1249">
        <v>2021</v>
      </c>
      <c r="D1249" t="s">
        <v>19</v>
      </c>
      <c r="E1249" t="s">
        <v>7</v>
      </c>
      <c r="F1249" t="s">
        <v>7</v>
      </c>
      <c r="G1249" t="s">
        <v>8</v>
      </c>
      <c r="H1249">
        <v>324.14</v>
      </c>
    </row>
    <row r="1250" spans="1:8" x14ac:dyDescent="0.3">
      <c r="A1250">
        <v>202101</v>
      </c>
      <c r="B1250" s="1">
        <v>44197</v>
      </c>
      <c r="C1250">
        <v>2021</v>
      </c>
      <c r="D1250" t="s">
        <v>6</v>
      </c>
      <c r="E1250" t="s">
        <v>7</v>
      </c>
      <c r="F1250" t="s">
        <v>7</v>
      </c>
      <c r="G1250" t="s">
        <v>8</v>
      </c>
      <c r="H1250">
        <v>1703.63</v>
      </c>
    </row>
    <row r="1251" spans="1:8" x14ac:dyDescent="0.3">
      <c r="A1251">
        <v>202102</v>
      </c>
      <c r="B1251" s="1">
        <v>44228</v>
      </c>
      <c r="C1251">
        <v>2021</v>
      </c>
      <c r="D1251" t="s">
        <v>9</v>
      </c>
      <c r="E1251" t="s">
        <v>7</v>
      </c>
      <c r="F1251" t="s">
        <v>7</v>
      </c>
      <c r="G1251" t="s">
        <v>8</v>
      </c>
      <c r="H1251">
        <v>1596</v>
      </c>
    </row>
    <row r="1252" spans="1:8" x14ac:dyDescent="0.3">
      <c r="A1252">
        <v>202103</v>
      </c>
      <c r="B1252" s="1">
        <v>44256</v>
      </c>
      <c r="C1252">
        <v>2021</v>
      </c>
      <c r="D1252" t="s">
        <v>10</v>
      </c>
      <c r="E1252" t="s">
        <v>7</v>
      </c>
      <c r="F1252" t="s">
        <v>7</v>
      </c>
      <c r="G1252" t="s">
        <v>8</v>
      </c>
      <c r="H1252">
        <v>1390.47</v>
      </c>
    </row>
    <row r="1253" spans="1:8" x14ac:dyDescent="0.3">
      <c r="A1253">
        <v>202104</v>
      </c>
      <c r="B1253" s="1">
        <v>44287</v>
      </c>
      <c r="C1253">
        <v>2021</v>
      </c>
      <c r="D1253" t="s">
        <v>11</v>
      </c>
      <c r="E1253" t="s">
        <v>7</v>
      </c>
      <c r="F1253" t="s">
        <v>7</v>
      </c>
      <c r="G1253" t="s">
        <v>8</v>
      </c>
      <c r="H1253">
        <v>2281.9699999999998</v>
      </c>
    </row>
    <row r="1254" spans="1:8" x14ac:dyDescent="0.3">
      <c r="A1254">
        <v>202105</v>
      </c>
      <c r="B1254" s="1">
        <v>44317</v>
      </c>
      <c r="C1254">
        <v>2021</v>
      </c>
      <c r="D1254" t="s">
        <v>12</v>
      </c>
      <c r="E1254" t="s">
        <v>7</v>
      </c>
      <c r="F1254" t="s">
        <v>7</v>
      </c>
      <c r="G1254" t="s">
        <v>8</v>
      </c>
      <c r="H1254">
        <v>1775.27</v>
      </c>
    </row>
    <row r="1255" spans="1:8" x14ac:dyDescent="0.3">
      <c r="A1255">
        <v>202106</v>
      </c>
      <c r="B1255" s="1">
        <v>44348</v>
      </c>
      <c r="C1255">
        <v>2021</v>
      </c>
      <c r="D1255" t="s">
        <v>13</v>
      </c>
      <c r="E1255" t="s">
        <v>7</v>
      </c>
      <c r="F1255" t="s">
        <v>7</v>
      </c>
      <c r="G1255" t="s">
        <v>8</v>
      </c>
      <c r="H1255">
        <v>1449.38</v>
      </c>
    </row>
    <row r="1256" spans="1:8" x14ac:dyDescent="0.3">
      <c r="A1256">
        <v>202107</v>
      </c>
      <c r="B1256" s="1">
        <v>44378</v>
      </c>
      <c r="C1256">
        <v>2021</v>
      </c>
      <c r="D1256" t="s">
        <v>14</v>
      </c>
      <c r="E1256" t="s">
        <v>7</v>
      </c>
      <c r="F1256" t="s">
        <v>7</v>
      </c>
      <c r="G1256" t="s">
        <v>8</v>
      </c>
      <c r="H1256">
        <v>1738.37</v>
      </c>
    </row>
    <row r="1257" spans="1:8" x14ac:dyDescent="0.3">
      <c r="A1257">
        <v>202108</v>
      </c>
      <c r="B1257" s="1">
        <v>44409</v>
      </c>
      <c r="C1257">
        <v>2021</v>
      </c>
      <c r="D1257" t="s">
        <v>15</v>
      </c>
      <c r="E1257" t="s">
        <v>7</v>
      </c>
      <c r="F1257" t="s">
        <v>7</v>
      </c>
      <c r="G1257" t="s">
        <v>8</v>
      </c>
      <c r="H1257">
        <v>1739.68</v>
      </c>
    </row>
    <row r="1258" spans="1:8" x14ac:dyDescent="0.3">
      <c r="A1258">
        <v>202109</v>
      </c>
      <c r="B1258" s="1">
        <v>44440</v>
      </c>
      <c r="C1258">
        <v>2021</v>
      </c>
      <c r="D1258" t="s">
        <v>16</v>
      </c>
      <c r="E1258" t="s">
        <v>7</v>
      </c>
      <c r="F1258" t="s">
        <v>7</v>
      </c>
      <c r="G1258" t="s">
        <v>8</v>
      </c>
      <c r="H1258">
        <v>1703.57</v>
      </c>
    </row>
    <row r="1259" spans="1:8" x14ac:dyDescent="0.3">
      <c r="A1259">
        <v>202110</v>
      </c>
      <c r="B1259" s="1">
        <v>44470</v>
      </c>
      <c r="C1259">
        <v>2021</v>
      </c>
      <c r="D1259" t="s">
        <v>17</v>
      </c>
      <c r="E1259" t="s">
        <v>7</v>
      </c>
      <c r="F1259" t="s">
        <v>7</v>
      </c>
      <c r="G1259" t="s">
        <v>8</v>
      </c>
      <c r="H1259">
        <v>1741.54</v>
      </c>
    </row>
    <row r="1260" spans="1:8" x14ac:dyDescent="0.3">
      <c r="A1260">
        <v>202111</v>
      </c>
      <c r="B1260" s="1">
        <v>44501</v>
      </c>
      <c r="C1260">
        <v>2021</v>
      </c>
      <c r="D1260" t="s">
        <v>18</v>
      </c>
      <c r="E1260" t="s">
        <v>7</v>
      </c>
      <c r="F1260" t="s">
        <v>7</v>
      </c>
      <c r="G1260" t="s">
        <v>8</v>
      </c>
      <c r="H1260">
        <v>2544.85</v>
      </c>
    </row>
    <row r="1261" spans="1:8" x14ac:dyDescent="0.3">
      <c r="A1261">
        <v>202112</v>
      </c>
      <c r="B1261" s="1">
        <v>44531</v>
      </c>
      <c r="C1261">
        <v>2021</v>
      </c>
      <c r="D1261" t="s">
        <v>19</v>
      </c>
      <c r="E1261" t="s">
        <v>7</v>
      </c>
      <c r="F1261" t="s">
        <v>7</v>
      </c>
      <c r="G1261" t="s">
        <v>8</v>
      </c>
      <c r="H1261">
        <v>1889.03</v>
      </c>
    </row>
    <row r="1262" spans="1:8" x14ac:dyDescent="0.3">
      <c r="A1262">
        <v>202101</v>
      </c>
      <c r="B1262" s="1">
        <v>44197</v>
      </c>
      <c r="C1262">
        <v>2021</v>
      </c>
      <c r="D1262" t="s">
        <v>6</v>
      </c>
      <c r="E1262" t="s">
        <v>7</v>
      </c>
      <c r="F1262" t="s">
        <v>7</v>
      </c>
      <c r="G1262" t="s">
        <v>8</v>
      </c>
      <c r="H1262">
        <v>4471.68</v>
      </c>
    </row>
    <row r="1263" spans="1:8" x14ac:dyDescent="0.3">
      <c r="A1263">
        <v>202102</v>
      </c>
      <c r="B1263" s="1">
        <v>44228</v>
      </c>
      <c r="C1263">
        <v>2021</v>
      </c>
      <c r="D1263" t="s">
        <v>9</v>
      </c>
      <c r="E1263" t="s">
        <v>7</v>
      </c>
      <c r="F1263" t="s">
        <v>7</v>
      </c>
      <c r="G1263" t="s">
        <v>8</v>
      </c>
      <c r="H1263">
        <v>2847.61</v>
      </c>
    </row>
    <row r="1264" spans="1:8" x14ac:dyDescent="0.3">
      <c r="A1264">
        <v>202103</v>
      </c>
      <c r="B1264" s="1">
        <v>44256</v>
      </c>
      <c r="C1264">
        <v>2021</v>
      </c>
      <c r="D1264" t="s">
        <v>10</v>
      </c>
      <c r="E1264" t="s">
        <v>7</v>
      </c>
      <c r="F1264" t="s">
        <v>7</v>
      </c>
      <c r="G1264" t="s">
        <v>8</v>
      </c>
      <c r="H1264">
        <v>3011</v>
      </c>
    </row>
    <row r="1265" spans="1:8" x14ac:dyDescent="0.3">
      <c r="A1265">
        <v>202104</v>
      </c>
      <c r="B1265" s="1">
        <v>44287</v>
      </c>
      <c r="C1265">
        <v>2021</v>
      </c>
      <c r="D1265" t="s">
        <v>11</v>
      </c>
      <c r="E1265" t="s">
        <v>7</v>
      </c>
      <c r="F1265" t="s">
        <v>7</v>
      </c>
      <c r="G1265" t="s">
        <v>8</v>
      </c>
      <c r="H1265">
        <v>4250.9399999999996</v>
      </c>
    </row>
    <row r="1266" spans="1:8" x14ac:dyDescent="0.3">
      <c r="A1266">
        <v>202105</v>
      </c>
      <c r="B1266" s="1">
        <v>44317</v>
      </c>
      <c r="C1266">
        <v>2021</v>
      </c>
      <c r="D1266" t="s">
        <v>12</v>
      </c>
      <c r="E1266" t="s">
        <v>7</v>
      </c>
      <c r="F1266" t="s">
        <v>7</v>
      </c>
      <c r="G1266" t="s">
        <v>8</v>
      </c>
      <c r="H1266">
        <v>3565.89</v>
      </c>
    </row>
    <row r="1267" spans="1:8" x14ac:dyDescent="0.3">
      <c r="A1267">
        <v>202106</v>
      </c>
      <c r="B1267" s="1">
        <v>44348</v>
      </c>
      <c r="C1267">
        <v>2021</v>
      </c>
      <c r="D1267" t="s">
        <v>13</v>
      </c>
      <c r="E1267" t="s">
        <v>7</v>
      </c>
      <c r="F1267" t="s">
        <v>7</v>
      </c>
      <c r="G1267" t="s">
        <v>8</v>
      </c>
      <c r="H1267">
        <v>3667.3</v>
      </c>
    </row>
    <row r="1268" spans="1:8" x14ac:dyDescent="0.3">
      <c r="A1268">
        <v>202107</v>
      </c>
      <c r="B1268" s="1">
        <v>44378</v>
      </c>
      <c r="C1268">
        <v>2021</v>
      </c>
      <c r="D1268" t="s">
        <v>14</v>
      </c>
      <c r="E1268" t="s">
        <v>7</v>
      </c>
      <c r="F1268" t="s">
        <v>7</v>
      </c>
      <c r="G1268" t="s">
        <v>8</v>
      </c>
      <c r="H1268">
        <v>3154.82</v>
      </c>
    </row>
    <row r="1269" spans="1:8" x14ac:dyDescent="0.3">
      <c r="A1269">
        <v>202108</v>
      </c>
      <c r="B1269" s="1">
        <v>44409</v>
      </c>
      <c r="C1269">
        <v>2021</v>
      </c>
      <c r="D1269" t="s">
        <v>15</v>
      </c>
      <c r="E1269" t="s">
        <v>7</v>
      </c>
      <c r="F1269" t="s">
        <v>7</v>
      </c>
      <c r="G1269" t="s">
        <v>8</v>
      </c>
      <c r="H1269">
        <v>3302.93</v>
      </c>
    </row>
    <row r="1270" spans="1:8" x14ac:dyDescent="0.3">
      <c r="A1270">
        <v>202109</v>
      </c>
      <c r="B1270" s="1">
        <v>44440</v>
      </c>
      <c r="C1270">
        <v>2021</v>
      </c>
      <c r="D1270" t="s">
        <v>16</v>
      </c>
      <c r="E1270" t="s">
        <v>7</v>
      </c>
      <c r="F1270" t="s">
        <v>7</v>
      </c>
      <c r="G1270" t="s">
        <v>8</v>
      </c>
      <c r="H1270">
        <v>3105.07</v>
      </c>
    </row>
    <row r="1271" spans="1:8" x14ac:dyDescent="0.3">
      <c r="A1271">
        <v>202110</v>
      </c>
      <c r="B1271" s="1">
        <v>44470</v>
      </c>
      <c r="C1271">
        <v>2021</v>
      </c>
      <c r="D1271" t="s">
        <v>17</v>
      </c>
      <c r="E1271" t="s">
        <v>7</v>
      </c>
      <c r="F1271" t="s">
        <v>7</v>
      </c>
      <c r="G1271" t="s">
        <v>8</v>
      </c>
      <c r="H1271">
        <v>3200.43</v>
      </c>
    </row>
    <row r="1272" spans="1:8" x14ac:dyDescent="0.3">
      <c r="A1272">
        <v>202111</v>
      </c>
      <c r="B1272" s="1">
        <v>44501</v>
      </c>
      <c r="C1272">
        <v>2021</v>
      </c>
      <c r="D1272" t="s">
        <v>18</v>
      </c>
      <c r="E1272" t="s">
        <v>7</v>
      </c>
      <c r="F1272" t="s">
        <v>7</v>
      </c>
      <c r="G1272" t="s">
        <v>8</v>
      </c>
      <c r="H1272">
        <v>3959.54</v>
      </c>
    </row>
    <row r="1273" spans="1:8" x14ac:dyDescent="0.3">
      <c r="A1273">
        <v>202112</v>
      </c>
      <c r="B1273" s="1">
        <v>44531</v>
      </c>
      <c r="C1273">
        <v>2021</v>
      </c>
      <c r="D1273" t="s">
        <v>19</v>
      </c>
      <c r="E1273" t="s">
        <v>7</v>
      </c>
      <c r="F1273" t="s">
        <v>7</v>
      </c>
      <c r="G1273" t="s">
        <v>8</v>
      </c>
      <c r="H1273">
        <v>4092.14</v>
      </c>
    </row>
    <row r="1274" spans="1:8" x14ac:dyDescent="0.3">
      <c r="A1274">
        <v>202101</v>
      </c>
      <c r="B1274" s="1">
        <v>44197</v>
      </c>
      <c r="C1274">
        <v>2021</v>
      </c>
      <c r="D1274" t="s">
        <v>6</v>
      </c>
      <c r="E1274" t="s">
        <v>7</v>
      </c>
      <c r="F1274" t="s">
        <v>7</v>
      </c>
      <c r="G1274" t="s">
        <v>8</v>
      </c>
      <c r="H1274">
        <v>671.86</v>
      </c>
    </row>
    <row r="1275" spans="1:8" x14ac:dyDescent="0.3">
      <c r="A1275">
        <v>202102</v>
      </c>
      <c r="B1275" s="1">
        <v>44228</v>
      </c>
      <c r="C1275">
        <v>2021</v>
      </c>
      <c r="D1275" t="s">
        <v>9</v>
      </c>
      <c r="E1275" t="s">
        <v>7</v>
      </c>
      <c r="F1275" t="s">
        <v>7</v>
      </c>
      <c r="G1275" t="s">
        <v>8</v>
      </c>
      <c r="H1275">
        <v>498.94</v>
      </c>
    </row>
    <row r="1276" spans="1:8" x14ac:dyDescent="0.3">
      <c r="A1276">
        <v>202103</v>
      </c>
      <c r="B1276" s="1">
        <v>44256</v>
      </c>
      <c r="C1276">
        <v>2021</v>
      </c>
      <c r="D1276" t="s">
        <v>10</v>
      </c>
      <c r="E1276" t="s">
        <v>7</v>
      </c>
      <c r="F1276" t="s">
        <v>7</v>
      </c>
      <c r="G1276" t="s">
        <v>8</v>
      </c>
      <c r="H1276">
        <v>532.71</v>
      </c>
    </row>
    <row r="1277" spans="1:8" x14ac:dyDescent="0.3">
      <c r="A1277">
        <v>202104</v>
      </c>
      <c r="B1277" s="1">
        <v>44287</v>
      </c>
      <c r="C1277">
        <v>2021</v>
      </c>
      <c r="D1277" t="s">
        <v>11</v>
      </c>
      <c r="E1277" t="s">
        <v>7</v>
      </c>
      <c r="F1277" t="s">
        <v>7</v>
      </c>
      <c r="G1277" t="s">
        <v>8</v>
      </c>
      <c r="H1277">
        <v>810.05</v>
      </c>
    </row>
    <row r="1278" spans="1:8" x14ac:dyDescent="0.3">
      <c r="A1278">
        <v>202105</v>
      </c>
      <c r="B1278" s="1">
        <v>44317</v>
      </c>
      <c r="C1278">
        <v>2021</v>
      </c>
      <c r="D1278" t="s">
        <v>12</v>
      </c>
      <c r="E1278" t="s">
        <v>7</v>
      </c>
      <c r="F1278" t="s">
        <v>7</v>
      </c>
      <c r="G1278" t="s">
        <v>8</v>
      </c>
      <c r="H1278">
        <v>565.69000000000005</v>
      </c>
    </row>
    <row r="1279" spans="1:8" x14ac:dyDescent="0.3">
      <c r="A1279">
        <v>202106</v>
      </c>
      <c r="B1279" s="1">
        <v>44348</v>
      </c>
      <c r="C1279">
        <v>2021</v>
      </c>
      <c r="D1279" t="s">
        <v>13</v>
      </c>
      <c r="E1279" t="s">
        <v>7</v>
      </c>
      <c r="F1279" t="s">
        <v>7</v>
      </c>
      <c r="G1279" t="s">
        <v>8</v>
      </c>
      <c r="H1279">
        <v>542.49</v>
      </c>
    </row>
    <row r="1280" spans="1:8" x14ac:dyDescent="0.3">
      <c r="A1280">
        <v>202107</v>
      </c>
      <c r="B1280" s="1">
        <v>44378</v>
      </c>
      <c r="C1280">
        <v>2021</v>
      </c>
      <c r="D1280" t="s">
        <v>14</v>
      </c>
      <c r="E1280" t="s">
        <v>7</v>
      </c>
      <c r="F1280" t="s">
        <v>7</v>
      </c>
      <c r="G1280" t="s">
        <v>8</v>
      </c>
      <c r="H1280">
        <v>531.21</v>
      </c>
    </row>
    <row r="1281" spans="1:8" x14ac:dyDescent="0.3">
      <c r="A1281">
        <v>202108</v>
      </c>
      <c r="B1281" s="1">
        <v>44409</v>
      </c>
      <c r="C1281">
        <v>2021</v>
      </c>
      <c r="D1281" t="s">
        <v>15</v>
      </c>
      <c r="E1281" t="s">
        <v>7</v>
      </c>
      <c r="F1281" t="s">
        <v>7</v>
      </c>
      <c r="G1281" t="s">
        <v>8</v>
      </c>
      <c r="H1281">
        <v>570.83000000000004</v>
      </c>
    </row>
    <row r="1282" spans="1:8" x14ac:dyDescent="0.3">
      <c r="A1282">
        <v>202109</v>
      </c>
      <c r="B1282" s="1">
        <v>44440</v>
      </c>
      <c r="C1282">
        <v>2021</v>
      </c>
      <c r="D1282" t="s">
        <v>16</v>
      </c>
      <c r="E1282" t="s">
        <v>7</v>
      </c>
      <c r="F1282" t="s">
        <v>7</v>
      </c>
      <c r="G1282" t="s">
        <v>8</v>
      </c>
      <c r="H1282">
        <v>543.17999999999995</v>
      </c>
    </row>
    <row r="1283" spans="1:8" x14ac:dyDescent="0.3">
      <c r="A1283">
        <v>202110</v>
      </c>
      <c r="B1283" s="1">
        <v>44470</v>
      </c>
      <c r="C1283">
        <v>2021</v>
      </c>
      <c r="D1283" t="s">
        <v>17</v>
      </c>
      <c r="E1283" t="s">
        <v>7</v>
      </c>
      <c r="F1283" t="s">
        <v>7</v>
      </c>
      <c r="G1283" t="s">
        <v>8</v>
      </c>
      <c r="H1283">
        <v>681.3</v>
      </c>
    </row>
    <row r="1284" spans="1:8" x14ac:dyDescent="0.3">
      <c r="A1284">
        <v>202111</v>
      </c>
      <c r="B1284" s="1">
        <v>44501</v>
      </c>
      <c r="C1284">
        <v>2021</v>
      </c>
      <c r="D1284" t="s">
        <v>18</v>
      </c>
      <c r="E1284" t="s">
        <v>7</v>
      </c>
      <c r="F1284" t="s">
        <v>7</v>
      </c>
      <c r="G1284" t="s">
        <v>8</v>
      </c>
      <c r="H1284">
        <v>716.31</v>
      </c>
    </row>
    <row r="1285" spans="1:8" x14ac:dyDescent="0.3">
      <c r="A1285">
        <v>202112</v>
      </c>
      <c r="B1285" s="1">
        <v>44531</v>
      </c>
      <c r="C1285">
        <v>2021</v>
      </c>
      <c r="D1285" t="s">
        <v>19</v>
      </c>
      <c r="E1285" t="s">
        <v>7</v>
      </c>
      <c r="F1285" t="s">
        <v>7</v>
      </c>
      <c r="G1285" t="s">
        <v>8</v>
      </c>
      <c r="H1285">
        <v>567.16</v>
      </c>
    </row>
    <row r="1286" spans="1:8" x14ac:dyDescent="0.3">
      <c r="A1286">
        <v>202101</v>
      </c>
      <c r="B1286" s="1">
        <v>44197</v>
      </c>
      <c r="C1286">
        <v>2021</v>
      </c>
      <c r="D1286" t="s">
        <v>6</v>
      </c>
      <c r="E1286" t="s">
        <v>7</v>
      </c>
      <c r="F1286" t="s">
        <v>7</v>
      </c>
      <c r="G1286" t="s">
        <v>8</v>
      </c>
      <c r="H1286">
        <v>1129.2</v>
      </c>
    </row>
    <row r="1287" spans="1:8" x14ac:dyDescent="0.3">
      <c r="A1287">
        <v>202102</v>
      </c>
      <c r="B1287" s="1">
        <v>44228</v>
      </c>
      <c r="C1287">
        <v>2021</v>
      </c>
      <c r="D1287" t="s">
        <v>9</v>
      </c>
      <c r="E1287" t="s">
        <v>7</v>
      </c>
      <c r="F1287" t="s">
        <v>7</v>
      </c>
      <c r="G1287" t="s">
        <v>8</v>
      </c>
      <c r="H1287">
        <v>950.24</v>
      </c>
    </row>
    <row r="1288" spans="1:8" x14ac:dyDescent="0.3">
      <c r="A1288">
        <v>202103</v>
      </c>
      <c r="B1288" s="1">
        <v>44256</v>
      </c>
      <c r="C1288">
        <v>2021</v>
      </c>
      <c r="D1288" t="s">
        <v>10</v>
      </c>
      <c r="E1288" t="s">
        <v>7</v>
      </c>
      <c r="F1288" t="s">
        <v>7</v>
      </c>
      <c r="G1288" t="s">
        <v>8</v>
      </c>
      <c r="H1288">
        <v>911.19</v>
      </c>
    </row>
    <row r="1289" spans="1:8" x14ac:dyDescent="0.3">
      <c r="A1289">
        <v>202104</v>
      </c>
      <c r="B1289" s="1">
        <v>44287</v>
      </c>
      <c r="C1289">
        <v>2021</v>
      </c>
      <c r="D1289" t="s">
        <v>11</v>
      </c>
      <c r="E1289" t="s">
        <v>7</v>
      </c>
      <c r="F1289" t="s">
        <v>7</v>
      </c>
      <c r="G1289" t="s">
        <v>8</v>
      </c>
      <c r="H1289">
        <v>1560.23</v>
      </c>
    </row>
    <row r="1290" spans="1:8" x14ac:dyDescent="0.3">
      <c r="A1290">
        <v>202105</v>
      </c>
      <c r="B1290" s="1">
        <v>44317</v>
      </c>
      <c r="C1290">
        <v>2021</v>
      </c>
      <c r="D1290" t="s">
        <v>12</v>
      </c>
      <c r="E1290" t="s">
        <v>7</v>
      </c>
      <c r="F1290" t="s">
        <v>7</v>
      </c>
      <c r="G1290" t="s">
        <v>8</v>
      </c>
      <c r="H1290">
        <v>1096.3699999999999</v>
      </c>
    </row>
    <row r="1291" spans="1:8" x14ac:dyDescent="0.3">
      <c r="A1291">
        <v>202106</v>
      </c>
      <c r="B1291" s="1">
        <v>44348</v>
      </c>
      <c r="C1291">
        <v>2021</v>
      </c>
      <c r="D1291" t="s">
        <v>13</v>
      </c>
      <c r="E1291" t="s">
        <v>7</v>
      </c>
      <c r="F1291" t="s">
        <v>7</v>
      </c>
      <c r="G1291" t="s">
        <v>8</v>
      </c>
      <c r="H1291">
        <v>1019.41</v>
      </c>
    </row>
    <row r="1292" spans="1:8" x14ac:dyDescent="0.3">
      <c r="A1292">
        <v>202107</v>
      </c>
      <c r="B1292" s="1">
        <v>44378</v>
      </c>
      <c r="C1292">
        <v>2021</v>
      </c>
      <c r="D1292" t="s">
        <v>14</v>
      </c>
      <c r="E1292" t="s">
        <v>7</v>
      </c>
      <c r="F1292" t="s">
        <v>7</v>
      </c>
      <c r="G1292" t="s">
        <v>8</v>
      </c>
      <c r="H1292">
        <v>1084.67</v>
      </c>
    </row>
    <row r="1293" spans="1:8" x14ac:dyDescent="0.3">
      <c r="A1293">
        <v>202108</v>
      </c>
      <c r="B1293" s="1">
        <v>44409</v>
      </c>
      <c r="C1293">
        <v>2021</v>
      </c>
      <c r="D1293" t="s">
        <v>15</v>
      </c>
      <c r="E1293" t="s">
        <v>7</v>
      </c>
      <c r="F1293" t="s">
        <v>7</v>
      </c>
      <c r="G1293" t="s">
        <v>8</v>
      </c>
      <c r="H1293">
        <v>1228.42</v>
      </c>
    </row>
    <row r="1294" spans="1:8" x14ac:dyDescent="0.3">
      <c r="A1294">
        <v>202109</v>
      </c>
      <c r="B1294" s="1">
        <v>44440</v>
      </c>
      <c r="C1294">
        <v>2021</v>
      </c>
      <c r="D1294" t="s">
        <v>16</v>
      </c>
      <c r="E1294" t="s">
        <v>7</v>
      </c>
      <c r="F1294" t="s">
        <v>7</v>
      </c>
      <c r="G1294" t="s">
        <v>8</v>
      </c>
      <c r="H1294">
        <v>1054.43</v>
      </c>
    </row>
    <row r="1295" spans="1:8" x14ac:dyDescent="0.3">
      <c r="A1295">
        <v>202110</v>
      </c>
      <c r="B1295" s="1">
        <v>44470</v>
      </c>
      <c r="C1295">
        <v>2021</v>
      </c>
      <c r="D1295" t="s">
        <v>17</v>
      </c>
      <c r="E1295" t="s">
        <v>7</v>
      </c>
      <c r="F1295" t="s">
        <v>7</v>
      </c>
      <c r="G1295" t="s">
        <v>8</v>
      </c>
      <c r="H1295">
        <v>979.42</v>
      </c>
    </row>
    <row r="1296" spans="1:8" x14ac:dyDescent="0.3">
      <c r="A1296">
        <v>202111</v>
      </c>
      <c r="B1296" s="1">
        <v>44501</v>
      </c>
      <c r="C1296">
        <v>2021</v>
      </c>
      <c r="D1296" t="s">
        <v>18</v>
      </c>
      <c r="E1296" t="s">
        <v>7</v>
      </c>
      <c r="F1296" t="s">
        <v>7</v>
      </c>
      <c r="G1296" t="s">
        <v>8</v>
      </c>
      <c r="H1296">
        <v>1228.78</v>
      </c>
    </row>
    <row r="1297" spans="1:8" x14ac:dyDescent="0.3">
      <c r="A1297">
        <v>202112</v>
      </c>
      <c r="B1297" s="1">
        <v>44531</v>
      </c>
      <c r="C1297">
        <v>2021</v>
      </c>
      <c r="D1297" t="s">
        <v>19</v>
      </c>
      <c r="E1297" t="s">
        <v>7</v>
      </c>
      <c r="F1297" t="s">
        <v>7</v>
      </c>
      <c r="G1297" t="s">
        <v>8</v>
      </c>
      <c r="H1297">
        <v>1204</v>
      </c>
    </row>
    <row r="1298" spans="1:8" x14ac:dyDescent="0.3">
      <c r="A1298">
        <v>202101</v>
      </c>
      <c r="B1298" s="1">
        <v>44197</v>
      </c>
      <c r="C1298">
        <v>2021</v>
      </c>
      <c r="D1298" t="s">
        <v>6</v>
      </c>
      <c r="E1298" t="s">
        <v>7</v>
      </c>
      <c r="F1298" t="s">
        <v>7</v>
      </c>
      <c r="G1298" t="s">
        <v>8</v>
      </c>
      <c r="H1298">
        <v>1900.86</v>
      </c>
    </row>
    <row r="1299" spans="1:8" x14ac:dyDescent="0.3">
      <c r="A1299">
        <v>202102</v>
      </c>
      <c r="B1299" s="1">
        <v>44228</v>
      </c>
      <c r="C1299">
        <v>2021</v>
      </c>
      <c r="D1299" t="s">
        <v>9</v>
      </c>
      <c r="E1299" t="s">
        <v>7</v>
      </c>
      <c r="F1299" t="s">
        <v>7</v>
      </c>
      <c r="G1299" t="s">
        <v>8</v>
      </c>
      <c r="H1299">
        <v>1114.8499999999999</v>
      </c>
    </row>
    <row r="1300" spans="1:8" x14ac:dyDescent="0.3">
      <c r="A1300">
        <v>202103</v>
      </c>
      <c r="B1300" s="1">
        <v>44256</v>
      </c>
      <c r="C1300">
        <v>2021</v>
      </c>
      <c r="D1300" t="s">
        <v>10</v>
      </c>
      <c r="E1300" t="s">
        <v>7</v>
      </c>
      <c r="F1300" t="s">
        <v>7</v>
      </c>
      <c r="G1300" t="s">
        <v>8</v>
      </c>
      <c r="H1300">
        <v>950.44</v>
      </c>
    </row>
    <row r="1301" spans="1:8" x14ac:dyDescent="0.3">
      <c r="A1301">
        <v>202104</v>
      </c>
      <c r="B1301" s="1">
        <v>44287</v>
      </c>
      <c r="C1301">
        <v>2021</v>
      </c>
      <c r="D1301" t="s">
        <v>11</v>
      </c>
      <c r="E1301" t="s">
        <v>7</v>
      </c>
      <c r="F1301" t="s">
        <v>7</v>
      </c>
      <c r="G1301" t="s">
        <v>8</v>
      </c>
      <c r="H1301">
        <v>1871.85</v>
      </c>
    </row>
    <row r="1302" spans="1:8" x14ac:dyDescent="0.3">
      <c r="A1302">
        <v>202105</v>
      </c>
      <c r="B1302" s="1">
        <v>44317</v>
      </c>
      <c r="C1302">
        <v>2021</v>
      </c>
      <c r="D1302" t="s">
        <v>12</v>
      </c>
      <c r="E1302" t="s">
        <v>7</v>
      </c>
      <c r="F1302" t="s">
        <v>7</v>
      </c>
      <c r="G1302" t="s">
        <v>8</v>
      </c>
      <c r="H1302">
        <v>1159.33</v>
      </c>
    </row>
    <row r="1303" spans="1:8" x14ac:dyDescent="0.3">
      <c r="A1303">
        <v>202106</v>
      </c>
      <c r="B1303" s="1">
        <v>44348</v>
      </c>
      <c r="C1303">
        <v>2021</v>
      </c>
      <c r="D1303" t="s">
        <v>13</v>
      </c>
      <c r="E1303" t="s">
        <v>7</v>
      </c>
      <c r="F1303" t="s">
        <v>7</v>
      </c>
      <c r="G1303" t="s">
        <v>8</v>
      </c>
      <c r="H1303">
        <v>955.46</v>
      </c>
    </row>
    <row r="1304" spans="1:8" x14ac:dyDescent="0.3">
      <c r="A1304">
        <v>202107</v>
      </c>
      <c r="B1304" s="1">
        <v>44378</v>
      </c>
      <c r="C1304">
        <v>2021</v>
      </c>
      <c r="D1304" t="s">
        <v>14</v>
      </c>
      <c r="E1304" t="s">
        <v>7</v>
      </c>
      <c r="F1304" t="s">
        <v>7</v>
      </c>
      <c r="G1304" t="s">
        <v>8</v>
      </c>
      <c r="H1304">
        <v>1551.61</v>
      </c>
    </row>
    <row r="1305" spans="1:8" x14ac:dyDescent="0.3">
      <c r="A1305">
        <v>202108</v>
      </c>
      <c r="B1305" s="1">
        <v>44409</v>
      </c>
      <c r="C1305">
        <v>2021</v>
      </c>
      <c r="D1305" t="s">
        <v>15</v>
      </c>
      <c r="E1305" t="s">
        <v>7</v>
      </c>
      <c r="F1305" t="s">
        <v>7</v>
      </c>
      <c r="G1305" t="s">
        <v>8</v>
      </c>
      <c r="H1305">
        <v>1035.83</v>
      </c>
    </row>
    <row r="1306" spans="1:8" x14ac:dyDescent="0.3">
      <c r="A1306">
        <v>202109</v>
      </c>
      <c r="B1306" s="1">
        <v>44440</v>
      </c>
      <c r="C1306">
        <v>2021</v>
      </c>
      <c r="D1306" t="s">
        <v>16</v>
      </c>
      <c r="E1306" t="s">
        <v>7</v>
      </c>
      <c r="F1306" t="s">
        <v>7</v>
      </c>
      <c r="G1306" t="s">
        <v>8</v>
      </c>
      <c r="H1306">
        <v>1180.73</v>
      </c>
    </row>
    <row r="1307" spans="1:8" x14ac:dyDescent="0.3">
      <c r="A1307">
        <v>202110</v>
      </c>
      <c r="B1307" s="1">
        <v>44470</v>
      </c>
      <c r="C1307">
        <v>2021</v>
      </c>
      <c r="D1307" t="s">
        <v>17</v>
      </c>
      <c r="E1307" t="s">
        <v>7</v>
      </c>
      <c r="F1307" t="s">
        <v>7</v>
      </c>
      <c r="G1307" t="s">
        <v>8</v>
      </c>
      <c r="H1307">
        <v>958.95</v>
      </c>
    </row>
    <row r="1308" spans="1:8" x14ac:dyDescent="0.3">
      <c r="A1308">
        <v>202111</v>
      </c>
      <c r="B1308" s="1">
        <v>44501</v>
      </c>
      <c r="C1308">
        <v>2021</v>
      </c>
      <c r="D1308" t="s">
        <v>18</v>
      </c>
      <c r="E1308" t="s">
        <v>7</v>
      </c>
      <c r="F1308" t="s">
        <v>7</v>
      </c>
      <c r="G1308" t="s">
        <v>8</v>
      </c>
      <c r="H1308">
        <v>1783.85</v>
      </c>
    </row>
    <row r="1309" spans="1:8" x14ac:dyDescent="0.3">
      <c r="A1309">
        <v>202112</v>
      </c>
      <c r="B1309" s="1">
        <v>44531</v>
      </c>
      <c r="C1309">
        <v>2021</v>
      </c>
      <c r="D1309" t="s">
        <v>19</v>
      </c>
      <c r="E1309" t="s">
        <v>7</v>
      </c>
      <c r="F1309" t="s">
        <v>7</v>
      </c>
      <c r="G1309" t="s">
        <v>8</v>
      </c>
      <c r="H1309">
        <v>1038.32</v>
      </c>
    </row>
    <row r="1310" spans="1:8" x14ac:dyDescent="0.3">
      <c r="A1310">
        <v>202101</v>
      </c>
      <c r="B1310" s="1">
        <v>44197</v>
      </c>
      <c r="C1310">
        <v>2021</v>
      </c>
      <c r="D1310" t="s">
        <v>6</v>
      </c>
      <c r="E1310" t="s">
        <v>7</v>
      </c>
      <c r="F1310" t="s">
        <v>7</v>
      </c>
      <c r="G1310" t="s">
        <v>8</v>
      </c>
      <c r="H1310">
        <v>1651.41</v>
      </c>
    </row>
    <row r="1311" spans="1:8" x14ac:dyDescent="0.3">
      <c r="A1311">
        <v>202102</v>
      </c>
      <c r="B1311" s="1">
        <v>44228</v>
      </c>
      <c r="C1311">
        <v>2021</v>
      </c>
      <c r="D1311" t="s">
        <v>9</v>
      </c>
      <c r="E1311" t="s">
        <v>7</v>
      </c>
      <c r="F1311" t="s">
        <v>7</v>
      </c>
      <c r="G1311" t="s">
        <v>8</v>
      </c>
      <c r="H1311">
        <v>1615.12</v>
      </c>
    </row>
    <row r="1312" spans="1:8" x14ac:dyDescent="0.3">
      <c r="A1312">
        <v>202103</v>
      </c>
      <c r="B1312" s="1">
        <v>44256</v>
      </c>
      <c r="C1312">
        <v>2021</v>
      </c>
      <c r="D1312" t="s">
        <v>10</v>
      </c>
      <c r="E1312" t="s">
        <v>7</v>
      </c>
      <c r="F1312" t="s">
        <v>7</v>
      </c>
      <c r="G1312" t="s">
        <v>8</v>
      </c>
      <c r="H1312">
        <v>1286.6099999999999</v>
      </c>
    </row>
    <row r="1313" spans="1:8" x14ac:dyDescent="0.3">
      <c r="A1313">
        <v>202104</v>
      </c>
      <c r="B1313" s="1">
        <v>44287</v>
      </c>
      <c r="C1313">
        <v>2021</v>
      </c>
      <c r="D1313" t="s">
        <v>11</v>
      </c>
      <c r="E1313" t="s">
        <v>7</v>
      </c>
      <c r="F1313" t="s">
        <v>7</v>
      </c>
      <c r="G1313" t="s">
        <v>8</v>
      </c>
      <c r="H1313">
        <v>1928.01</v>
      </c>
    </row>
    <row r="1314" spans="1:8" x14ac:dyDescent="0.3">
      <c r="A1314">
        <v>202105</v>
      </c>
      <c r="B1314" s="1">
        <v>44317</v>
      </c>
      <c r="C1314">
        <v>2021</v>
      </c>
      <c r="D1314" t="s">
        <v>12</v>
      </c>
      <c r="E1314" t="s">
        <v>7</v>
      </c>
      <c r="F1314" t="s">
        <v>7</v>
      </c>
      <c r="G1314" t="s">
        <v>8</v>
      </c>
      <c r="H1314">
        <v>1365.51</v>
      </c>
    </row>
    <row r="1315" spans="1:8" x14ac:dyDescent="0.3">
      <c r="A1315">
        <v>202106</v>
      </c>
      <c r="B1315" s="1">
        <v>44348</v>
      </c>
      <c r="C1315">
        <v>2021</v>
      </c>
      <c r="D1315" t="s">
        <v>13</v>
      </c>
      <c r="E1315" t="s">
        <v>7</v>
      </c>
      <c r="F1315" t="s">
        <v>7</v>
      </c>
      <c r="G1315" t="s">
        <v>8</v>
      </c>
      <c r="H1315">
        <v>1109.3900000000001</v>
      </c>
    </row>
    <row r="1316" spans="1:8" x14ac:dyDescent="0.3">
      <c r="A1316">
        <v>202107</v>
      </c>
      <c r="B1316" s="1">
        <v>44378</v>
      </c>
      <c r="C1316">
        <v>2021</v>
      </c>
      <c r="D1316" t="s">
        <v>14</v>
      </c>
      <c r="E1316" t="s">
        <v>7</v>
      </c>
      <c r="F1316" t="s">
        <v>7</v>
      </c>
      <c r="G1316" t="s">
        <v>8</v>
      </c>
      <c r="H1316">
        <v>1970.18</v>
      </c>
    </row>
    <row r="1317" spans="1:8" x14ac:dyDescent="0.3">
      <c r="A1317">
        <v>202108</v>
      </c>
      <c r="B1317" s="1">
        <v>44409</v>
      </c>
      <c r="C1317">
        <v>2021</v>
      </c>
      <c r="D1317" t="s">
        <v>15</v>
      </c>
      <c r="E1317" t="s">
        <v>7</v>
      </c>
      <c r="F1317" t="s">
        <v>7</v>
      </c>
      <c r="G1317" t="s">
        <v>8</v>
      </c>
      <c r="H1317">
        <v>1319.03</v>
      </c>
    </row>
    <row r="1318" spans="1:8" x14ac:dyDescent="0.3">
      <c r="A1318">
        <v>202109</v>
      </c>
      <c r="B1318" s="1">
        <v>44440</v>
      </c>
      <c r="C1318">
        <v>2021</v>
      </c>
      <c r="D1318" t="s">
        <v>16</v>
      </c>
      <c r="E1318" t="s">
        <v>7</v>
      </c>
      <c r="F1318" t="s">
        <v>7</v>
      </c>
      <c r="G1318" t="s">
        <v>8</v>
      </c>
      <c r="H1318">
        <v>1225.46</v>
      </c>
    </row>
    <row r="1319" spans="1:8" x14ac:dyDescent="0.3">
      <c r="A1319">
        <v>202110</v>
      </c>
      <c r="B1319" s="1">
        <v>44470</v>
      </c>
      <c r="C1319">
        <v>2021</v>
      </c>
      <c r="D1319" t="s">
        <v>17</v>
      </c>
      <c r="E1319" t="s">
        <v>7</v>
      </c>
      <c r="F1319" t="s">
        <v>7</v>
      </c>
      <c r="G1319" t="s">
        <v>8</v>
      </c>
      <c r="H1319">
        <v>1483.2</v>
      </c>
    </row>
    <row r="1320" spans="1:8" x14ac:dyDescent="0.3">
      <c r="A1320">
        <v>202111</v>
      </c>
      <c r="B1320" s="1">
        <v>44501</v>
      </c>
      <c r="C1320">
        <v>2021</v>
      </c>
      <c r="D1320" t="s">
        <v>18</v>
      </c>
      <c r="E1320" t="s">
        <v>7</v>
      </c>
      <c r="F1320" t="s">
        <v>7</v>
      </c>
      <c r="G1320" t="s">
        <v>8</v>
      </c>
      <c r="H1320">
        <v>2705.21</v>
      </c>
    </row>
    <row r="1321" spans="1:8" x14ac:dyDescent="0.3">
      <c r="A1321">
        <v>202112</v>
      </c>
      <c r="B1321" s="1">
        <v>44531</v>
      </c>
      <c r="C1321">
        <v>2021</v>
      </c>
      <c r="D1321" t="s">
        <v>19</v>
      </c>
      <c r="E1321" t="s">
        <v>7</v>
      </c>
      <c r="F1321" t="s">
        <v>7</v>
      </c>
      <c r="G1321" t="s">
        <v>8</v>
      </c>
      <c r="H1321">
        <v>1685.31</v>
      </c>
    </row>
    <row r="1322" spans="1:8" x14ac:dyDescent="0.3">
      <c r="A1322">
        <v>202101</v>
      </c>
      <c r="B1322" s="1">
        <v>44197</v>
      </c>
      <c r="C1322">
        <v>2021</v>
      </c>
      <c r="D1322" t="s">
        <v>6</v>
      </c>
      <c r="E1322" t="s">
        <v>7</v>
      </c>
      <c r="F1322" t="s">
        <v>7</v>
      </c>
      <c r="G1322" t="s">
        <v>8</v>
      </c>
      <c r="H1322">
        <v>4131.57</v>
      </c>
    </row>
    <row r="1323" spans="1:8" x14ac:dyDescent="0.3">
      <c r="A1323">
        <v>202102</v>
      </c>
      <c r="B1323" s="1">
        <v>44228</v>
      </c>
      <c r="C1323">
        <v>2021</v>
      </c>
      <c r="D1323" t="s">
        <v>9</v>
      </c>
      <c r="E1323" t="s">
        <v>7</v>
      </c>
      <c r="F1323" t="s">
        <v>7</v>
      </c>
      <c r="G1323" t="s">
        <v>8</v>
      </c>
      <c r="H1323">
        <v>2947.59</v>
      </c>
    </row>
    <row r="1324" spans="1:8" x14ac:dyDescent="0.3">
      <c r="A1324">
        <v>202103</v>
      </c>
      <c r="B1324" s="1">
        <v>44256</v>
      </c>
      <c r="C1324">
        <v>2021</v>
      </c>
      <c r="D1324" t="s">
        <v>10</v>
      </c>
      <c r="E1324" t="s">
        <v>7</v>
      </c>
      <c r="F1324" t="s">
        <v>7</v>
      </c>
      <c r="G1324" t="s">
        <v>8</v>
      </c>
      <c r="H1324">
        <v>2404.33</v>
      </c>
    </row>
    <row r="1325" spans="1:8" x14ac:dyDescent="0.3">
      <c r="A1325">
        <v>202104</v>
      </c>
      <c r="B1325" s="1">
        <v>44287</v>
      </c>
      <c r="C1325">
        <v>2021</v>
      </c>
      <c r="D1325" t="s">
        <v>11</v>
      </c>
      <c r="E1325" t="s">
        <v>7</v>
      </c>
      <c r="F1325" t="s">
        <v>7</v>
      </c>
      <c r="G1325" t="s">
        <v>8</v>
      </c>
      <c r="H1325">
        <v>4827.9799999999996</v>
      </c>
    </row>
    <row r="1326" spans="1:8" x14ac:dyDescent="0.3">
      <c r="A1326">
        <v>202105</v>
      </c>
      <c r="B1326" s="1">
        <v>44317</v>
      </c>
      <c r="C1326">
        <v>2021</v>
      </c>
      <c r="D1326" t="s">
        <v>12</v>
      </c>
      <c r="E1326" t="s">
        <v>7</v>
      </c>
      <c r="F1326" t="s">
        <v>7</v>
      </c>
      <c r="G1326" t="s">
        <v>8</v>
      </c>
      <c r="H1326">
        <v>3629.65</v>
      </c>
    </row>
    <row r="1327" spans="1:8" x14ac:dyDescent="0.3">
      <c r="A1327">
        <v>202106</v>
      </c>
      <c r="B1327" s="1">
        <v>44348</v>
      </c>
      <c r="C1327">
        <v>2021</v>
      </c>
      <c r="D1327" t="s">
        <v>13</v>
      </c>
      <c r="E1327" t="s">
        <v>7</v>
      </c>
      <c r="F1327" t="s">
        <v>7</v>
      </c>
      <c r="G1327" t="s">
        <v>8</v>
      </c>
      <c r="H1327">
        <v>3256.65</v>
      </c>
    </row>
    <row r="1328" spans="1:8" x14ac:dyDescent="0.3">
      <c r="A1328">
        <v>202107</v>
      </c>
      <c r="B1328" s="1">
        <v>44378</v>
      </c>
      <c r="C1328">
        <v>2021</v>
      </c>
      <c r="D1328" t="s">
        <v>14</v>
      </c>
      <c r="E1328" t="s">
        <v>7</v>
      </c>
      <c r="F1328" t="s">
        <v>7</v>
      </c>
      <c r="G1328" t="s">
        <v>8</v>
      </c>
      <c r="H1328">
        <v>3635.67</v>
      </c>
    </row>
    <row r="1329" spans="1:8" x14ac:dyDescent="0.3">
      <c r="A1329">
        <v>202108</v>
      </c>
      <c r="B1329" s="1">
        <v>44409</v>
      </c>
      <c r="C1329">
        <v>2021</v>
      </c>
      <c r="D1329" t="s">
        <v>15</v>
      </c>
      <c r="E1329" t="s">
        <v>7</v>
      </c>
      <c r="F1329" t="s">
        <v>7</v>
      </c>
      <c r="G1329" t="s">
        <v>8</v>
      </c>
      <c r="H1329">
        <v>3136.64</v>
      </c>
    </row>
    <row r="1330" spans="1:8" x14ac:dyDescent="0.3">
      <c r="A1330">
        <v>202109</v>
      </c>
      <c r="B1330" s="1">
        <v>44440</v>
      </c>
      <c r="C1330">
        <v>2021</v>
      </c>
      <c r="D1330" t="s">
        <v>16</v>
      </c>
      <c r="E1330" t="s">
        <v>7</v>
      </c>
      <c r="F1330" t="s">
        <v>7</v>
      </c>
      <c r="G1330" t="s">
        <v>8</v>
      </c>
      <c r="H1330">
        <v>2951.95</v>
      </c>
    </row>
    <row r="1331" spans="1:8" x14ac:dyDescent="0.3">
      <c r="A1331">
        <v>202110</v>
      </c>
      <c r="B1331" s="1">
        <v>44470</v>
      </c>
      <c r="C1331">
        <v>2021</v>
      </c>
      <c r="D1331" t="s">
        <v>17</v>
      </c>
      <c r="E1331" t="s">
        <v>7</v>
      </c>
      <c r="F1331" t="s">
        <v>7</v>
      </c>
      <c r="G1331" t="s">
        <v>8</v>
      </c>
      <c r="H1331">
        <v>3206.76</v>
      </c>
    </row>
    <row r="1332" spans="1:8" x14ac:dyDescent="0.3">
      <c r="A1332">
        <v>202111</v>
      </c>
      <c r="B1332" s="1">
        <v>44501</v>
      </c>
      <c r="C1332">
        <v>2021</v>
      </c>
      <c r="D1332" t="s">
        <v>18</v>
      </c>
      <c r="E1332" t="s">
        <v>7</v>
      </c>
      <c r="F1332" t="s">
        <v>7</v>
      </c>
      <c r="G1332" t="s">
        <v>8</v>
      </c>
      <c r="H1332">
        <v>3912.81</v>
      </c>
    </row>
    <row r="1333" spans="1:8" x14ac:dyDescent="0.3">
      <c r="A1333">
        <v>202112</v>
      </c>
      <c r="B1333" s="1">
        <v>44531</v>
      </c>
      <c r="C1333">
        <v>2021</v>
      </c>
      <c r="D1333" t="s">
        <v>19</v>
      </c>
      <c r="E1333" t="s">
        <v>7</v>
      </c>
      <c r="F1333" t="s">
        <v>7</v>
      </c>
      <c r="G1333" t="s">
        <v>8</v>
      </c>
      <c r="H1333">
        <v>3561.56</v>
      </c>
    </row>
    <row r="1334" spans="1:8" x14ac:dyDescent="0.3">
      <c r="A1334">
        <v>202101</v>
      </c>
      <c r="B1334" s="1">
        <v>44197</v>
      </c>
      <c r="C1334">
        <v>2021</v>
      </c>
      <c r="D1334" t="s">
        <v>6</v>
      </c>
      <c r="E1334" t="s">
        <v>7</v>
      </c>
      <c r="F1334" t="s">
        <v>7</v>
      </c>
      <c r="G1334" t="s">
        <v>8</v>
      </c>
      <c r="H1334">
        <v>7508.62</v>
      </c>
    </row>
    <row r="1335" spans="1:8" x14ac:dyDescent="0.3">
      <c r="A1335">
        <v>202102</v>
      </c>
      <c r="B1335" s="1">
        <v>44228</v>
      </c>
      <c r="C1335">
        <v>2021</v>
      </c>
      <c r="D1335" t="s">
        <v>9</v>
      </c>
      <c r="E1335" t="s">
        <v>7</v>
      </c>
      <c r="F1335" t="s">
        <v>7</v>
      </c>
      <c r="G1335" t="s">
        <v>8</v>
      </c>
      <c r="H1335">
        <v>5747.2</v>
      </c>
    </row>
    <row r="1336" spans="1:8" x14ac:dyDescent="0.3">
      <c r="A1336">
        <v>202103</v>
      </c>
      <c r="B1336" s="1">
        <v>44256</v>
      </c>
      <c r="C1336">
        <v>2021</v>
      </c>
      <c r="D1336" t="s">
        <v>10</v>
      </c>
      <c r="E1336" t="s">
        <v>7</v>
      </c>
      <c r="F1336" t="s">
        <v>7</v>
      </c>
      <c r="G1336" t="s">
        <v>8</v>
      </c>
      <c r="H1336">
        <v>5874.44</v>
      </c>
    </row>
    <row r="1337" spans="1:8" x14ac:dyDescent="0.3">
      <c r="A1337">
        <v>202104</v>
      </c>
      <c r="B1337" s="1">
        <v>44287</v>
      </c>
      <c r="C1337">
        <v>2021</v>
      </c>
      <c r="D1337" t="s">
        <v>11</v>
      </c>
      <c r="E1337" t="s">
        <v>7</v>
      </c>
      <c r="F1337" t="s">
        <v>7</v>
      </c>
      <c r="G1337" t="s">
        <v>8</v>
      </c>
      <c r="H1337">
        <v>8880.1</v>
      </c>
    </row>
    <row r="1338" spans="1:8" x14ac:dyDescent="0.3">
      <c r="A1338">
        <v>202105</v>
      </c>
      <c r="B1338" s="1">
        <v>44317</v>
      </c>
      <c r="C1338">
        <v>2021</v>
      </c>
      <c r="D1338" t="s">
        <v>12</v>
      </c>
      <c r="E1338" t="s">
        <v>7</v>
      </c>
      <c r="F1338" t="s">
        <v>7</v>
      </c>
      <c r="G1338" t="s">
        <v>8</v>
      </c>
      <c r="H1338">
        <v>6511.15</v>
      </c>
    </row>
    <row r="1339" spans="1:8" x14ac:dyDescent="0.3">
      <c r="A1339">
        <v>202106</v>
      </c>
      <c r="B1339" s="1">
        <v>44348</v>
      </c>
      <c r="C1339">
        <v>2021</v>
      </c>
      <c r="D1339" t="s">
        <v>13</v>
      </c>
      <c r="E1339" t="s">
        <v>7</v>
      </c>
      <c r="F1339" t="s">
        <v>7</v>
      </c>
      <c r="G1339" t="s">
        <v>8</v>
      </c>
      <c r="H1339">
        <v>6100.35</v>
      </c>
    </row>
    <row r="1340" spans="1:8" x14ac:dyDescent="0.3">
      <c r="A1340">
        <v>202107</v>
      </c>
      <c r="B1340" s="1">
        <v>44378</v>
      </c>
      <c r="C1340">
        <v>2021</v>
      </c>
      <c r="D1340" t="s">
        <v>14</v>
      </c>
      <c r="E1340" t="s">
        <v>7</v>
      </c>
      <c r="F1340" t="s">
        <v>7</v>
      </c>
      <c r="G1340" t="s">
        <v>8</v>
      </c>
      <c r="H1340">
        <v>6291.34</v>
      </c>
    </row>
    <row r="1341" spans="1:8" x14ac:dyDescent="0.3">
      <c r="A1341">
        <v>202108</v>
      </c>
      <c r="B1341" s="1">
        <v>44409</v>
      </c>
      <c r="C1341">
        <v>2021</v>
      </c>
      <c r="D1341" t="s">
        <v>15</v>
      </c>
      <c r="E1341" t="s">
        <v>7</v>
      </c>
      <c r="F1341" t="s">
        <v>7</v>
      </c>
      <c r="G1341" t="s">
        <v>8</v>
      </c>
      <c r="H1341">
        <v>6279.41</v>
      </c>
    </row>
    <row r="1342" spans="1:8" x14ac:dyDescent="0.3">
      <c r="A1342">
        <v>202109</v>
      </c>
      <c r="B1342" s="1">
        <v>44440</v>
      </c>
      <c r="C1342">
        <v>2021</v>
      </c>
      <c r="D1342" t="s">
        <v>16</v>
      </c>
      <c r="E1342" t="s">
        <v>7</v>
      </c>
      <c r="F1342" t="s">
        <v>7</v>
      </c>
      <c r="G1342" t="s">
        <v>8</v>
      </c>
      <c r="H1342">
        <v>5938.98</v>
      </c>
    </row>
    <row r="1343" spans="1:8" x14ac:dyDescent="0.3">
      <c r="A1343">
        <v>202110</v>
      </c>
      <c r="B1343" s="1">
        <v>44470</v>
      </c>
      <c r="C1343">
        <v>2021</v>
      </c>
      <c r="D1343" t="s">
        <v>17</v>
      </c>
      <c r="E1343" t="s">
        <v>7</v>
      </c>
      <c r="F1343" t="s">
        <v>7</v>
      </c>
      <c r="G1343" t="s">
        <v>8</v>
      </c>
      <c r="H1343">
        <v>6440.71</v>
      </c>
    </row>
    <row r="1344" spans="1:8" x14ac:dyDescent="0.3">
      <c r="A1344">
        <v>202111</v>
      </c>
      <c r="B1344" s="1">
        <v>44501</v>
      </c>
      <c r="C1344">
        <v>2021</v>
      </c>
      <c r="D1344" t="s">
        <v>18</v>
      </c>
      <c r="E1344" t="s">
        <v>7</v>
      </c>
      <c r="F1344" t="s">
        <v>7</v>
      </c>
      <c r="G1344" t="s">
        <v>8</v>
      </c>
      <c r="H1344">
        <v>8415.5300000000007</v>
      </c>
    </row>
    <row r="1345" spans="1:8" x14ac:dyDescent="0.3">
      <c r="A1345">
        <v>202112</v>
      </c>
      <c r="B1345" s="1">
        <v>44531</v>
      </c>
      <c r="C1345">
        <v>2021</v>
      </c>
      <c r="D1345" t="s">
        <v>19</v>
      </c>
      <c r="E1345" t="s">
        <v>7</v>
      </c>
      <c r="F1345" t="s">
        <v>7</v>
      </c>
      <c r="G1345" t="s">
        <v>8</v>
      </c>
      <c r="H1345">
        <v>6503.19</v>
      </c>
    </row>
    <row r="1346" spans="1:8" x14ac:dyDescent="0.3">
      <c r="A1346">
        <v>202101</v>
      </c>
      <c r="B1346" s="1">
        <v>44197</v>
      </c>
      <c r="C1346">
        <v>2021</v>
      </c>
      <c r="D1346" t="s">
        <v>6</v>
      </c>
      <c r="E1346" t="s">
        <v>7</v>
      </c>
      <c r="F1346" t="s">
        <v>7</v>
      </c>
      <c r="G1346" t="s">
        <v>8</v>
      </c>
      <c r="H1346">
        <v>524.24</v>
      </c>
    </row>
    <row r="1347" spans="1:8" x14ac:dyDescent="0.3">
      <c r="A1347">
        <v>202102</v>
      </c>
      <c r="B1347" s="1">
        <v>44228</v>
      </c>
      <c r="C1347">
        <v>2021</v>
      </c>
      <c r="D1347" t="s">
        <v>9</v>
      </c>
      <c r="E1347" t="s">
        <v>7</v>
      </c>
      <c r="F1347" t="s">
        <v>7</v>
      </c>
      <c r="G1347" t="s">
        <v>8</v>
      </c>
      <c r="H1347">
        <v>397.44</v>
      </c>
    </row>
    <row r="1348" spans="1:8" x14ac:dyDescent="0.3">
      <c r="A1348">
        <v>202103</v>
      </c>
      <c r="B1348" s="1">
        <v>44256</v>
      </c>
      <c r="C1348">
        <v>2021</v>
      </c>
      <c r="D1348" t="s">
        <v>10</v>
      </c>
      <c r="E1348" t="s">
        <v>7</v>
      </c>
      <c r="F1348" t="s">
        <v>7</v>
      </c>
      <c r="G1348" t="s">
        <v>8</v>
      </c>
      <c r="H1348">
        <v>522.33000000000004</v>
      </c>
    </row>
    <row r="1349" spans="1:8" x14ac:dyDescent="0.3">
      <c r="A1349">
        <v>202104</v>
      </c>
      <c r="B1349" s="1">
        <v>44287</v>
      </c>
      <c r="C1349">
        <v>2021</v>
      </c>
      <c r="D1349" t="s">
        <v>11</v>
      </c>
      <c r="E1349" t="s">
        <v>7</v>
      </c>
      <c r="F1349" t="s">
        <v>7</v>
      </c>
      <c r="G1349" t="s">
        <v>8</v>
      </c>
      <c r="H1349">
        <v>652.75</v>
      </c>
    </row>
    <row r="1350" spans="1:8" x14ac:dyDescent="0.3">
      <c r="A1350">
        <v>202105</v>
      </c>
      <c r="B1350" s="1">
        <v>44317</v>
      </c>
      <c r="C1350">
        <v>2021</v>
      </c>
      <c r="D1350" t="s">
        <v>12</v>
      </c>
      <c r="E1350" t="s">
        <v>7</v>
      </c>
      <c r="F1350" t="s">
        <v>7</v>
      </c>
      <c r="G1350" t="s">
        <v>8</v>
      </c>
      <c r="H1350">
        <v>607.01</v>
      </c>
    </row>
    <row r="1351" spans="1:8" x14ac:dyDescent="0.3">
      <c r="A1351">
        <v>202106</v>
      </c>
      <c r="B1351" s="1">
        <v>44348</v>
      </c>
      <c r="C1351">
        <v>2021</v>
      </c>
      <c r="D1351" t="s">
        <v>13</v>
      </c>
      <c r="E1351" t="s">
        <v>7</v>
      </c>
      <c r="F1351" t="s">
        <v>7</v>
      </c>
      <c r="G1351" t="s">
        <v>8</v>
      </c>
      <c r="H1351">
        <v>417.97</v>
      </c>
    </row>
    <row r="1352" spans="1:8" x14ac:dyDescent="0.3">
      <c r="A1352">
        <v>202107</v>
      </c>
      <c r="B1352" s="1">
        <v>44378</v>
      </c>
      <c r="C1352">
        <v>2021</v>
      </c>
      <c r="D1352" t="s">
        <v>14</v>
      </c>
      <c r="E1352" t="s">
        <v>7</v>
      </c>
      <c r="F1352" t="s">
        <v>7</v>
      </c>
      <c r="G1352" t="s">
        <v>8</v>
      </c>
      <c r="H1352">
        <v>438.23</v>
      </c>
    </row>
    <row r="1353" spans="1:8" x14ac:dyDescent="0.3">
      <c r="A1353">
        <v>202108</v>
      </c>
      <c r="B1353" s="1">
        <v>44409</v>
      </c>
      <c r="C1353">
        <v>2021</v>
      </c>
      <c r="D1353" t="s">
        <v>15</v>
      </c>
      <c r="E1353" t="s">
        <v>7</v>
      </c>
      <c r="F1353" t="s">
        <v>7</v>
      </c>
      <c r="G1353" t="s">
        <v>8</v>
      </c>
      <c r="H1353">
        <v>417.13</v>
      </c>
    </row>
    <row r="1354" spans="1:8" x14ac:dyDescent="0.3">
      <c r="A1354">
        <v>202109</v>
      </c>
      <c r="B1354" s="1">
        <v>44440</v>
      </c>
      <c r="C1354">
        <v>2021</v>
      </c>
      <c r="D1354" t="s">
        <v>16</v>
      </c>
      <c r="E1354" t="s">
        <v>7</v>
      </c>
      <c r="F1354" t="s">
        <v>7</v>
      </c>
      <c r="G1354" t="s">
        <v>8</v>
      </c>
      <c r="H1354">
        <v>460.76</v>
      </c>
    </row>
    <row r="1355" spans="1:8" x14ac:dyDescent="0.3">
      <c r="A1355">
        <v>202110</v>
      </c>
      <c r="B1355" s="1">
        <v>44470</v>
      </c>
      <c r="C1355">
        <v>2021</v>
      </c>
      <c r="D1355" t="s">
        <v>17</v>
      </c>
      <c r="E1355" t="s">
        <v>7</v>
      </c>
      <c r="F1355" t="s">
        <v>7</v>
      </c>
      <c r="G1355" t="s">
        <v>8</v>
      </c>
      <c r="H1355">
        <v>457.11</v>
      </c>
    </row>
    <row r="1356" spans="1:8" x14ac:dyDescent="0.3">
      <c r="A1356">
        <v>202111</v>
      </c>
      <c r="B1356" s="1">
        <v>44501</v>
      </c>
      <c r="C1356">
        <v>2021</v>
      </c>
      <c r="D1356" t="s">
        <v>18</v>
      </c>
      <c r="E1356" t="s">
        <v>7</v>
      </c>
      <c r="F1356" t="s">
        <v>7</v>
      </c>
      <c r="G1356" t="s">
        <v>8</v>
      </c>
      <c r="H1356">
        <v>522.25</v>
      </c>
    </row>
    <row r="1357" spans="1:8" x14ac:dyDescent="0.3">
      <c r="A1357">
        <v>202112</v>
      </c>
      <c r="B1357" s="1">
        <v>44531</v>
      </c>
      <c r="C1357">
        <v>2021</v>
      </c>
      <c r="D1357" t="s">
        <v>19</v>
      </c>
      <c r="E1357" t="s">
        <v>7</v>
      </c>
      <c r="F1357" t="s">
        <v>7</v>
      </c>
      <c r="G1357" t="s">
        <v>8</v>
      </c>
      <c r="H1357">
        <v>453.8</v>
      </c>
    </row>
    <row r="1358" spans="1:8" x14ac:dyDescent="0.3">
      <c r="A1358">
        <v>202101</v>
      </c>
      <c r="B1358" s="1">
        <v>44197</v>
      </c>
      <c r="C1358">
        <v>2021</v>
      </c>
      <c r="D1358" t="s">
        <v>6</v>
      </c>
      <c r="E1358" t="s">
        <v>7</v>
      </c>
      <c r="F1358" t="s">
        <v>7</v>
      </c>
      <c r="G1358" t="s">
        <v>8</v>
      </c>
      <c r="H1358">
        <v>5861.82</v>
      </c>
    </row>
    <row r="1359" spans="1:8" x14ac:dyDescent="0.3">
      <c r="A1359">
        <v>202102</v>
      </c>
      <c r="B1359" s="1">
        <v>44228</v>
      </c>
      <c r="C1359">
        <v>2021</v>
      </c>
      <c r="D1359" t="s">
        <v>9</v>
      </c>
      <c r="E1359" t="s">
        <v>7</v>
      </c>
      <c r="F1359" t="s">
        <v>7</v>
      </c>
      <c r="G1359" t="s">
        <v>8</v>
      </c>
      <c r="H1359">
        <v>4945.93</v>
      </c>
    </row>
    <row r="1360" spans="1:8" x14ac:dyDescent="0.3">
      <c r="A1360">
        <v>202103</v>
      </c>
      <c r="B1360" s="1">
        <v>44256</v>
      </c>
      <c r="C1360">
        <v>2021</v>
      </c>
      <c r="D1360" t="s">
        <v>10</v>
      </c>
      <c r="E1360" t="s">
        <v>7</v>
      </c>
      <c r="F1360" t="s">
        <v>7</v>
      </c>
      <c r="G1360" t="s">
        <v>8</v>
      </c>
      <c r="H1360">
        <v>4020.7</v>
      </c>
    </row>
    <row r="1361" spans="1:8" x14ac:dyDescent="0.3">
      <c r="A1361">
        <v>202104</v>
      </c>
      <c r="B1361" s="1">
        <v>44287</v>
      </c>
      <c r="C1361">
        <v>2021</v>
      </c>
      <c r="D1361" t="s">
        <v>11</v>
      </c>
      <c r="E1361" t="s">
        <v>7</v>
      </c>
      <c r="F1361" t="s">
        <v>7</v>
      </c>
      <c r="G1361" t="s">
        <v>8</v>
      </c>
      <c r="H1361">
        <v>7630.16</v>
      </c>
    </row>
    <row r="1362" spans="1:8" x14ac:dyDescent="0.3">
      <c r="A1362">
        <v>202105</v>
      </c>
      <c r="B1362" s="1">
        <v>44317</v>
      </c>
      <c r="C1362">
        <v>2021</v>
      </c>
      <c r="D1362" t="s">
        <v>12</v>
      </c>
      <c r="E1362" t="s">
        <v>7</v>
      </c>
      <c r="F1362" t="s">
        <v>7</v>
      </c>
      <c r="G1362" t="s">
        <v>8</v>
      </c>
      <c r="H1362">
        <v>5652.79</v>
      </c>
    </row>
    <row r="1363" spans="1:8" x14ac:dyDescent="0.3">
      <c r="A1363">
        <v>202106</v>
      </c>
      <c r="B1363" s="1">
        <v>44348</v>
      </c>
      <c r="C1363">
        <v>2021</v>
      </c>
      <c r="D1363" t="s">
        <v>13</v>
      </c>
      <c r="E1363" t="s">
        <v>7</v>
      </c>
      <c r="F1363" t="s">
        <v>7</v>
      </c>
      <c r="G1363" t="s">
        <v>8</v>
      </c>
      <c r="H1363">
        <v>4195.68</v>
      </c>
    </row>
    <row r="1364" spans="1:8" x14ac:dyDescent="0.3">
      <c r="A1364">
        <v>202107</v>
      </c>
      <c r="B1364" s="1">
        <v>44378</v>
      </c>
      <c r="C1364">
        <v>2021</v>
      </c>
      <c r="D1364" t="s">
        <v>14</v>
      </c>
      <c r="E1364" t="s">
        <v>7</v>
      </c>
      <c r="F1364" t="s">
        <v>7</v>
      </c>
      <c r="G1364" t="s">
        <v>8</v>
      </c>
      <c r="H1364">
        <v>5520.36</v>
      </c>
    </row>
    <row r="1365" spans="1:8" x14ac:dyDescent="0.3">
      <c r="A1365">
        <v>202108</v>
      </c>
      <c r="B1365" s="1">
        <v>44409</v>
      </c>
      <c r="C1365">
        <v>2021</v>
      </c>
      <c r="D1365" t="s">
        <v>15</v>
      </c>
      <c r="E1365" t="s">
        <v>7</v>
      </c>
      <c r="F1365" t="s">
        <v>7</v>
      </c>
      <c r="G1365" t="s">
        <v>8</v>
      </c>
      <c r="H1365">
        <v>5297.38</v>
      </c>
    </row>
    <row r="1366" spans="1:8" x14ac:dyDescent="0.3">
      <c r="A1366">
        <v>202109</v>
      </c>
      <c r="B1366" s="1">
        <v>44440</v>
      </c>
      <c r="C1366">
        <v>2021</v>
      </c>
      <c r="D1366" t="s">
        <v>16</v>
      </c>
      <c r="E1366" t="s">
        <v>7</v>
      </c>
      <c r="F1366" t="s">
        <v>7</v>
      </c>
      <c r="G1366" t="s">
        <v>8</v>
      </c>
      <c r="H1366">
        <v>5509.66</v>
      </c>
    </row>
    <row r="1367" spans="1:8" x14ac:dyDescent="0.3">
      <c r="A1367">
        <v>202110</v>
      </c>
      <c r="B1367" s="1">
        <v>44470</v>
      </c>
      <c r="C1367">
        <v>2021</v>
      </c>
      <c r="D1367" t="s">
        <v>17</v>
      </c>
      <c r="E1367" t="s">
        <v>7</v>
      </c>
      <c r="F1367" t="s">
        <v>7</v>
      </c>
      <c r="G1367" t="s">
        <v>8</v>
      </c>
      <c r="H1367">
        <v>5648.58</v>
      </c>
    </row>
    <row r="1368" spans="1:8" x14ac:dyDescent="0.3">
      <c r="A1368">
        <v>202111</v>
      </c>
      <c r="B1368" s="1">
        <v>44501</v>
      </c>
      <c r="C1368">
        <v>2021</v>
      </c>
      <c r="D1368" t="s">
        <v>18</v>
      </c>
      <c r="E1368" t="s">
        <v>7</v>
      </c>
      <c r="F1368" t="s">
        <v>7</v>
      </c>
      <c r="G1368" t="s">
        <v>8</v>
      </c>
      <c r="H1368">
        <v>6512.67</v>
      </c>
    </row>
    <row r="1369" spans="1:8" x14ac:dyDescent="0.3">
      <c r="A1369">
        <v>202112</v>
      </c>
      <c r="B1369" s="1">
        <v>44531</v>
      </c>
      <c r="C1369">
        <v>2021</v>
      </c>
      <c r="D1369" t="s">
        <v>19</v>
      </c>
      <c r="E1369" t="s">
        <v>7</v>
      </c>
      <c r="F1369" t="s">
        <v>7</v>
      </c>
      <c r="G1369" t="s">
        <v>8</v>
      </c>
      <c r="H1369">
        <v>6473.76</v>
      </c>
    </row>
    <row r="1370" spans="1:8" x14ac:dyDescent="0.3">
      <c r="A1370">
        <v>202101</v>
      </c>
      <c r="B1370" s="1">
        <v>44197</v>
      </c>
      <c r="C1370">
        <v>2021</v>
      </c>
      <c r="D1370" t="s">
        <v>6</v>
      </c>
      <c r="E1370" t="s">
        <v>7</v>
      </c>
      <c r="F1370" t="s">
        <v>7</v>
      </c>
      <c r="G1370" t="s">
        <v>8</v>
      </c>
      <c r="H1370">
        <v>448.79</v>
      </c>
    </row>
    <row r="1371" spans="1:8" x14ac:dyDescent="0.3">
      <c r="A1371">
        <v>202102</v>
      </c>
      <c r="B1371" s="1">
        <v>44228</v>
      </c>
      <c r="C1371">
        <v>2021</v>
      </c>
      <c r="D1371" t="s">
        <v>9</v>
      </c>
      <c r="E1371" t="s">
        <v>7</v>
      </c>
      <c r="F1371" t="s">
        <v>7</v>
      </c>
      <c r="G1371" t="s">
        <v>8</v>
      </c>
      <c r="H1371">
        <v>348.39</v>
      </c>
    </row>
    <row r="1372" spans="1:8" x14ac:dyDescent="0.3">
      <c r="A1372">
        <v>202103</v>
      </c>
      <c r="B1372" s="1">
        <v>44256</v>
      </c>
      <c r="C1372">
        <v>2021</v>
      </c>
      <c r="D1372" t="s">
        <v>10</v>
      </c>
      <c r="E1372" t="s">
        <v>7</v>
      </c>
      <c r="F1372" t="s">
        <v>7</v>
      </c>
      <c r="G1372" t="s">
        <v>8</v>
      </c>
      <c r="H1372">
        <v>376.39</v>
      </c>
    </row>
    <row r="1373" spans="1:8" x14ac:dyDescent="0.3">
      <c r="A1373">
        <v>202104</v>
      </c>
      <c r="B1373" s="1">
        <v>44287</v>
      </c>
      <c r="C1373">
        <v>2021</v>
      </c>
      <c r="D1373" t="s">
        <v>11</v>
      </c>
      <c r="E1373" t="s">
        <v>7</v>
      </c>
      <c r="F1373" t="s">
        <v>7</v>
      </c>
      <c r="G1373" t="s">
        <v>8</v>
      </c>
      <c r="H1373">
        <v>539.02</v>
      </c>
    </row>
    <row r="1374" spans="1:8" x14ac:dyDescent="0.3">
      <c r="A1374">
        <v>202105</v>
      </c>
      <c r="B1374" s="1">
        <v>44317</v>
      </c>
      <c r="C1374">
        <v>2021</v>
      </c>
      <c r="D1374" t="s">
        <v>12</v>
      </c>
      <c r="E1374" t="s">
        <v>7</v>
      </c>
      <c r="F1374" t="s">
        <v>7</v>
      </c>
      <c r="G1374" t="s">
        <v>8</v>
      </c>
      <c r="H1374">
        <v>383.92</v>
      </c>
    </row>
    <row r="1375" spans="1:8" x14ac:dyDescent="0.3">
      <c r="A1375">
        <v>202106</v>
      </c>
      <c r="B1375" s="1">
        <v>44348</v>
      </c>
      <c r="C1375">
        <v>2021</v>
      </c>
      <c r="D1375" t="s">
        <v>13</v>
      </c>
      <c r="E1375" t="s">
        <v>7</v>
      </c>
      <c r="F1375" t="s">
        <v>7</v>
      </c>
      <c r="G1375" t="s">
        <v>8</v>
      </c>
      <c r="H1375">
        <v>461.98</v>
      </c>
    </row>
    <row r="1376" spans="1:8" x14ac:dyDescent="0.3">
      <c r="A1376">
        <v>202107</v>
      </c>
      <c r="B1376" s="1">
        <v>44378</v>
      </c>
      <c r="C1376">
        <v>2021</v>
      </c>
      <c r="D1376" t="s">
        <v>14</v>
      </c>
      <c r="E1376" t="s">
        <v>7</v>
      </c>
      <c r="F1376" t="s">
        <v>7</v>
      </c>
      <c r="G1376" t="s">
        <v>8</v>
      </c>
      <c r="H1376">
        <v>501.86</v>
      </c>
    </row>
    <row r="1377" spans="1:8" x14ac:dyDescent="0.3">
      <c r="A1377">
        <v>202108</v>
      </c>
      <c r="B1377" s="1">
        <v>44409</v>
      </c>
      <c r="C1377">
        <v>2021</v>
      </c>
      <c r="D1377" t="s">
        <v>15</v>
      </c>
      <c r="E1377" t="s">
        <v>7</v>
      </c>
      <c r="F1377" t="s">
        <v>7</v>
      </c>
      <c r="G1377" t="s">
        <v>8</v>
      </c>
      <c r="H1377">
        <v>461.43</v>
      </c>
    </row>
    <row r="1378" spans="1:8" x14ac:dyDescent="0.3">
      <c r="A1378">
        <v>202109</v>
      </c>
      <c r="B1378" s="1">
        <v>44440</v>
      </c>
      <c r="C1378">
        <v>2021</v>
      </c>
      <c r="D1378" t="s">
        <v>16</v>
      </c>
      <c r="E1378" t="s">
        <v>7</v>
      </c>
      <c r="F1378" t="s">
        <v>7</v>
      </c>
      <c r="G1378" t="s">
        <v>8</v>
      </c>
      <c r="H1378">
        <v>450.41</v>
      </c>
    </row>
    <row r="1379" spans="1:8" x14ac:dyDescent="0.3">
      <c r="A1379">
        <v>202110</v>
      </c>
      <c r="B1379" s="1">
        <v>44470</v>
      </c>
      <c r="C1379">
        <v>2021</v>
      </c>
      <c r="D1379" t="s">
        <v>17</v>
      </c>
      <c r="E1379" t="s">
        <v>7</v>
      </c>
      <c r="F1379" t="s">
        <v>7</v>
      </c>
      <c r="G1379" t="s">
        <v>8</v>
      </c>
      <c r="H1379">
        <v>430.38</v>
      </c>
    </row>
    <row r="1380" spans="1:8" x14ac:dyDescent="0.3">
      <c r="A1380">
        <v>202111</v>
      </c>
      <c r="B1380" s="1">
        <v>44501</v>
      </c>
      <c r="C1380">
        <v>2021</v>
      </c>
      <c r="D1380" t="s">
        <v>18</v>
      </c>
      <c r="E1380" t="s">
        <v>7</v>
      </c>
      <c r="F1380" t="s">
        <v>7</v>
      </c>
      <c r="G1380" t="s">
        <v>8</v>
      </c>
      <c r="H1380">
        <v>512.99</v>
      </c>
    </row>
    <row r="1381" spans="1:8" x14ac:dyDescent="0.3">
      <c r="A1381">
        <v>202112</v>
      </c>
      <c r="B1381" s="1">
        <v>44531</v>
      </c>
      <c r="C1381">
        <v>2021</v>
      </c>
      <c r="D1381" t="s">
        <v>19</v>
      </c>
      <c r="E1381" t="s">
        <v>7</v>
      </c>
      <c r="F1381" t="s">
        <v>7</v>
      </c>
      <c r="G1381" t="s">
        <v>8</v>
      </c>
      <c r="H1381">
        <v>450.46</v>
      </c>
    </row>
    <row r="1382" spans="1:8" x14ac:dyDescent="0.3">
      <c r="A1382">
        <v>202101</v>
      </c>
      <c r="B1382" s="1">
        <v>44197</v>
      </c>
      <c r="C1382">
        <v>2021</v>
      </c>
      <c r="D1382" t="s">
        <v>6</v>
      </c>
      <c r="E1382" t="s">
        <v>7</v>
      </c>
      <c r="F1382" t="s">
        <v>7</v>
      </c>
      <c r="G1382" t="s">
        <v>8</v>
      </c>
      <c r="H1382">
        <v>105267.1</v>
      </c>
    </row>
    <row r="1383" spans="1:8" x14ac:dyDescent="0.3">
      <c r="A1383">
        <v>202102</v>
      </c>
      <c r="B1383" s="1">
        <v>44228</v>
      </c>
      <c r="C1383">
        <v>2021</v>
      </c>
      <c r="D1383" t="s">
        <v>9</v>
      </c>
      <c r="E1383" t="s">
        <v>7</v>
      </c>
      <c r="F1383" t="s">
        <v>7</v>
      </c>
      <c r="G1383" t="s">
        <v>8</v>
      </c>
      <c r="H1383">
        <v>89403.62</v>
      </c>
    </row>
    <row r="1384" spans="1:8" x14ac:dyDescent="0.3">
      <c r="A1384">
        <v>202103</v>
      </c>
      <c r="B1384" s="1">
        <v>44256</v>
      </c>
      <c r="C1384">
        <v>2021</v>
      </c>
      <c r="D1384" t="s">
        <v>10</v>
      </c>
      <c r="E1384" t="s">
        <v>7</v>
      </c>
      <c r="F1384" t="s">
        <v>7</v>
      </c>
      <c r="G1384" t="s">
        <v>8</v>
      </c>
      <c r="H1384">
        <v>80602.649999999994</v>
      </c>
    </row>
    <row r="1385" spans="1:8" x14ac:dyDescent="0.3">
      <c r="A1385">
        <v>202104</v>
      </c>
      <c r="B1385" s="1">
        <v>44287</v>
      </c>
      <c r="C1385">
        <v>2021</v>
      </c>
      <c r="D1385" t="s">
        <v>11</v>
      </c>
      <c r="E1385" t="s">
        <v>7</v>
      </c>
      <c r="F1385" t="s">
        <v>7</v>
      </c>
      <c r="G1385" t="s">
        <v>8</v>
      </c>
      <c r="H1385">
        <v>129029.67</v>
      </c>
    </row>
    <row r="1386" spans="1:8" x14ac:dyDescent="0.3">
      <c r="A1386">
        <v>202105</v>
      </c>
      <c r="B1386" s="1">
        <v>44317</v>
      </c>
      <c r="C1386">
        <v>2021</v>
      </c>
      <c r="D1386" t="s">
        <v>12</v>
      </c>
      <c r="E1386" t="s">
        <v>7</v>
      </c>
      <c r="F1386" t="s">
        <v>7</v>
      </c>
      <c r="G1386" t="s">
        <v>8</v>
      </c>
      <c r="H1386">
        <v>115435.29</v>
      </c>
    </row>
    <row r="1387" spans="1:8" x14ac:dyDescent="0.3">
      <c r="A1387">
        <v>202106</v>
      </c>
      <c r="B1387" s="1">
        <v>44348</v>
      </c>
      <c r="C1387">
        <v>2021</v>
      </c>
      <c r="D1387" t="s">
        <v>13</v>
      </c>
      <c r="E1387" t="s">
        <v>7</v>
      </c>
      <c r="F1387" t="s">
        <v>7</v>
      </c>
      <c r="G1387" t="s">
        <v>8</v>
      </c>
      <c r="H1387">
        <v>95695.99</v>
      </c>
    </row>
    <row r="1388" spans="1:8" x14ac:dyDescent="0.3">
      <c r="A1388">
        <v>202107</v>
      </c>
      <c r="B1388" s="1">
        <v>44378</v>
      </c>
      <c r="C1388">
        <v>2021</v>
      </c>
      <c r="D1388" t="s">
        <v>14</v>
      </c>
      <c r="E1388" t="s">
        <v>7</v>
      </c>
      <c r="F1388" t="s">
        <v>7</v>
      </c>
      <c r="G1388" t="s">
        <v>8</v>
      </c>
      <c r="H1388">
        <v>101606.71</v>
      </c>
    </row>
    <row r="1389" spans="1:8" x14ac:dyDescent="0.3">
      <c r="A1389">
        <v>202108</v>
      </c>
      <c r="B1389" s="1">
        <v>44409</v>
      </c>
      <c r="C1389">
        <v>2021</v>
      </c>
      <c r="D1389" t="s">
        <v>15</v>
      </c>
      <c r="E1389" t="s">
        <v>7</v>
      </c>
      <c r="F1389" t="s">
        <v>7</v>
      </c>
      <c r="G1389" t="s">
        <v>8</v>
      </c>
      <c r="H1389">
        <v>115587.7</v>
      </c>
    </row>
    <row r="1390" spans="1:8" x14ac:dyDescent="0.3">
      <c r="A1390">
        <v>202109</v>
      </c>
      <c r="B1390" s="1">
        <v>44440</v>
      </c>
      <c r="C1390">
        <v>2021</v>
      </c>
      <c r="D1390" t="s">
        <v>16</v>
      </c>
      <c r="E1390" t="s">
        <v>7</v>
      </c>
      <c r="F1390" t="s">
        <v>7</v>
      </c>
      <c r="G1390" t="s">
        <v>8</v>
      </c>
      <c r="H1390">
        <v>89985.44</v>
      </c>
    </row>
    <row r="1391" spans="1:8" x14ac:dyDescent="0.3">
      <c r="A1391">
        <v>202110</v>
      </c>
      <c r="B1391" s="1">
        <v>44470</v>
      </c>
      <c r="C1391">
        <v>2021</v>
      </c>
      <c r="D1391" t="s">
        <v>17</v>
      </c>
      <c r="E1391" t="s">
        <v>7</v>
      </c>
      <c r="F1391" t="s">
        <v>7</v>
      </c>
      <c r="G1391" t="s">
        <v>8</v>
      </c>
      <c r="H1391">
        <v>95956.98</v>
      </c>
    </row>
    <row r="1392" spans="1:8" x14ac:dyDescent="0.3">
      <c r="A1392">
        <v>202111</v>
      </c>
      <c r="B1392" s="1">
        <v>44501</v>
      </c>
      <c r="C1392">
        <v>2021</v>
      </c>
      <c r="D1392" t="s">
        <v>18</v>
      </c>
      <c r="E1392" t="s">
        <v>7</v>
      </c>
      <c r="F1392" t="s">
        <v>7</v>
      </c>
      <c r="G1392" t="s">
        <v>8</v>
      </c>
      <c r="H1392">
        <v>130663.38</v>
      </c>
    </row>
    <row r="1393" spans="1:8" x14ac:dyDescent="0.3">
      <c r="A1393">
        <v>202112</v>
      </c>
      <c r="B1393" s="1">
        <v>44531</v>
      </c>
      <c r="C1393">
        <v>2021</v>
      </c>
      <c r="D1393" t="s">
        <v>19</v>
      </c>
      <c r="E1393" t="s">
        <v>7</v>
      </c>
      <c r="F1393" t="s">
        <v>7</v>
      </c>
      <c r="G1393" t="s">
        <v>8</v>
      </c>
      <c r="H1393">
        <v>93460.35</v>
      </c>
    </row>
    <row r="1394" spans="1:8" x14ac:dyDescent="0.3">
      <c r="A1394">
        <v>202101</v>
      </c>
      <c r="B1394" s="1">
        <v>44197</v>
      </c>
      <c r="C1394">
        <v>2021</v>
      </c>
      <c r="D1394" t="s">
        <v>6</v>
      </c>
      <c r="E1394" t="s">
        <v>20</v>
      </c>
      <c r="F1394" t="s">
        <v>40</v>
      </c>
      <c r="G1394" t="s">
        <v>8</v>
      </c>
      <c r="H1394">
        <v>62.22</v>
      </c>
    </row>
    <row r="1395" spans="1:8" x14ac:dyDescent="0.3">
      <c r="A1395">
        <v>202102</v>
      </c>
      <c r="B1395" s="1">
        <v>44228</v>
      </c>
      <c r="C1395">
        <v>2021</v>
      </c>
      <c r="D1395" t="s">
        <v>9</v>
      </c>
      <c r="E1395" t="s">
        <v>20</v>
      </c>
      <c r="F1395" t="s">
        <v>40</v>
      </c>
      <c r="G1395" t="s">
        <v>8</v>
      </c>
      <c r="H1395">
        <v>30.5</v>
      </c>
    </row>
    <row r="1396" spans="1:8" x14ac:dyDescent="0.3">
      <c r="A1396">
        <v>202103</v>
      </c>
      <c r="B1396" s="1">
        <v>44256</v>
      </c>
      <c r="C1396">
        <v>2021</v>
      </c>
      <c r="D1396" t="s">
        <v>10</v>
      </c>
      <c r="E1396" t="s">
        <v>20</v>
      </c>
      <c r="F1396" t="s">
        <v>40</v>
      </c>
      <c r="G1396" t="s">
        <v>8</v>
      </c>
      <c r="H1396">
        <v>36.76</v>
      </c>
    </row>
    <row r="1397" spans="1:8" x14ac:dyDescent="0.3">
      <c r="A1397">
        <v>202104</v>
      </c>
      <c r="B1397" s="1">
        <v>44287</v>
      </c>
      <c r="C1397">
        <v>2021</v>
      </c>
      <c r="D1397" t="s">
        <v>11</v>
      </c>
      <c r="E1397" t="s">
        <v>20</v>
      </c>
      <c r="F1397" t="s">
        <v>40</v>
      </c>
      <c r="G1397" t="s">
        <v>8</v>
      </c>
      <c r="H1397">
        <v>45.29</v>
      </c>
    </row>
    <row r="1398" spans="1:8" x14ac:dyDescent="0.3">
      <c r="A1398">
        <v>202105</v>
      </c>
      <c r="B1398" s="1">
        <v>44317</v>
      </c>
      <c r="C1398">
        <v>2021</v>
      </c>
      <c r="D1398" t="s">
        <v>12</v>
      </c>
      <c r="E1398" t="s">
        <v>20</v>
      </c>
      <c r="F1398" t="s">
        <v>40</v>
      </c>
      <c r="G1398" t="s">
        <v>8</v>
      </c>
      <c r="H1398">
        <v>38.32</v>
      </c>
    </row>
    <row r="1399" spans="1:8" x14ac:dyDescent="0.3">
      <c r="A1399">
        <v>202106</v>
      </c>
      <c r="B1399" s="1">
        <v>44348</v>
      </c>
      <c r="C1399">
        <v>2021</v>
      </c>
      <c r="D1399" t="s">
        <v>13</v>
      </c>
      <c r="E1399" t="s">
        <v>20</v>
      </c>
      <c r="F1399" t="s">
        <v>40</v>
      </c>
      <c r="G1399" t="s">
        <v>8</v>
      </c>
      <c r="H1399">
        <v>50.71</v>
      </c>
    </row>
    <row r="1400" spans="1:8" x14ac:dyDescent="0.3">
      <c r="A1400">
        <v>202107</v>
      </c>
      <c r="B1400" s="1">
        <v>44378</v>
      </c>
      <c r="C1400">
        <v>2021</v>
      </c>
      <c r="D1400" t="s">
        <v>14</v>
      </c>
      <c r="E1400" t="s">
        <v>20</v>
      </c>
      <c r="F1400" t="s">
        <v>40</v>
      </c>
      <c r="G1400" t="s">
        <v>8</v>
      </c>
      <c r="H1400">
        <v>50.2</v>
      </c>
    </row>
    <row r="1401" spans="1:8" x14ac:dyDescent="0.3">
      <c r="A1401">
        <v>202108</v>
      </c>
      <c r="B1401" s="1">
        <v>44409</v>
      </c>
      <c r="C1401">
        <v>2021</v>
      </c>
      <c r="D1401" t="s">
        <v>15</v>
      </c>
      <c r="E1401" t="s">
        <v>20</v>
      </c>
      <c r="F1401" t="s">
        <v>40</v>
      </c>
      <c r="G1401" t="s">
        <v>8</v>
      </c>
      <c r="H1401">
        <v>40.18</v>
      </c>
    </row>
    <row r="1402" spans="1:8" x14ac:dyDescent="0.3">
      <c r="A1402">
        <v>202109</v>
      </c>
      <c r="B1402" s="1">
        <v>44440</v>
      </c>
      <c r="C1402">
        <v>2021</v>
      </c>
      <c r="D1402" t="s">
        <v>16</v>
      </c>
      <c r="E1402" t="s">
        <v>20</v>
      </c>
      <c r="F1402" t="s">
        <v>40</v>
      </c>
      <c r="G1402" t="s">
        <v>8</v>
      </c>
      <c r="H1402">
        <v>35.43</v>
      </c>
    </row>
    <row r="1403" spans="1:8" x14ac:dyDescent="0.3">
      <c r="A1403">
        <v>202110</v>
      </c>
      <c r="B1403" s="1">
        <v>44470</v>
      </c>
      <c r="C1403">
        <v>2021</v>
      </c>
      <c r="D1403" t="s">
        <v>17</v>
      </c>
      <c r="E1403" t="s">
        <v>20</v>
      </c>
      <c r="F1403" t="s">
        <v>40</v>
      </c>
      <c r="G1403" t="s">
        <v>8</v>
      </c>
      <c r="H1403">
        <v>44.62</v>
      </c>
    </row>
    <row r="1404" spans="1:8" x14ac:dyDescent="0.3">
      <c r="A1404">
        <v>202111</v>
      </c>
      <c r="B1404" s="1">
        <v>44501</v>
      </c>
      <c r="C1404">
        <v>2021</v>
      </c>
      <c r="D1404" t="s">
        <v>18</v>
      </c>
      <c r="E1404" t="s">
        <v>20</v>
      </c>
      <c r="F1404" t="s">
        <v>40</v>
      </c>
      <c r="G1404" t="s">
        <v>8</v>
      </c>
      <c r="H1404">
        <v>41.38</v>
      </c>
    </row>
    <row r="1405" spans="1:8" x14ac:dyDescent="0.3">
      <c r="A1405">
        <v>202112</v>
      </c>
      <c r="B1405" s="1">
        <v>44531</v>
      </c>
      <c r="C1405">
        <v>2021</v>
      </c>
      <c r="D1405" t="s">
        <v>19</v>
      </c>
      <c r="E1405" t="s">
        <v>20</v>
      </c>
      <c r="F1405" t="s">
        <v>40</v>
      </c>
      <c r="G1405" t="s">
        <v>8</v>
      </c>
      <c r="H1405">
        <v>48.3</v>
      </c>
    </row>
    <row r="1406" spans="1:8" x14ac:dyDescent="0.3">
      <c r="A1406">
        <v>202101</v>
      </c>
      <c r="B1406" s="1">
        <v>44197</v>
      </c>
      <c r="C1406">
        <v>2021</v>
      </c>
      <c r="D1406" t="s">
        <v>6</v>
      </c>
      <c r="E1406" t="s">
        <v>20</v>
      </c>
      <c r="F1406" t="s">
        <v>40</v>
      </c>
      <c r="G1406" t="s">
        <v>8</v>
      </c>
      <c r="H1406">
        <v>81.430000000000007</v>
      </c>
    </row>
    <row r="1407" spans="1:8" x14ac:dyDescent="0.3">
      <c r="A1407">
        <v>202102</v>
      </c>
      <c r="B1407" s="1">
        <v>44228</v>
      </c>
      <c r="C1407">
        <v>2021</v>
      </c>
      <c r="D1407" t="s">
        <v>9</v>
      </c>
      <c r="E1407" t="s">
        <v>20</v>
      </c>
      <c r="F1407" t="s">
        <v>40</v>
      </c>
      <c r="G1407" t="s">
        <v>8</v>
      </c>
      <c r="H1407">
        <v>44.48</v>
      </c>
    </row>
    <row r="1408" spans="1:8" x14ac:dyDescent="0.3">
      <c r="A1408">
        <v>202103</v>
      </c>
      <c r="B1408" s="1">
        <v>44256</v>
      </c>
      <c r="C1408">
        <v>2021</v>
      </c>
      <c r="D1408" t="s">
        <v>10</v>
      </c>
      <c r="E1408" t="s">
        <v>20</v>
      </c>
      <c r="F1408" t="s">
        <v>40</v>
      </c>
      <c r="G1408" t="s">
        <v>8</v>
      </c>
      <c r="H1408">
        <v>44.27</v>
      </c>
    </row>
    <row r="1409" spans="1:8" x14ac:dyDescent="0.3">
      <c r="A1409">
        <v>202104</v>
      </c>
      <c r="B1409" s="1">
        <v>44287</v>
      </c>
      <c r="C1409">
        <v>2021</v>
      </c>
      <c r="D1409" t="s">
        <v>11</v>
      </c>
      <c r="E1409" t="s">
        <v>20</v>
      </c>
      <c r="F1409" t="s">
        <v>40</v>
      </c>
      <c r="G1409" t="s">
        <v>8</v>
      </c>
      <c r="H1409">
        <v>64.290000000000006</v>
      </c>
    </row>
    <row r="1410" spans="1:8" x14ac:dyDescent="0.3">
      <c r="A1410">
        <v>202105</v>
      </c>
      <c r="B1410" s="1">
        <v>44317</v>
      </c>
      <c r="C1410">
        <v>2021</v>
      </c>
      <c r="D1410" t="s">
        <v>12</v>
      </c>
      <c r="E1410" t="s">
        <v>20</v>
      </c>
      <c r="F1410" t="s">
        <v>40</v>
      </c>
      <c r="G1410" t="s">
        <v>8</v>
      </c>
      <c r="H1410">
        <v>59.62</v>
      </c>
    </row>
    <row r="1411" spans="1:8" x14ac:dyDescent="0.3">
      <c r="A1411">
        <v>202106</v>
      </c>
      <c r="B1411" s="1">
        <v>44348</v>
      </c>
      <c r="C1411">
        <v>2021</v>
      </c>
      <c r="D1411" t="s">
        <v>13</v>
      </c>
      <c r="E1411" t="s">
        <v>20</v>
      </c>
      <c r="F1411" t="s">
        <v>40</v>
      </c>
      <c r="G1411" t="s">
        <v>8</v>
      </c>
      <c r="H1411">
        <v>68.02</v>
      </c>
    </row>
    <row r="1412" spans="1:8" x14ac:dyDescent="0.3">
      <c r="A1412">
        <v>202107</v>
      </c>
      <c r="B1412" s="1">
        <v>44378</v>
      </c>
      <c r="C1412">
        <v>2021</v>
      </c>
      <c r="D1412" t="s">
        <v>14</v>
      </c>
      <c r="E1412" t="s">
        <v>20</v>
      </c>
      <c r="F1412" t="s">
        <v>40</v>
      </c>
      <c r="G1412" t="s">
        <v>8</v>
      </c>
      <c r="H1412">
        <v>58.53</v>
      </c>
    </row>
    <row r="1413" spans="1:8" x14ac:dyDescent="0.3">
      <c r="A1413">
        <v>202108</v>
      </c>
      <c r="B1413" s="1">
        <v>44409</v>
      </c>
      <c r="C1413">
        <v>2021</v>
      </c>
      <c r="D1413" t="s">
        <v>15</v>
      </c>
      <c r="E1413" t="s">
        <v>20</v>
      </c>
      <c r="F1413" t="s">
        <v>40</v>
      </c>
      <c r="G1413" t="s">
        <v>8</v>
      </c>
      <c r="H1413">
        <v>60.77</v>
      </c>
    </row>
    <row r="1414" spans="1:8" x14ac:dyDescent="0.3">
      <c r="A1414">
        <v>202109</v>
      </c>
      <c r="B1414" s="1">
        <v>44440</v>
      </c>
      <c r="C1414">
        <v>2021</v>
      </c>
      <c r="D1414" t="s">
        <v>16</v>
      </c>
      <c r="E1414" t="s">
        <v>20</v>
      </c>
      <c r="F1414" t="s">
        <v>40</v>
      </c>
      <c r="G1414" t="s">
        <v>8</v>
      </c>
      <c r="H1414">
        <v>56.98</v>
      </c>
    </row>
    <row r="1415" spans="1:8" x14ac:dyDescent="0.3">
      <c r="A1415">
        <v>202110</v>
      </c>
      <c r="B1415" s="1">
        <v>44470</v>
      </c>
      <c r="C1415">
        <v>2021</v>
      </c>
      <c r="D1415" t="s">
        <v>17</v>
      </c>
      <c r="E1415" t="s">
        <v>20</v>
      </c>
      <c r="F1415" t="s">
        <v>40</v>
      </c>
      <c r="G1415" t="s">
        <v>8</v>
      </c>
      <c r="H1415">
        <v>66.8</v>
      </c>
    </row>
    <row r="1416" spans="1:8" x14ac:dyDescent="0.3">
      <c r="A1416">
        <v>202111</v>
      </c>
      <c r="B1416" s="1">
        <v>44501</v>
      </c>
      <c r="C1416">
        <v>2021</v>
      </c>
      <c r="D1416" t="s">
        <v>18</v>
      </c>
      <c r="E1416" t="s">
        <v>20</v>
      </c>
      <c r="F1416" t="s">
        <v>40</v>
      </c>
      <c r="G1416" t="s">
        <v>8</v>
      </c>
      <c r="H1416">
        <v>59.93</v>
      </c>
    </row>
    <row r="1417" spans="1:8" x14ac:dyDescent="0.3">
      <c r="A1417">
        <v>202112</v>
      </c>
      <c r="B1417" s="1">
        <v>44531</v>
      </c>
      <c r="C1417">
        <v>2021</v>
      </c>
      <c r="D1417" t="s">
        <v>19</v>
      </c>
      <c r="E1417" t="s">
        <v>20</v>
      </c>
      <c r="F1417" t="s">
        <v>40</v>
      </c>
      <c r="G1417" t="s">
        <v>8</v>
      </c>
      <c r="H1417">
        <v>68.31</v>
      </c>
    </row>
    <row r="1418" spans="1:8" x14ac:dyDescent="0.3">
      <c r="A1418">
        <v>202101</v>
      </c>
      <c r="B1418" s="1">
        <v>44197</v>
      </c>
      <c r="C1418">
        <v>2021</v>
      </c>
      <c r="D1418" t="s">
        <v>6</v>
      </c>
      <c r="E1418" t="s">
        <v>20</v>
      </c>
      <c r="F1418" t="s">
        <v>40</v>
      </c>
      <c r="G1418" t="s">
        <v>8</v>
      </c>
      <c r="H1418">
        <v>97.3</v>
      </c>
    </row>
    <row r="1419" spans="1:8" x14ac:dyDescent="0.3">
      <c r="A1419">
        <v>202102</v>
      </c>
      <c r="B1419" s="1">
        <v>44228</v>
      </c>
      <c r="C1419">
        <v>2021</v>
      </c>
      <c r="D1419" t="s">
        <v>9</v>
      </c>
      <c r="E1419" t="s">
        <v>20</v>
      </c>
      <c r="F1419" t="s">
        <v>40</v>
      </c>
      <c r="G1419" t="s">
        <v>8</v>
      </c>
      <c r="H1419">
        <v>73.52</v>
      </c>
    </row>
    <row r="1420" spans="1:8" x14ac:dyDescent="0.3">
      <c r="A1420">
        <v>202103</v>
      </c>
      <c r="B1420" s="1">
        <v>44256</v>
      </c>
      <c r="C1420">
        <v>2021</v>
      </c>
      <c r="D1420" t="s">
        <v>10</v>
      </c>
      <c r="E1420" t="s">
        <v>20</v>
      </c>
      <c r="F1420" t="s">
        <v>40</v>
      </c>
      <c r="G1420" t="s">
        <v>8</v>
      </c>
      <c r="H1420">
        <v>84.84</v>
      </c>
    </row>
    <row r="1421" spans="1:8" x14ac:dyDescent="0.3">
      <c r="A1421">
        <v>202104</v>
      </c>
      <c r="B1421" s="1">
        <v>44287</v>
      </c>
      <c r="C1421">
        <v>2021</v>
      </c>
      <c r="D1421" t="s">
        <v>11</v>
      </c>
      <c r="E1421" t="s">
        <v>20</v>
      </c>
      <c r="F1421" t="s">
        <v>40</v>
      </c>
      <c r="G1421" t="s">
        <v>8</v>
      </c>
      <c r="H1421">
        <v>104.94</v>
      </c>
    </row>
    <row r="1422" spans="1:8" x14ac:dyDescent="0.3">
      <c r="A1422">
        <v>202105</v>
      </c>
      <c r="B1422" s="1">
        <v>44317</v>
      </c>
      <c r="C1422">
        <v>2021</v>
      </c>
      <c r="D1422" t="s">
        <v>12</v>
      </c>
      <c r="E1422" t="s">
        <v>20</v>
      </c>
      <c r="F1422" t="s">
        <v>40</v>
      </c>
      <c r="G1422" t="s">
        <v>8</v>
      </c>
      <c r="H1422">
        <v>67.459999999999994</v>
      </c>
    </row>
    <row r="1423" spans="1:8" x14ac:dyDescent="0.3">
      <c r="A1423">
        <v>202106</v>
      </c>
      <c r="B1423" s="1">
        <v>44348</v>
      </c>
      <c r="C1423">
        <v>2021</v>
      </c>
      <c r="D1423" t="s">
        <v>13</v>
      </c>
      <c r="E1423" t="s">
        <v>20</v>
      </c>
      <c r="F1423" t="s">
        <v>40</v>
      </c>
      <c r="G1423" t="s">
        <v>8</v>
      </c>
      <c r="H1423">
        <v>79.64</v>
      </c>
    </row>
    <row r="1424" spans="1:8" x14ac:dyDescent="0.3">
      <c r="A1424">
        <v>202107</v>
      </c>
      <c r="B1424" s="1">
        <v>44378</v>
      </c>
      <c r="C1424">
        <v>2021</v>
      </c>
      <c r="D1424" t="s">
        <v>14</v>
      </c>
      <c r="E1424" t="s">
        <v>20</v>
      </c>
      <c r="F1424" t="s">
        <v>40</v>
      </c>
      <c r="G1424" t="s">
        <v>8</v>
      </c>
      <c r="H1424">
        <v>108.24</v>
      </c>
    </row>
    <row r="1425" spans="1:8" x14ac:dyDescent="0.3">
      <c r="A1425">
        <v>202108</v>
      </c>
      <c r="B1425" s="1">
        <v>44409</v>
      </c>
      <c r="C1425">
        <v>2021</v>
      </c>
      <c r="D1425" t="s">
        <v>15</v>
      </c>
      <c r="E1425" t="s">
        <v>20</v>
      </c>
      <c r="F1425" t="s">
        <v>40</v>
      </c>
      <c r="G1425" t="s">
        <v>8</v>
      </c>
      <c r="H1425">
        <v>71.66</v>
      </c>
    </row>
    <row r="1426" spans="1:8" x14ac:dyDescent="0.3">
      <c r="A1426">
        <v>202109</v>
      </c>
      <c r="B1426" s="1">
        <v>44440</v>
      </c>
      <c r="C1426">
        <v>2021</v>
      </c>
      <c r="D1426" t="s">
        <v>16</v>
      </c>
      <c r="E1426" t="s">
        <v>20</v>
      </c>
      <c r="F1426" t="s">
        <v>40</v>
      </c>
      <c r="G1426" t="s">
        <v>8</v>
      </c>
      <c r="H1426">
        <v>75.680000000000007</v>
      </c>
    </row>
    <row r="1427" spans="1:8" x14ac:dyDescent="0.3">
      <c r="A1427">
        <v>202110</v>
      </c>
      <c r="B1427" s="1">
        <v>44470</v>
      </c>
      <c r="C1427">
        <v>2021</v>
      </c>
      <c r="D1427" t="s">
        <v>17</v>
      </c>
      <c r="E1427" t="s">
        <v>20</v>
      </c>
      <c r="F1427" t="s">
        <v>40</v>
      </c>
      <c r="G1427" t="s">
        <v>8</v>
      </c>
      <c r="H1427">
        <v>84.98</v>
      </c>
    </row>
    <row r="1428" spans="1:8" x14ac:dyDescent="0.3">
      <c r="A1428">
        <v>202111</v>
      </c>
      <c r="B1428" s="1">
        <v>44501</v>
      </c>
      <c r="C1428">
        <v>2021</v>
      </c>
      <c r="D1428" t="s">
        <v>18</v>
      </c>
      <c r="E1428" t="s">
        <v>20</v>
      </c>
      <c r="F1428" t="s">
        <v>40</v>
      </c>
      <c r="G1428" t="s">
        <v>8</v>
      </c>
      <c r="H1428">
        <v>95.98</v>
      </c>
    </row>
    <row r="1429" spans="1:8" x14ac:dyDescent="0.3">
      <c r="A1429">
        <v>202112</v>
      </c>
      <c r="B1429" s="1">
        <v>44531</v>
      </c>
      <c r="C1429">
        <v>2021</v>
      </c>
      <c r="D1429" t="s">
        <v>19</v>
      </c>
      <c r="E1429" t="s">
        <v>20</v>
      </c>
      <c r="F1429" t="s">
        <v>40</v>
      </c>
      <c r="G1429" t="s">
        <v>8</v>
      </c>
      <c r="H1429">
        <v>117.69</v>
      </c>
    </row>
    <row r="1430" spans="1:8" x14ac:dyDescent="0.3">
      <c r="A1430">
        <v>202101</v>
      </c>
      <c r="B1430" s="1">
        <v>44197</v>
      </c>
      <c r="C1430">
        <v>2021</v>
      </c>
      <c r="D1430" t="s">
        <v>6</v>
      </c>
      <c r="E1430" t="s">
        <v>20</v>
      </c>
      <c r="F1430" t="s">
        <v>40</v>
      </c>
      <c r="G1430" t="s">
        <v>8</v>
      </c>
      <c r="H1430">
        <v>53.66</v>
      </c>
    </row>
    <row r="1431" spans="1:8" x14ac:dyDescent="0.3">
      <c r="A1431">
        <v>202102</v>
      </c>
      <c r="B1431" s="1">
        <v>44228</v>
      </c>
      <c r="C1431">
        <v>2021</v>
      </c>
      <c r="D1431" t="s">
        <v>9</v>
      </c>
      <c r="E1431" t="s">
        <v>20</v>
      </c>
      <c r="F1431" t="s">
        <v>40</v>
      </c>
      <c r="G1431" t="s">
        <v>8</v>
      </c>
      <c r="H1431">
        <v>24.16</v>
      </c>
    </row>
    <row r="1432" spans="1:8" x14ac:dyDescent="0.3">
      <c r="A1432">
        <v>202103</v>
      </c>
      <c r="B1432" s="1">
        <v>44256</v>
      </c>
      <c r="C1432">
        <v>2021</v>
      </c>
      <c r="D1432" t="s">
        <v>10</v>
      </c>
      <c r="E1432" t="s">
        <v>20</v>
      </c>
      <c r="F1432" t="s">
        <v>40</v>
      </c>
      <c r="G1432" t="s">
        <v>8</v>
      </c>
      <c r="H1432">
        <v>25.62</v>
      </c>
    </row>
    <row r="1433" spans="1:8" x14ac:dyDescent="0.3">
      <c r="A1433">
        <v>202104</v>
      </c>
      <c r="B1433" s="1">
        <v>44287</v>
      </c>
      <c r="C1433">
        <v>2021</v>
      </c>
      <c r="D1433" t="s">
        <v>11</v>
      </c>
      <c r="E1433" t="s">
        <v>20</v>
      </c>
      <c r="F1433" t="s">
        <v>40</v>
      </c>
      <c r="G1433" t="s">
        <v>8</v>
      </c>
      <c r="H1433">
        <v>27.22</v>
      </c>
    </row>
    <row r="1434" spans="1:8" x14ac:dyDescent="0.3">
      <c r="A1434">
        <v>202105</v>
      </c>
      <c r="B1434" s="1">
        <v>44317</v>
      </c>
      <c r="C1434">
        <v>2021</v>
      </c>
      <c r="D1434" t="s">
        <v>12</v>
      </c>
      <c r="E1434" t="s">
        <v>20</v>
      </c>
      <c r="F1434" t="s">
        <v>40</v>
      </c>
      <c r="G1434" t="s">
        <v>8</v>
      </c>
      <c r="H1434">
        <v>25.38</v>
      </c>
    </row>
    <row r="1435" spans="1:8" x14ac:dyDescent="0.3">
      <c r="A1435">
        <v>202106</v>
      </c>
      <c r="B1435" s="1">
        <v>44348</v>
      </c>
      <c r="C1435">
        <v>2021</v>
      </c>
      <c r="D1435" t="s">
        <v>13</v>
      </c>
      <c r="E1435" t="s">
        <v>20</v>
      </c>
      <c r="F1435" t="s">
        <v>40</v>
      </c>
      <c r="G1435" t="s">
        <v>8</v>
      </c>
      <c r="H1435">
        <v>33.07</v>
      </c>
    </row>
    <row r="1436" spans="1:8" x14ac:dyDescent="0.3">
      <c r="A1436">
        <v>202107</v>
      </c>
      <c r="B1436" s="1">
        <v>44378</v>
      </c>
      <c r="C1436">
        <v>2021</v>
      </c>
      <c r="D1436" t="s">
        <v>14</v>
      </c>
      <c r="E1436" t="s">
        <v>20</v>
      </c>
      <c r="F1436" t="s">
        <v>40</v>
      </c>
      <c r="G1436" t="s">
        <v>8</v>
      </c>
      <c r="H1436">
        <v>32.76</v>
      </c>
    </row>
    <row r="1437" spans="1:8" x14ac:dyDescent="0.3">
      <c r="A1437">
        <v>202108</v>
      </c>
      <c r="B1437" s="1">
        <v>44409</v>
      </c>
      <c r="C1437">
        <v>2021</v>
      </c>
      <c r="D1437" t="s">
        <v>15</v>
      </c>
      <c r="E1437" t="s">
        <v>20</v>
      </c>
      <c r="F1437" t="s">
        <v>40</v>
      </c>
      <c r="G1437" t="s">
        <v>8</v>
      </c>
      <c r="H1437">
        <v>32.49</v>
      </c>
    </row>
    <row r="1438" spans="1:8" x14ac:dyDescent="0.3">
      <c r="A1438">
        <v>202109</v>
      </c>
      <c r="B1438" s="1">
        <v>44440</v>
      </c>
      <c r="C1438">
        <v>2021</v>
      </c>
      <c r="D1438" t="s">
        <v>16</v>
      </c>
      <c r="E1438" t="s">
        <v>20</v>
      </c>
      <c r="F1438" t="s">
        <v>40</v>
      </c>
      <c r="G1438" t="s">
        <v>8</v>
      </c>
      <c r="H1438">
        <v>29.68</v>
      </c>
    </row>
    <row r="1439" spans="1:8" x14ac:dyDescent="0.3">
      <c r="A1439">
        <v>202110</v>
      </c>
      <c r="B1439" s="1">
        <v>44470</v>
      </c>
      <c r="C1439">
        <v>2021</v>
      </c>
      <c r="D1439" t="s">
        <v>17</v>
      </c>
      <c r="E1439" t="s">
        <v>20</v>
      </c>
      <c r="F1439" t="s">
        <v>40</v>
      </c>
      <c r="G1439" t="s">
        <v>8</v>
      </c>
      <c r="H1439">
        <v>30.1</v>
      </c>
    </row>
    <row r="1440" spans="1:8" x14ac:dyDescent="0.3">
      <c r="A1440">
        <v>202111</v>
      </c>
      <c r="B1440" s="1">
        <v>44501</v>
      </c>
      <c r="C1440">
        <v>2021</v>
      </c>
      <c r="D1440" t="s">
        <v>18</v>
      </c>
      <c r="E1440" t="s">
        <v>20</v>
      </c>
      <c r="F1440" t="s">
        <v>40</v>
      </c>
      <c r="G1440" t="s">
        <v>8</v>
      </c>
      <c r="H1440">
        <v>37</v>
      </c>
    </row>
    <row r="1441" spans="1:8" x14ac:dyDescent="0.3">
      <c r="A1441">
        <v>202112</v>
      </c>
      <c r="B1441" s="1">
        <v>44531</v>
      </c>
      <c r="C1441">
        <v>2021</v>
      </c>
      <c r="D1441" t="s">
        <v>19</v>
      </c>
      <c r="E1441" t="s">
        <v>20</v>
      </c>
      <c r="F1441" t="s">
        <v>40</v>
      </c>
      <c r="G1441" t="s">
        <v>8</v>
      </c>
      <c r="H1441">
        <v>30.57</v>
      </c>
    </row>
    <row r="1442" spans="1:8" x14ac:dyDescent="0.3">
      <c r="A1442">
        <v>202101</v>
      </c>
      <c r="B1442" s="1">
        <v>44197</v>
      </c>
      <c r="C1442">
        <v>2021</v>
      </c>
      <c r="D1442" t="s">
        <v>6</v>
      </c>
      <c r="E1442" t="s">
        <v>20</v>
      </c>
      <c r="F1442" t="s">
        <v>40</v>
      </c>
      <c r="G1442" t="s">
        <v>8</v>
      </c>
      <c r="H1442">
        <v>47.88</v>
      </c>
    </row>
    <row r="1443" spans="1:8" x14ac:dyDescent="0.3">
      <c r="A1443">
        <v>202102</v>
      </c>
      <c r="B1443" s="1">
        <v>44228</v>
      </c>
      <c r="C1443">
        <v>2021</v>
      </c>
      <c r="D1443" t="s">
        <v>9</v>
      </c>
      <c r="E1443" t="s">
        <v>20</v>
      </c>
      <c r="F1443" t="s">
        <v>40</v>
      </c>
      <c r="G1443" t="s">
        <v>8</v>
      </c>
      <c r="H1443">
        <v>17.75</v>
      </c>
    </row>
    <row r="1444" spans="1:8" x14ac:dyDescent="0.3">
      <c r="A1444">
        <v>202103</v>
      </c>
      <c r="B1444" s="1">
        <v>44256</v>
      </c>
      <c r="C1444">
        <v>2021</v>
      </c>
      <c r="D1444" t="s">
        <v>10</v>
      </c>
      <c r="E1444" t="s">
        <v>20</v>
      </c>
      <c r="F1444" t="s">
        <v>40</v>
      </c>
      <c r="G1444" t="s">
        <v>8</v>
      </c>
      <c r="H1444">
        <v>19.97</v>
      </c>
    </row>
    <row r="1445" spans="1:8" x14ac:dyDescent="0.3">
      <c r="A1445">
        <v>202104</v>
      </c>
      <c r="B1445" s="1">
        <v>44287</v>
      </c>
      <c r="C1445">
        <v>2021</v>
      </c>
      <c r="D1445" t="s">
        <v>11</v>
      </c>
      <c r="E1445" t="s">
        <v>20</v>
      </c>
      <c r="F1445" t="s">
        <v>40</v>
      </c>
      <c r="G1445" t="s">
        <v>8</v>
      </c>
      <c r="H1445">
        <v>40.14</v>
      </c>
    </row>
    <row r="1446" spans="1:8" x14ac:dyDescent="0.3">
      <c r="A1446">
        <v>202105</v>
      </c>
      <c r="B1446" s="1">
        <v>44317</v>
      </c>
      <c r="C1446">
        <v>2021</v>
      </c>
      <c r="D1446" t="s">
        <v>12</v>
      </c>
      <c r="E1446" t="s">
        <v>20</v>
      </c>
      <c r="F1446" t="s">
        <v>40</v>
      </c>
      <c r="G1446" t="s">
        <v>8</v>
      </c>
      <c r="H1446">
        <v>18.170000000000002</v>
      </c>
    </row>
    <row r="1447" spans="1:8" x14ac:dyDescent="0.3">
      <c r="A1447">
        <v>202106</v>
      </c>
      <c r="B1447" s="1">
        <v>44348</v>
      </c>
      <c r="C1447">
        <v>2021</v>
      </c>
      <c r="D1447" t="s">
        <v>13</v>
      </c>
      <c r="E1447" t="s">
        <v>20</v>
      </c>
      <c r="F1447" t="s">
        <v>40</v>
      </c>
      <c r="G1447" t="s">
        <v>8</v>
      </c>
      <c r="H1447">
        <v>29.4</v>
      </c>
    </row>
    <row r="1448" spans="1:8" x14ac:dyDescent="0.3">
      <c r="A1448">
        <v>202107</v>
      </c>
      <c r="B1448" s="1">
        <v>44378</v>
      </c>
      <c r="C1448">
        <v>2021</v>
      </c>
      <c r="D1448" t="s">
        <v>14</v>
      </c>
      <c r="E1448" t="s">
        <v>20</v>
      </c>
      <c r="F1448" t="s">
        <v>40</v>
      </c>
      <c r="G1448" t="s">
        <v>8</v>
      </c>
      <c r="H1448">
        <v>36.090000000000003</v>
      </c>
    </row>
    <row r="1449" spans="1:8" x14ac:dyDescent="0.3">
      <c r="A1449">
        <v>202108</v>
      </c>
      <c r="B1449" s="1">
        <v>44409</v>
      </c>
      <c r="C1449">
        <v>2021</v>
      </c>
      <c r="D1449" t="s">
        <v>15</v>
      </c>
      <c r="E1449" t="s">
        <v>20</v>
      </c>
      <c r="F1449" t="s">
        <v>40</v>
      </c>
      <c r="G1449" t="s">
        <v>8</v>
      </c>
      <c r="H1449">
        <v>29.48</v>
      </c>
    </row>
    <row r="1450" spans="1:8" x14ac:dyDescent="0.3">
      <c r="A1450">
        <v>202109</v>
      </c>
      <c r="B1450" s="1">
        <v>44440</v>
      </c>
      <c r="C1450">
        <v>2021</v>
      </c>
      <c r="D1450" t="s">
        <v>16</v>
      </c>
      <c r="E1450" t="s">
        <v>20</v>
      </c>
      <c r="F1450" t="s">
        <v>40</v>
      </c>
      <c r="G1450" t="s">
        <v>8</v>
      </c>
      <c r="H1450">
        <v>30.58</v>
      </c>
    </row>
    <row r="1451" spans="1:8" x14ac:dyDescent="0.3">
      <c r="A1451">
        <v>202110</v>
      </c>
      <c r="B1451" s="1">
        <v>44470</v>
      </c>
      <c r="C1451">
        <v>2021</v>
      </c>
      <c r="D1451" t="s">
        <v>17</v>
      </c>
      <c r="E1451" t="s">
        <v>20</v>
      </c>
      <c r="F1451" t="s">
        <v>40</v>
      </c>
      <c r="G1451" t="s">
        <v>8</v>
      </c>
      <c r="H1451">
        <v>32.130000000000003</v>
      </c>
    </row>
    <row r="1452" spans="1:8" x14ac:dyDescent="0.3">
      <c r="A1452">
        <v>202111</v>
      </c>
      <c r="B1452" s="1">
        <v>44501</v>
      </c>
      <c r="C1452">
        <v>2021</v>
      </c>
      <c r="D1452" t="s">
        <v>18</v>
      </c>
      <c r="E1452" t="s">
        <v>20</v>
      </c>
      <c r="F1452" t="s">
        <v>40</v>
      </c>
      <c r="G1452" t="s">
        <v>8</v>
      </c>
      <c r="H1452">
        <v>33.19</v>
      </c>
    </row>
    <row r="1453" spans="1:8" x14ac:dyDescent="0.3">
      <c r="A1453">
        <v>202112</v>
      </c>
      <c r="B1453" s="1">
        <v>44531</v>
      </c>
      <c r="C1453">
        <v>2021</v>
      </c>
      <c r="D1453" t="s">
        <v>19</v>
      </c>
      <c r="E1453" t="s">
        <v>20</v>
      </c>
      <c r="F1453" t="s">
        <v>40</v>
      </c>
      <c r="G1453" t="s">
        <v>8</v>
      </c>
      <c r="H1453">
        <v>38.520000000000003</v>
      </c>
    </row>
    <row r="1454" spans="1:8" x14ac:dyDescent="0.3">
      <c r="A1454">
        <v>202101</v>
      </c>
      <c r="B1454" s="1">
        <v>44197</v>
      </c>
      <c r="C1454">
        <v>2021</v>
      </c>
      <c r="D1454" t="s">
        <v>6</v>
      </c>
      <c r="E1454" t="s">
        <v>20</v>
      </c>
      <c r="F1454" t="s">
        <v>40</v>
      </c>
      <c r="G1454" t="s">
        <v>8</v>
      </c>
      <c r="H1454">
        <v>237.67</v>
      </c>
    </row>
    <row r="1455" spans="1:8" x14ac:dyDescent="0.3">
      <c r="A1455">
        <v>202102</v>
      </c>
      <c r="B1455" s="1">
        <v>44228</v>
      </c>
      <c r="C1455">
        <v>2021</v>
      </c>
      <c r="D1455" t="s">
        <v>9</v>
      </c>
      <c r="E1455" t="s">
        <v>20</v>
      </c>
      <c r="F1455" t="s">
        <v>40</v>
      </c>
      <c r="G1455" t="s">
        <v>8</v>
      </c>
      <c r="H1455">
        <v>182.56</v>
      </c>
    </row>
    <row r="1456" spans="1:8" x14ac:dyDescent="0.3">
      <c r="A1456">
        <v>202103</v>
      </c>
      <c r="B1456" s="1">
        <v>44256</v>
      </c>
      <c r="C1456">
        <v>2021</v>
      </c>
      <c r="D1456" t="s">
        <v>10</v>
      </c>
      <c r="E1456" t="s">
        <v>20</v>
      </c>
      <c r="F1456" t="s">
        <v>40</v>
      </c>
      <c r="G1456" t="s">
        <v>8</v>
      </c>
      <c r="H1456">
        <v>189.26</v>
      </c>
    </row>
    <row r="1457" spans="1:8" x14ac:dyDescent="0.3">
      <c r="A1457">
        <v>202104</v>
      </c>
      <c r="B1457" s="1">
        <v>44287</v>
      </c>
      <c r="C1457">
        <v>2021</v>
      </c>
      <c r="D1457" t="s">
        <v>11</v>
      </c>
      <c r="E1457" t="s">
        <v>20</v>
      </c>
      <c r="F1457" t="s">
        <v>40</v>
      </c>
      <c r="G1457" t="s">
        <v>8</v>
      </c>
      <c r="H1457">
        <v>298</v>
      </c>
    </row>
    <row r="1458" spans="1:8" x14ac:dyDescent="0.3">
      <c r="A1458">
        <v>202105</v>
      </c>
      <c r="B1458" s="1">
        <v>44317</v>
      </c>
      <c r="C1458">
        <v>2021</v>
      </c>
      <c r="D1458" t="s">
        <v>12</v>
      </c>
      <c r="E1458" t="s">
        <v>20</v>
      </c>
      <c r="F1458" t="s">
        <v>40</v>
      </c>
      <c r="G1458" t="s">
        <v>8</v>
      </c>
      <c r="H1458">
        <v>228.73</v>
      </c>
    </row>
    <row r="1459" spans="1:8" x14ac:dyDescent="0.3">
      <c r="A1459">
        <v>202106</v>
      </c>
      <c r="B1459" s="1">
        <v>44348</v>
      </c>
      <c r="C1459">
        <v>2021</v>
      </c>
      <c r="D1459" t="s">
        <v>13</v>
      </c>
      <c r="E1459" t="s">
        <v>20</v>
      </c>
      <c r="F1459" t="s">
        <v>40</v>
      </c>
      <c r="G1459" t="s">
        <v>8</v>
      </c>
      <c r="H1459">
        <v>253.79</v>
      </c>
    </row>
    <row r="1460" spans="1:8" x14ac:dyDescent="0.3">
      <c r="A1460">
        <v>202107</v>
      </c>
      <c r="B1460" s="1">
        <v>44378</v>
      </c>
      <c r="C1460">
        <v>2021</v>
      </c>
      <c r="D1460" t="s">
        <v>14</v>
      </c>
      <c r="E1460" t="s">
        <v>20</v>
      </c>
      <c r="F1460" t="s">
        <v>40</v>
      </c>
      <c r="G1460" t="s">
        <v>8</v>
      </c>
      <c r="H1460">
        <v>233.71</v>
      </c>
    </row>
    <row r="1461" spans="1:8" x14ac:dyDescent="0.3">
      <c r="A1461">
        <v>202108</v>
      </c>
      <c r="B1461" s="1">
        <v>44409</v>
      </c>
      <c r="C1461">
        <v>2021</v>
      </c>
      <c r="D1461" t="s">
        <v>15</v>
      </c>
      <c r="E1461" t="s">
        <v>20</v>
      </c>
      <c r="F1461" t="s">
        <v>40</v>
      </c>
      <c r="G1461" t="s">
        <v>8</v>
      </c>
      <c r="H1461">
        <v>254.6</v>
      </c>
    </row>
    <row r="1462" spans="1:8" x14ac:dyDescent="0.3">
      <c r="A1462">
        <v>202109</v>
      </c>
      <c r="B1462" s="1">
        <v>44440</v>
      </c>
      <c r="C1462">
        <v>2021</v>
      </c>
      <c r="D1462" t="s">
        <v>16</v>
      </c>
      <c r="E1462" t="s">
        <v>20</v>
      </c>
      <c r="F1462" t="s">
        <v>40</v>
      </c>
      <c r="G1462" t="s">
        <v>8</v>
      </c>
      <c r="H1462">
        <v>207.78</v>
      </c>
    </row>
    <row r="1463" spans="1:8" x14ac:dyDescent="0.3">
      <c r="A1463">
        <v>202110</v>
      </c>
      <c r="B1463" s="1">
        <v>44470</v>
      </c>
      <c r="C1463">
        <v>2021</v>
      </c>
      <c r="D1463" t="s">
        <v>17</v>
      </c>
      <c r="E1463" t="s">
        <v>20</v>
      </c>
      <c r="F1463" t="s">
        <v>40</v>
      </c>
      <c r="G1463" t="s">
        <v>8</v>
      </c>
      <c r="H1463">
        <v>284.41000000000003</v>
      </c>
    </row>
    <row r="1464" spans="1:8" x14ac:dyDescent="0.3">
      <c r="A1464">
        <v>202111</v>
      </c>
      <c r="B1464" s="1">
        <v>44501</v>
      </c>
      <c r="C1464">
        <v>2021</v>
      </c>
      <c r="D1464" t="s">
        <v>18</v>
      </c>
      <c r="E1464" t="s">
        <v>20</v>
      </c>
      <c r="F1464" t="s">
        <v>40</v>
      </c>
      <c r="G1464" t="s">
        <v>8</v>
      </c>
      <c r="H1464">
        <v>294.19</v>
      </c>
    </row>
    <row r="1465" spans="1:8" x14ac:dyDescent="0.3">
      <c r="A1465">
        <v>202112</v>
      </c>
      <c r="B1465" s="1">
        <v>44531</v>
      </c>
      <c r="C1465">
        <v>2021</v>
      </c>
      <c r="D1465" t="s">
        <v>19</v>
      </c>
      <c r="E1465" t="s">
        <v>20</v>
      </c>
      <c r="F1465" t="s">
        <v>40</v>
      </c>
      <c r="G1465" t="s">
        <v>8</v>
      </c>
      <c r="H1465">
        <v>268.77999999999997</v>
      </c>
    </row>
    <row r="1466" spans="1:8" x14ac:dyDescent="0.3">
      <c r="A1466">
        <v>202101</v>
      </c>
      <c r="B1466" s="1">
        <v>44197</v>
      </c>
      <c r="C1466">
        <v>2021</v>
      </c>
      <c r="D1466" t="s">
        <v>6</v>
      </c>
      <c r="E1466" t="s">
        <v>21</v>
      </c>
      <c r="F1466" t="s">
        <v>40</v>
      </c>
      <c r="G1466" t="s">
        <v>8</v>
      </c>
      <c r="H1466">
        <v>223.5</v>
      </c>
    </row>
    <row r="1467" spans="1:8" x14ac:dyDescent="0.3">
      <c r="A1467">
        <v>202102</v>
      </c>
      <c r="B1467" s="1">
        <v>44228</v>
      </c>
      <c r="C1467">
        <v>2021</v>
      </c>
      <c r="D1467" t="s">
        <v>9</v>
      </c>
      <c r="E1467" t="s">
        <v>21</v>
      </c>
      <c r="F1467" t="s">
        <v>40</v>
      </c>
      <c r="G1467" t="s">
        <v>8</v>
      </c>
      <c r="H1467">
        <v>118.77</v>
      </c>
    </row>
    <row r="1468" spans="1:8" x14ac:dyDescent="0.3">
      <c r="A1468">
        <v>202103</v>
      </c>
      <c r="B1468" s="1">
        <v>44256</v>
      </c>
      <c r="C1468">
        <v>2021</v>
      </c>
      <c r="D1468" t="s">
        <v>10</v>
      </c>
      <c r="E1468" t="s">
        <v>21</v>
      </c>
      <c r="F1468" t="s">
        <v>40</v>
      </c>
      <c r="G1468" t="s">
        <v>8</v>
      </c>
      <c r="H1468">
        <v>132.72</v>
      </c>
    </row>
    <row r="1469" spans="1:8" x14ac:dyDescent="0.3">
      <c r="A1469">
        <v>202104</v>
      </c>
      <c r="B1469" s="1">
        <v>44287</v>
      </c>
      <c r="C1469">
        <v>2021</v>
      </c>
      <c r="D1469" t="s">
        <v>11</v>
      </c>
      <c r="E1469" t="s">
        <v>21</v>
      </c>
      <c r="F1469" t="s">
        <v>40</v>
      </c>
      <c r="G1469" t="s">
        <v>8</v>
      </c>
      <c r="H1469">
        <v>196.35</v>
      </c>
    </row>
    <row r="1470" spans="1:8" x14ac:dyDescent="0.3">
      <c r="A1470">
        <v>202105</v>
      </c>
      <c r="B1470" s="1">
        <v>44317</v>
      </c>
      <c r="C1470">
        <v>2021</v>
      </c>
      <c r="D1470" t="s">
        <v>12</v>
      </c>
      <c r="E1470" t="s">
        <v>21</v>
      </c>
      <c r="F1470" t="s">
        <v>40</v>
      </c>
      <c r="G1470" t="s">
        <v>8</v>
      </c>
      <c r="H1470">
        <v>130.13999999999999</v>
      </c>
    </row>
    <row r="1471" spans="1:8" x14ac:dyDescent="0.3">
      <c r="A1471">
        <v>202106</v>
      </c>
      <c r="B1471" s="1">
        <v>44348</v>
      </c>
      <c r="C1471">
        <v>2021</v>
      </c>
      <c r="D1471" t="s">
        <v>13</v>
      </c>
      <c r="E1471" t="s">
        <v>21</v>
      </c>
      <c r="F1471" t="s">
        <v>40</v>
      </c>
      <c r="G1471" t="s">
        <v>8</v>
      </c>
      <c r="H1471">
        <v>137.01</v>
      </c>
    </row>
    <row r="1472" spans="1:8" x14ac:dyDescent="0.3">
      <c r="A1472">
        <v>202107</v>
      </c>
      <c r="B1472" s="1">
        <v>44378</v>
      </c>
      <c r="C1472">
        <v>2021</v>
      </c>
      <c r="D1472" t="s">
        <v>14</v>
      </c>
      <c r="E1472" t="s">
        <v>21</v>
      </c>
      <c r="F1472" t="s">
        <v>40</v>
      </c>
      <c r="G1472" t="s">
        <v>8</v>
      </c>
      <c r="H1472">
        <v>157.26</v>
      </c>
    </row>
    <row r="1473" spans="1:8" x14ac:dyDescent="0.3">
      <c r="A1473">
        <v>202108</v>
      </c>
      <c r="B1473" s="1">
        <v>44409</v>
      </c>
      <c r="C1473">
        <v>2021</v>
      </c>
      <c r="D1473" t="s">
        <v>15</v>
      </c>
      <c r="E1473" t="s">
        <v>21</v>
      </c>
      <c r="F1473" t="s">
        <v>40</v>
      </c>
      <c r="G1473" t="s">
        <v>8</v>
      </c>
      <c r="H1473">
        <v>121.65</v>
      </c>
    </row>
    <row r="1474" spans="1:8" x14ac:dyDescent="0.3">
      <c r="A1474">
        <v>202109</v>
      </c>
      <c r="B1474" s="1">
        <v>44440</v>
      </c>
      <c r="C1474">
        <v>2021</v>
      </c>
      <c r="D1474" t="s">
        <v>16</v>
      </c>
      <c r="E1474" t="s">
        <v>21</v>
      </c>
      <c r="F1474" t="s">
        <v>40</v>
      </c>
      <c r="G1474" t="s">
        <v>8</v>
      </c>
      <c r="H1474">
        <v>127.97</v>
      </c>
    </row>
    <row r="1475" spans="1:8" x14ac:dyDescent="0.3">
      <c r="A1475">
        <v>202110</v>
      </c>
      <c r="B1475" s="1">
        <v>44470</v>
      </c>
      <c r="C1475">
        <v>2021</v>
      </c>
      <c r="D1475" t="s">
        <v>17</v>
      </c>
      <c r="E1475" t="s">
        <v>21</v>
      </c>
      <c r="F1475" t="s">
        <v>40</v>
      </c>
      <c r="G1475" t="s">
        <v>8</v>
      </c>
      <c r="H1475">
        <v>145.31</v>
      </c>
    </row>
    <row r="1476" spans="1:8" x14ac:dyDescent="0.3">
      <c r="A1476">
        <v>202111</v>
      </c>
      <c r="B1476" s="1">
        <v>44501</v>
      </c>
      <c r="C1476">
        <v>2021</v>
      </c>
      <c r="D1476" t="s">
        <v>18</v>
      </c>
      <c r="E1476" t="s">
        <v>21</v>
      </c>
      <c r="F1476" t="s">
        <v>40</v>
      </c>
      <c r="G1476" t="s">
        <v>8</v>
      </c>
      <c r="H1476">
        <v>145.54</v>
      </c>
    </row>
    <row r="1477" spans="1:8" x14ac:dyDescent="0.3">
      <c r="A1477">
        <v>202112</v>
      </c>
      <c r="B1477" s="1">
        <v>44531</v>
      </c>
      <c r="C1477">
        <v>2021</v>
      </c>
      <c r="D1477" t="s">
        <v>19</v>
      </c>
      <c r="E1477" t="s">
        <v>21</v>
      </c>
      <c r="F1477" t="s">
        <v>40</v>
      </c>
      <c r="G1477" t="s">
        <v>8</v>
      </c>
      <c r="H1477">
        <v>173.03</v>
      </c>
    </row>
    <row r="1478" spans="1:8" x14ac:dyDescent="0.3">
      <c r="A1478">
        <v>202101</v>
      </c>
      <c r="B1478" s="1">
        <v>44197</v>
      </c>
      <c r="C1478">
        <v>2021</v>
      </c>
      <c r="D1478" t="s">
        <v>6</v>
      </c>
      <c r="E1478" t="s">
        <v>21</v>
      </c>
      <c r="F1478" t="s">
        <v>40</v>
      </c>
      <c r="G1478" t="s">
        <v>8</v>
      </c>
      <c r="H1478">
        <v>242.67</v>
      </c>
    </row>
    <row r="1479" spans="1:8" x14ac:dyDescent="0.3">
      <c r="A1479">
        <v>202102</v>
      </c>
      <c r="B1479" s="1">
        <v>44228</v>
      </c>
      <c r="C1479">
        <v>2021</v>
      </c>
      <c r="D1479" t="s">
        <v>9</v>
      </c>
      <c r="E1479" t="s">
        <v>21</v>
      </c>
      <c r="F1479" t="s">
        <v>40</v>
      </c>
      <c r="G1479" t="s">
        <v>8</v>
      </c>
      <c r="H1479">
        <v>122.26</v>
      </c>
    </row>
    <row r="1480" spans="1:8" x14ac:dyDescent="0.3">
      <c r="A1480">
        <v>202103</v>
      </c>
      <c r="B1480" s="1">
        <v>44256</v>
      </c>
      <c r="C1480">
        <v>2021</v>
      </c>
      <c r="D1480" t="s">
        <v>10</v>
      </c>
      <c r="E1480" t="s">
        <v>21</v>
      </c>
      <c r="F1480" t="s">
        <v>40</v>
      </c>
      <c r="G1480" t="s">
        <v>8</v>
      </c>
      <c r="H1480">
        <v>134.77000000000001</v>
      </c>
    </row>
    <row r="1481" spans="1:8" x14ac:dyDescent="0.3">
      <c r="A1481">
        <v>202104</v>
      </c>
      <c r="B1481" s="1">
        <v>44287</v>
      </c>
      <c r="C1481">
        <v>2021</v>
      </c>
      <c r="D1481" t="s">
        <v>11</v>
      </c>
      <c r="E1481" t="s">
        <v>21</v>
      </c>
      <c r="F1481" t="s">
        <v>40</v>
      </c>
      <c r="G1481" t="s">
        <v>8</v>
      </c>
      <c r="H1481">
        <v>199.8</v>
      </c>
    </row>
    <row r="1482" spans="1:8" x14ac:dyDescent="0.3">
      <c r="A1482">
        <v>202105</v>
      </c>
      <c r="B1482" s="1">
        <v>44317</v>
      </c>
      <c r="C1482">
        <v>2021</v>
      </c>
      <c r="D1482" t="s">
        <v>12</v>
      </c>
      <c r="E1482" t="s">
        <v>21</v>
      </c>
      <c r="F1482" t="s">
        <v>40</v>
      </c>
      <c r="G1482" t="s">
        <v>8</v>
      </c>
      <c r="H1482">
        <v>155.91</v>
      </c>
    </row>
    <row r="1483" spans="1:8" x14ac:dyDescent="0.3">
      <c r="A1483">
        <v>202106</v>
      </c>
      <c r="B1483" s="1">
        <v>44348</v>
      </c>
      <c r="C1483">
        <v>2021</v>
      </c>
      <c r="D1483" t="s">
        <v>13</v>
      </c>
      <c r="E1483" t="s">
        <v>21</v>
      </c>
      <c r="F1483" t="s">
        <v>40</v>
      </c>
      <c r="G1483" t="s">
        <v>8</v>
      </c>
      <c r="H1483">
        <v>163.95</v>
      </c>
    </row>
    <row r="1484" spans="1:8" x14ac:dyDescent="0.3">
      <c r="A1484">
        <v>202107</v>
      </c>
      <c r="B1484" s="1">
        <v>44378</v>
      </c>
      <c r="C1484">
        <v>2021</v>
      </c>
      <c r="D1484" t="s">
        <v>14</v>
      </c>
      <c r="E1484" t="s">
        <v>21</v>
      </c>
      <c r="F1484" t="s">
        <v>40</v>
      </c>
      <c r="G1484" t="s">
        <v>8</v>
      </c>
      <c r="H1484">
        <v>181.24</v>
      </c>
    </row>
    <row r="1485" spans="1:8" x14ac:dyDescent="0.3">
      <c r="A1485">
        <v>202108</v>
      </c>
      <c r="B1485" s="1">
        <v>44409</v>
      </c>
      <c r="C1485">
        <v>2021</v>
      </c>
      <c r="D1485" t="s">
        <v>15</v>
      </c>
      <c r="E1485" t="s">
        <v>21</v>
      </c>
      <c r="F1485" t="s">
        <v>40</v>
      </c>
      <c r="G1485" t="s">
        <v>8</v>
      </c>
      <c r="H1485">
        <v>163.38</v>
      </c>
    </row>
    <row r="1486" spans="1:8" x14ac:dyDescent="0.3">
      <c r="A1486">
        <v>202109</v>
      </c>
      <c r="B1486" s="1">
        <v>44440</v>
      </c>
      <c r="C1486">
        <v>2021</v>
      </c>
      <c r="D1486" t="s">
        <v>16</v>
      </c>
      <c r="E1486" t="s">
        <v>21</v>
      </c>
      <c r="F1486" t="s">
        <v>40</v>
      </c>
      <c r="G1486" t="s">
        <v>8</v>
      </c>
      <c r="H1486">
        <v>149.22999999999999</v>
      </c>
    </row>
    <row r="1487" spans="1:8" x14ac:dyDescent="0.3">
      <c r="A1487">
        <v>202110</v>
      </c>
      <c r="B1487" s="1">
        <v>44470</v>
      </c>
      <c r="C1487">
        <v>2021</v>
      </c>
      <c r="D1487" t="s">
        <v>17</v>
      </c>
      <c r="E1487" t="s">
        <v>21</v>
      </c>
      <c r="F1487" t="s">
        <v>40</v>
      </c>
      <c r="G1487" t="s">
        <v>8</v>
      </c>
      <c r="H1487">
        <v>161.72</v>
      </c>
    </row>
    <row r="1488" spans="1:8" x14ac:dyDescent="0.3">
      <c r="A1488">
        <v>202111</v>
      </c>
      <c r="B1488" s="1">
        <v>44501</v>
      </c>
      <c r="C1488">
        <v>2021</v>
      </c>
      <c r="D1488" t="s">
        <v>18</v>
      </c>
      <c r="E1488" t="s">
        <v>21</v>
      </c>
      <c r="F1488" t="s">
        <v>40</v>
      </c>
      <c r="G1488" t="s">
        <v>8</v>
      </c>
      <c r="H1488">
        <v>155.19999999999999</v>
      </c>
    </row>
    <row r="1489" spans="1:8" x14ac:dyDescent="0.3">
      <c r="A1489">
        <v>202112</v>
      </c>
      <c r="B1489" s="1">
        <v>44531</v>
      </c>
      <c r="C1489">
        <v>2021</v>
      </c>
      <c r="D1489" t="s">
        <v>19</v>
      </c>
      <c r="E1489" t="s">
        <v>21</v>
      </c>
      <c r="F1489" t="s">
        <v>40</v>
      </c>
      <c r="G1489" t="s">
        <v>8</v>
      </c>
      <c r="H1489">
        <v>176.43</v>
      </c>
    </row>
    <row r="1490" spans="1:8" x14ac:dyDescent="0.3">
      <c r="A1490">
        <v>202101</v>
      </c>
      <c r="B1490" s="1">
        <v>44197</v>
      </c>
      <c r="C1490">
        <v>2021</v>
      </c>
      <c r="D1490" t="s">
        <v>6</v>
      </c>
      <c r="E1490" t="s">
        <v>21</v>
      </c>
      <c r="F1490" t="s">
        <v>40</v>
      </c>
      <c r="G1490" t="s">
        <v>8</v>
      </c>
      <c r="H1490">
        <v>283.70999999999998</v>
      </c>
    </row>
    <row r="1491" spans="1:8" x14ac:dyDescent="0.3">
      <c r="A1491">
        <v>202102</v>
      </c>
      <c r="B1491" s="1">
        <v>44228</v>
      </c>
      <c r="C1491">
        <v>2021</v>
      </c>
      <c r="D1491" t="s">
        <v>9</v>
      </c>
      <c r="E1491" t="s">
        <v>21</v>
      </c>
      <c r="F1491" t="s">
        <v>40</v>
      </c>
      <c r="G1491" t="s">
        <v>8</v>
      </c>
      <c r="H1491">
        <v>177.23</v>
      </c>
    </row>
    <row r="1492" spans="1:8" x14ac:dyDescent="0.3">
      <c r="A1492">
        <v>202103</v>
      </c>
      <c r="B1492" s="1">
        <v>44256</v>
      </c>
      <c r="C1492">
        <v>2021</v>
      </c>
      <c r="D1492" t="s">
        <v>10</v>
      </c>
      <c r="E1492" t="s">
        <v>21</v>
      </c>
      <c r="F1492" t="s">
        <v>40</v>
      </c>
      <c r="G1492" t="s">
        <v>8</v>
      </c>
      <c r="H1492">
        <v>200.62</v>
      </c>
    </row>
    <row r="1493" spans="1:8" x14ac:dyDescent="0.3">
      <c r="A1493">
        <v>202104</v>
      </c>
      <c r="B1493" s="1">
        <v>44287</v>
      </c>
      <c r="C1493">
        <v>2021</v>
      </c>
      <c r="D1493" t="s">
        <v>11</v>
      </c>
      <c r="E1493" t="s">
        <v>21</v>
      </c>
      <c r="F1493" t="s">
        <v>40</v>
      </c>
      <c r="G1493" t="s">
        <v>8</v>
      </c>
      <c r="H1493">
        <v>287.83</v>
      </c>
    </row>
    <row r="1494" spans="1:8" x14ac:dyDescent="0.3">
      <c r="A1494">
        <v>202105</v>
      </c>
      <c r="B1494" s="1">
        <v>44317</v>
      </c>
      <c r="C1494">
        <v>2021</v>
      </c>
      <c r="D1494" t="s">
        <v>12</v>
      </c>
      <c r="E1494" t="s">
        <v>21</v>
      </c>
      <c r="F1494" t="s">
        <v>40</v>
      </c>
      <c r="G1494" t="s">
        <v>8</v>
      </c>
      <c r="H1494">
        <v>256.52</v>
      </c>
    </row>
    <row r="1495" spans="1:8" x14ac:dyDescent="0.3">
      <c r="A1495">
        <v>202106</v>
      </c>
      <c r="B1495" s="1">
        <v>44348</v>
      </c>
      <c r="C1495">
        <v>2021</v>
      </c>
      <c r="D1495" t="s">
        <v>13</v>
      </c>
      <c r="E1495" t="s">
        <v>21</v>
      </c>
      <c r="F1495" t="s">
        <v>40</v>
      </c>
      <c r="G1495" t="s">
        <v>8</v>
      </c>
      <c r="H1495">
        <v>228.12</v>
      </c>
    </row>
    <row r="1496" spans="1:8" x14ac:dyDescent="0.3">
      <c r="A1496">
        <v>202107</v>
      </c>
      <c r="B1496" s="1">
        <v>44378</v>
      </c>
      <c r="C1496">
        <v>2021</v>
      </c>
      <c r="D1496" t="s">
        <v>14</v>
      </c>
      <c r="E1496" t="s">
        <v>21</v>
      </c>
      <c r="F1496" t="s">
        <v>40</v>
      </c>
      <c r="G1496" t="s">
        <v>8</v>
      </c>
      <c r="H1496">
        <v>228</v>
      </c>
    </row>
    <row r="1497" spans="1:8" x14ac:dyDescent="0.3">
      <c r="A1497">
        <v>202108</v>
      </c>
      <c r="B1497" s="1">
        <v>44409</v>
      </c>
      <c r="C1497">
        <v>2021</v>
      </c>
      <c r="D1497" t="s">
        <v>15</v>
      </c>
      <c r="E1497" t="s">
        <v>21</v>
      </c>
      <c r="F1497" t="s">
        <v>40</v>
      </c>
      <c r="G1497" t="s">
        <v>8</v>
      </c>
      <c r="H1497">
        <v>246.76</v>
      </c>
    </row>
    <row r="1498" spans="1:8" x14ac:dyDescent="0.3">
      <c r="A1498">
        <v>202109</v>
      </c>
      <c r="B1498" s="1">
        <v>44440</v>
      </c>
      <c r="C1498">
        <v>2021</v>
      </c>
      <c r="D1498" t="s">
        <v>16</v>
      </c>
      <c r="E1498" t="s">
        <v>21</v>
      </c>
      <c r="F1498" t="s">
        <v>40</v>
      </c>
      <c r="G1498" t="s">
        <v>8</v>
      </c>
      <c r="H1498">
        <v>228.49</v>
      </c>
    </row>
    <row r="1499" spans="1:8" x14ac:dyDescent="0.3">
      <c r="A1499">
        <v>202110</v>
      </c>
      <c r="B1499" s="1">
        <v>44470</v>
      </c>
      <c r="C1499">
        <v>2021</v>
      </c>
      <c r="D1499" t="s">
        <v>17</v>
      </c>
      <c r="E1499" t="s">
        <v>21</v>
      </c>
      <c r="F1499" t="s">
        <v>40</v>
      </c>
      <c r="G1499" t="s">
        <v>8</v>
      </c>
      <c r="H1499">
        <v>256.69</v>
      </c>
    </row>
    <row r="1500" spans="1:8" x14ac:dyDescent="0.3">
      <c r="A1500">
        <v>202111</v>
      </c>
      <c r="B1500" s="1">
        <v>44501</v>
      </c>
      <c r="C1500">
        <v>2021</v>
      </c>
      <c r="D1500" t="s">
        <v>18</v>
      </c>
      <c r="E1500" t="s">
        <v>21</v>
      </c>
      <c r="F1500" t="s">
        <v>40</v>
      </c>
      <c r="G1500" t="s">
        <v>8</v>
      </c>
      <c r="H1500">
        <v>295.89999999999998</v>
      </c>
    </row>
    <row r="1501" spans="1:8" x14ac:dyDescent="0.3">
      <c r="A1501">
        <v>202112</v>
      </c>
      <c r="B1501" s="1">
        <v>44531</v>
      </c>
      <c r="C1501">
        <v>2021</v>
      </c>
      <c r="D1501" t="s">
        <v>19</v>
      </c>
      <c r="E1501" t="s">
        <v>21</v>
      </c>
      <c r="F1501" t="s">
        <v>40</v>
      </c>
      <c r="G1501" t="s">
        <v>8</v>
      </c>
      <c r="H1501">
        <v>183.09</v>
      </c>
    </row>
    <row r="1502" spans="1:8" x14ac:dyDescent="0.3">
      <c r="A1502">
        <v>202101</v>
      </c>
      <c r="B1502" s="1">
        <v>44197</v>
      </c>
      <c r="C1502">
        <v>2021</v>
      </c>
      <c r="D1502" t="s">
        <v>6</v>
      </c>
      <c r="E1502" t="s">
        <v>21</v>
      </c>
      <c r="F1502" t="s">
        <v>40</v>
      </c>
      <c r="G1502" t="s">
        <v>8</v>
      </c>
      <c r="H1502">
        <v>636.74</v>
      </c>
    </row>
    <row r="1503" spans="1:8" x14ac:dyDescent="0.3">
      <c r="A1503">
        <v>202102</v>
      </c>
      <c r="B1503" s="1">
        <v>44228</v>
      </c>
      <c r="C1503">
        <v>2021</v>
      </c>
      <c r="D1503" t="s">
        <v>9</v>
      </c>
      <c r="E1503" t="s">
        <v>21</v>
      </c>
      <c r="F1503" t="s">
        <v>40</v>
      </c>
      <c r="G1503" t="s">
        <v>8</v>
      </c>
      <c r="H1503">
        <v>494.84</v>
      </c>
    </row>
    <row r="1504" spans="1:8" x14ac:dyDescent="0.3">
      <c r="A1504">
        <v>202103</v>
      </c>
      <c r="B1504" s="1">
        <v>44256</v>
      </c>
      <c r="C1504">
        <v>2021</v>
      </c>
      <c r="D1504" t="s">
        <v>10</v>
      </c>
      <c r="E1504" t="s">
        <v>21</v>
      </c>
      <c r="F1504" t="s">
        <v>40</v>
      </c>
      <c r="G1504" t="s">
        <v>8</v>
      </c>
      <c r="H1504">
        <v>558.96</v>
      </c>
    </row>
    <row r="1505" spans="1:8" x14ac:dyDescent="0.3">
      <c r="A1505">
        <v>202104</v>
      </c>
      <c r="B1505" s="1">
        <v>44287</v>
      </c>
      <c r="C1505">
        <v>2021</v>
      </c>
      <c r="D1505" t="s">
        <v>11</v>
      </c>
      <c r="E1505" t="s">
        <v>21</v>
      </c>
      <c r="F1505" t="s">
        <v>40</v>
      </c>
      <c r="G1505" t="s">
        <v>8</v>
      </c>
      <c r="H1505">
        <v>733.1</v>
      </c>
    </row>
    <row r="1506" spans="1:8" x14ac:dyDescent="0.3">
      <c r="A1506">
        <v>202105</v>
      </c>
      <c r="B1506" s="1">
        <v>44317</v>
      </c>
      <c r="C1506">
        <v>2021</v>
      </c>
      <c r="D1506" t="s">
        <v>12</v>
      </c>
      <c r="E1506" t="s">
        <v>21</v>
      </c>
      <c r="F1506" t="s">
        <v>40</v>
      </c>
      <c r="G1506" t="s">
        <v>8</v>
      </c>
      <c r="H1506">
        <v>614.62</v>
      </c>
    </row>
    <row r="1507" spans="1:8" x14ac:dyDescent="0.3">
      <c r="A1507">
        <v>202106</v>
      </c>
      <c r="B1507" s="1">
        <v>44348</v>
      </c>
      <c r="C1507">
        <v>2021</v>
      </c>
      <c r="D1507" t="s">
        <v>13</v>
      </c>
      <c r="E1507" t="s">
        <v>21</v>
      </c>
      <c r="F1507" t="s">
        <v>40</v>
      </c>
      <c r="G1507" t="s">
        <v>8</v>
      </c>
      <c r="H1507">
        <v>573.45000000000005</v>
      </c>
    </row>
    <row r="1508" spans="1:8" x14ac:dyDescent="0.3">
      <c r="A1508">
        <v>202107</v>
      </c>
      <c r="B1508" s="1">
        <v>44378</v>
      </c>
      <c r="C1508">
        <v>2021</v>
      </c>
      <c r="D1508" t="s">
        <v>14</v>
      </c>
      <c r="E1508" t="s">
        <v>21</v>
      </c>
      <c r="F1508" t="s">
        <v>40</v>
      </c>
      <c r="G1508" t="s">
        <v>8</v>
      </c>
      <c r="H1508">
        <v>681.94</v>
      </c>
    </row>
    <row r="1509" spans="1:8" x14ac:dyDescent="0.3">
      <c r="A1509">
        <v>202108</v>
      </c>
      <c r="B1509" s="1">
        <v>44409</v>
      </c>
      <c r="C1509">
        <v>2021</v>
      </c>
      <c r="D1509" t="s">
        <v>15</v>
      </c>
      <c r="E1509" t="s">
        <v>21</v>
      </c>
      <c r="F1509" t="s">
        <v>40</v>
      </c>
      <c r="G1509" t="s">
        <v>8</v>
      </c>
      <c r="H1509">
        <v>626.67999999999995</v>
      </c>
    </row>
    <row r="1510" spans="1:8" x14ac:dyDescent="0.3">
      <c r="A1510">
        <v>202109</v>
      </c>
      <c r="B1510" s="1">
        <v>44440</v>
      </c>
      <c r="C1510">
        <v>2021</v>
      </c>
      <c r="D1510" t="s">
        <v>16</v>
      </c>
      <c r="E1510" t="s">
        <v>21</v>
      </c>
      <c r="F1510" t="s">
        <v>40</v>
      </c>
      <c r="G1510" t="s">
        <v>8</v>
      </c>
      <c r="H1510">
        <v>514.88</v>
      </c>
    </row>
    <row r="1511" spans="1:8" x14ac:dyDescent="0.3">
      <c r="A1511">
        <v>202110</v>
      </c>
      <c r="B1511" s="1">
        <v>44470</v>
      </c>
      <c r="C1511">
        <v>2021</v>
      </c>
      <c r="D1511" t="s">
        <v>17</v>
      </c>
      <c r="E1511" t="s">
        <v>21</v>
      </c>
      <c r="F1511" t="s">
        <v>40</v>
      </c>
      <c r="G1511" t="s">
        <v>8</v>
      </c>
      <c r="H1511">
        <v>590.46</v>
      </c>
    </row>
    <row r="1512" spans="1:8" x14ac:dyDescent="0.3">
      <c r="A1512">
        <v>202111</v>
      </c>
      <c r="B1512" s="1">
        <v>44501</v>
      </c>
      <c r="C1512">
        <v>2021</v>
      </c>
      <c r="D1512" t="s">
        <v>18</v>
      </c>
      <c r="E1512" t="s">
        <v>21</v>
      </c>
      <c r="F1512" t="s">
        <v>40</v>
      </c>
      <c r="G1512" t="s">
        <v>8</v>
      </c>
      <c r="H1512">
        <v>739.76</v>
      </c>
    </row>
    <row r="1513" spans="1:8" x14ac:dyDescent="0.3">
      <c r="A1513">
        <v>202112</v>
      </c>
      <c r="B1513" s="1">
        <v>44531</v>
      </c>
      <c r="C1513">
        <v>2021</v>
      </c>
      <c r="D1513" t="s">
        <v>19</v>
      </c>
      <c r="E1513" t="s">
        <v>21</v>
      </c>
      <c r="F1513" t="s">
        <v>40</v>
      </c>
      <c r="G1513" t="s">
        <v>8</v>
      </c>
      <c r="H1513">
        <v>555.96</v>
      </c>
    </row>
    <row r="1514" spans="1:8" x14ac:dyDescent="0.3">
      <c r="A1514">
        <v>202101</v>
      </c>
      <c r="B1514" s="1">
        <v>44197</v>
      </c>
      <c r="C1514">
        <v>2021</v>
      </c>
      <c r="D1514" t="s">
        <v>6</v>
      </c>
      <c r="E1514" t="s">
        <v>22</v>
      </c>
      <c r="F1514" t="s">
        <v>40</v>
      </c>
      <c r="G1514" t="s">
        <v>8</v>
      </c>
      <c r="H1514">
        <v>327.27</v>
      </c>
    </row>
    <row r="1515" spans="1:8" x14ac:dyDescent="0.3">
      <c r="A1515">
        <v>202102</v>
      </c>
      <c r="B1515" s="1">
        <v>44228</v>
      </c>
      <c r="C1515">
        <v>2021</v>
      </c>
      <c r="D1515" t="s">
        <v>9</v>
      </c>
      <c r="E1515" t="s">
        <v>22</v>
      </c>
      <c r="F1515" t="s">
        <v>40</v>
      </c>
      <c r="G1515" t="s">
        <v>8</v>
      </c>
      <c r="H1515">
        <v>218.85</v>
      </c>
    </row>
    <row r="1516" spans="1:8" x14ac:dyDescent="0.3">
      <c r="A1516">
        <v>202103</v>
      </c>
      <c r="B1516" s="1">
        <v>44256</v>
      </c>
      <c r="C1516">
        <v>2021</v>
      </c>
      <c r="D1516" t="s">
        <v>10</v>
      </c>
      <c r="E1516" t="s">
        <v>22</v>
      </c>
      <c r="F1516" t="s">
        <v>40</v>
      </c>
      <c r="G1516" t="s">
        <v>8</v>
      </c>
      <c r="H1516">
        <v>234.61</v>
      </c>
    </row>
    <row r="1517" spans="1:8" x14ac:dyDescent="0.3">
      <c r="A1517">
        <v>202104</v>
      </c>
      <c r="B1517" s="1">
        <v>44287</v>
      </c>
      <c r="C1517">
        <v>2021</v>
      </c>
      <c r="D1517" t="s">
        <v>11</v>
      </c>
      <c r="E1517" t="s">
        <v>22</v>
      </c>
      <c r="F1517" t="s">
        <v>40</v>
      </c>
      <c r="G1517" t="s">
        <v>8</v>
      </c>
      <c r="H1517">
        <v>297.19</v>
      </c>
    </row>
    <row r="1518" spans="1:8" x14ac:dyDescent="0.3">
      <c r="A1518">
        <v>202105</v>
      </c>
      <c r="B1518" s="1">
        <v>44317</v>
      </c>
      <c r="C1518">
        <v>2021</v>
      </c>
      <c r="D1518" t="s">
        <v>12</v>
      </c>
      <c r="E1518" t="s">
        <v>22</v>
      </c>
      <c r="F1518" t="s">
        <v>40</v>
      </c>
      <c r="G1518" t="s">
        <v>8</v>
      </c>
      <c r="H1518">
        <v>271.87</v>
      </c>
    </row>
    <row r="1519" spans="1:8" x14ac:dyDescent="0.3">
      <c r="A1519">
        <v>202106</v>
      </c>
      <c r="B1519" s="1">
        <v>44348</v>
      </c>
      <c r="C1519">
        <v>2021</v>
      </c>
      <c r="D1519" t="s">
        <v>13</v>
      </c>
      <c r="E1519" t="s">
        <v>22</v>
      </c>
      <c r="F1519" t="s">
        <v>40</v>
      </c>
      <c r="G1519" t="s">
        <v>8</v>
      </c>
      <c r="H1519">
        <v>272.92</v>
      </c>
    </row>
    <row r="1520" spans="1:8" x14ac:dyDescent="0.3">
      <c r="A1520">
        <v>202107</v>
      </c>
      <c r="B1520" s="1">
        <v>44378</v>
      </c>
      <c r="C1520">
        <v>2021</v>
      </c>
      <c r="D1520" t="s">
        <v>14</v>
      </c>
      <c r="E1520" t="s">
        <v>22</v>
      </c>
      <c r="F1520" t="s">
        <v>40</v>
      </c>
      <c r="G1520" t="s">
        <v>8</v>
      </c>
      <c r="H1520">
        <v>309.5</v>
      </c>
    </row>
    <row r="1521" spans="1:8" x14ac:dyDescent="0.3">
      <c r="A1521">
        <v>202108</v>
      </c>
      <c r="B1521" s="1">
        <v>44409</v>
      </c>
      <c r="C1521">
        <v>2021</v>
      </c>
      <c r="D1521" t="s">
        <v>15</v>
      </c>
      <c r="E1521" t="s">
        <v>22</v>
      </c>
      <c r="F1521" t="s">
        <v>40</v>
      </c>
      <c r="G1521" t="s">
        <v>8</v>
      </c>
      <c r="H1521">
        <v>313.49</v>
      </c>
    </row>
    <row r="1522" spans="1:8" x14ac:dyDescent="0.3">
      <c r="A1522">
        <v>202109</v>
      </c>
      <c r="B1522" s="1">
        <v>44440</v>
      </c>
      <c r="C1522">
        <v>2021</v>
      </c>
      <c r="D1522" t="s">
        <v>16</v>
      </c>
      <c r="E1522" t="s">
        <v>22</v>
      </c>
      <c r="F1522" t="s">
        <v>40</v>
      </c>
      <c r="G1522" t="s">
        <v>8</v>
      </c>
      <c r="H1522">
        <v>250.56</v>
      </c>
    </row>
    <row r="1523" spans="1:8" x14ac:dyDescent="0.3">
      <c r="A1523">
        <v>202110</v>
      </c>
      <c r="B1523" s="1">
        <v>44470</v>
      </c>
      <c r="C1523">
        <v>2021</v>
      </c>
      <c r="D1523" t="s">
        <v>17</v>
      </c>
      <c r="E1523" t="s">
        <v>22</v>
      </c>
      <c r="F1523" t="s">
        <v>40</v>
      </c>
      <c r="G1523" t="s">
        <v>8</v>
      </c>
      <c r="H1523">
        <v>332.3</v>
      </c>
    </row>
    <row r="1524" spans="1:8" x14ac:dyDescent="0.3">
      <c r="A1524">
        <v>202111</v>
      </c>
      <c r="B1524" s="1">
        <v>44501</v>
      </c>
      <c r="C1524">
        <v>2021</v>
      </c>
      <c r="D1524" t="s">
        <v>18</v>
      </c>
      <c r="E1524" t="s">
        <v>22</v>
      </c>
      <c r="F1524" t="s">
        <v>40</v>
      </c>
      <c r="G1524" t="s">
        <v>8</v>
      </c>
      <c r="H1524">
        <v>287.39</v>
      </c>
    </row>
    <row r="1525" spans="1:8" x14ac:dyDescent="0.3">
      <c r="A1525">
        <v>202112</v>
      </c>
      <c r="B1525" s="1">
        <v>44531</v>
      </c>
      <c r="C1525">
        <v>2021</v>
      </c>
      <c r="D1525" t="s">
        <v>19</v>
      </c>
      <c r="E1525" t="s">
        <v>22</v>
      </c>
      <c r="F1525" t="s">
        <v>40</v>
      </c>
      <c r="G1525" t="s">
        <v>8</v>
      </c>
      <c r="H1525">
        <v>302.81</v>
      </c>
    </row>
    <row r="1526" spans="1:8" x14ac:dyDescent="0.3">
      <c r="A1526">
        <v>202101</v>
      </c>
      <c r="B1526" s="1">
        <v>44197</v>
      </c>
      <c r="C1526">
        <v>2021</v>
      </c>
      <c r="D1526" t="s">
        <v>6</v>
      </c>
      <c r="E1526" t="s">
        <v>22</v>
      </c>
      <c r="F1526" t="s">
        <v>40</v>
      </c>
      <c r="G1526" t="s">
        <v>8</v>
      </c>
      <c r="H1526">
        <v>426.86</v>
      </c>
    </row>
    <row r="1527" spans="1:8" x14ac:dyDescent="0.3">
      <c r="A1527">
        <v>202102</v>
      </c>
      <c r="B1527" s="1">
        <v>44228</v>
      </c>
      <c r="C1527">
        <v>2021</v>
      </c>
      <c r="D1527" t="s">
        <v>9</v>
      </c>
      <c r="E1527" t="s">
        <v>22</v>
      </c>
      <c r="F1527" t="s">
        <v>40</v>
      </c>
      <c r="G1527" t="s">
        <v>8</v>
      </c>
      <c r="H1527">
        <v>299.85000000000002</v>
      </c>
    </row>
    <row r="1528" spans="1:8" x14ac:dyDescent="0.3">
      <c r="A1528">
        <v>202103</v>
      </c>
      <c r="B1528" s="1">
        <v>44256</v>
      </c>
      <c r="C1528">
        <v>2021</v>
      </c>
      <c r="D1528" t="s">
        <v>10</v>
      </c>
      <c r="E1528" t="s">
        <v>22</v>
      </c>
      <c r="F1528" t="s">
        <v>40</v>
      </c>
      <c r="G1528" t="s">
        <v>8</v>
      </c>
      <c r="H1528">
        <v>278.77999999999997</v>
      </c>
    </row>
    <row r="1529" spans="1:8" x14ac:dyDescent="0.3">
      <c r="A1529">
        <v>202104</v>
      </c>
      <c r="B1529" s="1">
        <v>44287</v>
      </c>
      <c r="C1529">
        <v>2021</v>
      </c>
      <c r="D1529" t="s">
        <v>11</v>
      </c>
      <c r="E1529" t="s">
        <v>22</v>
      </c>
      <c r="F1529" t="s">
        <v>40</v>
      </c>
      <c r="G1529" t="s">
        <v>8</v>
      </c>
      <c r="H1529">
        <v>475.16</v>
      </c>
    </row>
    <row r="1530" spans="1:8" x14ac:dyDescent="0.3">
      <c r="A1530">
        <v>202105</v>
      </c>
      <c r="B1530" s="1">
        <v>44317</v>
      </c>
      <c r="C1530">
        <v>2021</v>
      </c>
      <c r="D1530" t="s">
        <v>12</v>
      </c>
      <c r="E1530" t="s">
        <v>22</v>
      </c>
      <c r="F1530" t="s">
        <v>40</v>
      </c>
      <c r="G1530" t="s">
        <v>8</v>
      </c>
      <c r="H1530">
        <v>323.2</v>
      </c>
    </row>
    <row r="1531" spans="1:8" x14ac:dyDescent="0.3">
      <c r="A1531">
        <v>202106</v>
      </c>
      <c r="B1531" s="1">
        <v>44348</v>
      </c>
      <c r="C1531">
        <v>2021</v>
      </c>
      <c r="D1531" t="s">
        <v>13</v>
      </c>
      <c r="E1531" t="s">
        <v>22</v>
      </c>
      <c r="F1531" t="s">
        <v>40</v>
      </c>
      <c r="G1531" t="s">
        <v>8</v>
      </c>
      <c r="H1531">
        <v>322.25</v>
      </c>
    </row>
    <row r="1532" spans="1:8" x14ac:dyDescent="0.3">
      <c r="A1532">
        <v>202107</v>
      </c>
      <c r="B1532" s="1">
        <v>44378</v>
      </c>
      <c r="C1532">
        <v>2021</v>
      </c>
      <c r="D1532" t="s">
        <v>14</v>
      </c>
      <c r="E1532" t="s">
        <v>22</v>
      </c>
      <c r="F1532" t="s">
        <v>40</v>
      </c>
      <c r="G1532" t="s">
        <v>8</v>
      </c>
      <c r="H1532">
        <v>357.13</v>
      </c>
    </row>
    <row r="1533" spans="1:8" x14ac:dyDescent="0.3">
      <c r="A1533">
        <v>202108</v>
      </c>
      <c r="B1533" s="1">
        <v>44409</v>
      </c>
      <c r="C1533">
        <v>2021</v>
      </c>
      <c r="D1533" t="s">
        <v>15</v>
      </c>
      <c r="E1533" t="s">
        <v>22</v>
      </c>
      <c r="F1533" t="s">
        <v>40</v>
      </c>
      <c r="G1533" t="s">
        <v>8</v>
      </c>
      <c r="H1533">
        <v>343.66</v>
      </c>
    </row>
    <row r="1534" spans="1:8" x14ac:dyDescent="0.3">
      <c r="A1534">
        <v>202109</v>
      </c>
      <c r="B1534" s="1">
        <v>44440</v>
      </c>
      <c r="C1534">
        <v>2021</v>
      </c>
      <c r="D1534" t="s">
        <v>16</v>
      </c>
      <c r="E1534" t="s">
        <v>22</v>
      </c>
      <c r="F1534" t="s">
        <v>40</v>
      </c>
      <c r="G1534" t="s">
        <v>8</v>
      </c>
      <c r="H1534">
        <v>320.29000000000002</v>
      </c>
    </row>
    <row r="1535" spans="1:8" x14ac:dyDescent="0.3">
      <c r="A1535">
        <v>202110</v>
      </c>
      <c r="B1535" s="1">
        <v>44470</v>
      </c>
      <c r="C1535">
        <v>2021</v>
      </c>
      <c r="D1535" t="s">
        <v>17</v>
      </c>
      <c r="E1535" t="s">
        <v>22</v>
      </c>
      <c r="F1535" t="s">
        <v>40</v>
      </c>
      <c r="G1535" t="s">
        <v>8</v>
      </c>
      <c r="H1535">
        <v>342.98</v>
      </c>
    </row>
    <row r="1536" spans="1:8" x14ac:dyDescent="0.3">
      <c r="A1536">
        <v>202111</v>
      </c>
      <c r="B1536" s="1">
        <v>44501</v>
      </c>
      <c r="C1536">
        <v>2021</v>
      </c>
      <c r="D1536" t="s">
        <v>18</v>
      </c>
      <c r="E1536" t="s">
        <v>22</v>
      </c>
      <c r="F1536" t="s">
        <v>40</v>
      </c>
      <c r="G1536" t="s">
        <v>8</v>
      </c>
      <c r="H1536">
        <v>348.33</v>
      </c>
    </row>
    <row r="1537" spans="1:8" x14ac:dyDescent="0.3">
      <c r="A1537">
        <v>202112</v>
      </c>
      <c r="B1537" s="1">
        <v>44531</v>
      </c>
      <c r="C1537">
        <v>2021</v>
      </c>
      <c r="D1537" t="s">
        <v>19</v>
      </c>
      <c r="E1537" t="s">
        <v>22</v>
      </c>
      <c r="F1537" t="s">
        <v>40</v>
      </c>
      <c r="G1537" t="s">
        <v>8</v>
      </c>
      <c r="H1537">
        <v>320.92</v>
      </c>
    </row>
    <row r="1538" spans="1:8" x14ac:dyDescent="0.3">
      <c r="A1538">
        <v>202101</v>
      </c>
      <c r="B1538" s="1">
        <v>44197</v>
      </c>
      <c r="C1538">
        <v>2021</v>
      </c>
      <c r="D1538" t="s">
        <v>6</v>
      </c>
      <c r="E1538" t="s">
        <v>22</v>
      </c>
      <c r="F1538" t="s">
        <v>40</v>
      </c>
      <c r="G1538" t="s">
        <v>8</v>
      </c>
      <c r="H1538">
        <v>127.64</v>
      </c>
    </row>
    <row r="1539" spans="1:8" x14ac:dyDescent="0.3">
      <c r="A1539">
        <v>202102</v>
      </c>
      <c r="B1539" s="1">
        <v>44228</v>
      </c>
      <c r="C1539">
        <v>2021</v>
      </c>
      <c r="D1539" t="s">
        <v>9</v>
      </c>
      <c r="E1539" t="s">
        <v>22</v>
      </c>
      <c r="F1539" t="s">
        <v>40</v>
      </c>
      <c r="G1539" t="s">
        <v>8</v>
      </c>
      <c r="H1539">
        <v>74.39</v>
      </c>
    </row>
    <row r="1540" spans="1:8" x14ac:dyDescent="0.3">
      <c r="A1540">
        <v>202103</v>
      </c>
      <c r="B1540" s="1">
        <v>44256</v>
      </c>
      <c r="C1540">
        <v>2021</v>
      </c>
      <c r="D1540" t="s">
        <v>10</v>
      </c>
      <c r="E1540" t="s">
        <v>22</v>
      </c>
      <c r="F1540" t="s">
        <v>40</v>
      </c>
      <c r="G1540" t="s">
        <v>8</v>
      </c>
      <c r="H1540">
        <v>79.59</v>
      </c>
    </row>
    <row r="1541" spans="1:8" x14ac:dyDescent="0.3">
      <c r="A1541">
        <v>202104</v>
      </c>
      <c r="B1541" s="1">
        <v>44287</v>
      </c>
      <c r="C1541">
        <v>2021</v>
      </c>
      <c r="D1541" t="s">
        <v>11</v>
      </c>
      <c r="E1541" t="s">
        <v>22</v>
      </c>
      <c r="F1541" t="s">
        <v>40</v>
      </c>
      <c r="G1541" t="s">
        <v>8</v>
      </c>
      <c r="H1541">
        <v>112.65</v>
      </c>
    </row>
    <row r="1542" spans="1:8" x14ac:dyDescent="0.3">
      <c r="A1542">
        <v>202105</v>
      </c>
      <c r="B1542" s="1">
        <v>44317</v>
      </c>
      <c r="C1542">
        <v>2021</v>
      </c>
      <c r="D1542" t="s">
        <v>12</v>
      </c>
      <c r="E1542" t="s">
        <v>22</v>
      </c>
      <c r="F1542" t="s">
        <v>40</v>
      </c>
      <c r="G1542" t="s">
        <v>8</v>
      </c>
      <c r="H1542">
        <v>85</v>
      </c>
    </row>
    <row r="1543" spans="1:8" x14ac:dyDescent="0.3">
      <c r="A1543">
        <v>202106</v>
      </c>
      <c r="B1543" s="1">
        <v>44348</v>
      </c>
      <c r="C1543">
        <v>2021</v>
      </c>
      <c r="D1543" t="s">
        <v>13</v>
      </c>
      <c r="E1543" t="s">
        <v>22</v>
      </c>
      <c r="F1543" t="s">
        <v>40</v>
      </c>
      <c r="G1543" t="s">
        <v>8</v>
      </c>
      <c r="H1543">
        <v>84.91</v>
      </c>
    </row>
    <row r="1544" spans="1:8" x14ac:dyDescent="0.3">
      <c r="A1544">
        <v>202107</v>
      </c>
      <c r="B1544" s="1">
        <v>44378</v>
      </c>
      <c r="C1544">
        <v>2021</v>
      </c>
      <c r="D1544" t="s">
        <v>14</v>
      </c>
      <c r="E1544" t="s">
        <v>22</v>
      </c>
      <c r="F1544" t="s">
        <v>40</v>
      </c>
      <c r="G1544" t="s">
        <v>8</v>
      </c>
      <c r="H1544">
        <v>102.65</v>
      </c>
    </row>
    <row r="1545" spans="1:8" x14ac:dyDescent="0.3">
      <c r="A1545">
        <v>202108</v>
      </c>
      <c r="B1545" s="1">
        <v>44409</v>
      </c>
      <c r="C1545">
        <v>2021</v>
      </c>
      <c r="D1545" t="s">
        <v>15</v>
      </c>
      <c r="E1545" t="s">
        <v>22</v>
      </c>
      <c r="F1545" t="s">
        <v>40</v>
      </c>
      <c r="G1545" t="s">
        <v>8</v>
      </c>
      <c r="H1545">
        <v>98.59</v>
      </c>
    </row>
    <row r="1546" spans="1:8" x14ac:dyDescent="0.3">
      <c r="A1546">
        <v>202109</v>
      </c>
      <c r="B1546" s="1">
        <v>44440</v>
      </c>
      <c r="C1546">
        <v>2021</v>
      </c>
      <c r="D1546" t="s">
        <v>16</v>
      </c>
      <c r="E1546" t="s">
        <v>22</v>
      </c>
      <c r="F1546" t="s">
        <v>40</v>
      </c>
      <c r="G1546" t="s">
        <v>8</v>
      </c>
      <c r="H1546">
        <v>79.260000000000005</v>
      </c>
    </row>
    <row r="1547" spans="1:8" x14ac:dyDescent="0.3">
      <c r="A1547">
        <v>202110</v>
      </c>
      <c r="B1547" s="1">
        <v>44470</v>
      </c>
      <c r="C1547">
        <v>2021</v>
      </c>
      <c r="D1547" t="s">
        <v>17</v>
      </c>
      <c r="E1547" t="s">
        <v>22</v>
      </c>
      <c r="F1547" t="s">
        <v>40</v>
      </c>
      <c r="G1547" t="s">
        <v>8</v>
      </c>
      <c r="H1547">
        <v>95.9</v>
      </c>
    </row>
    <row r="1548" spans="1:8" x14ac:dyDescent="0.3">
      <c r="A1548">
        <v>202111</v>
      </c>
      <c r="B1548" s="1">
        <v>44501</v>
      </c>
      <c r="C1548">
        <v>2021</v>
      </c>
      <c r="D1548" t="s">
        <v>18</v>
      </c>
      <c r="E1548" t="s">
        <v>22</v>
      </c>
      <c r="F1548" t="s">
        <v>40</v>
      </c>
      <c r="G1548" t="s">
        <v>8</v>
      </c>
      <c r="H1548">
        <v>103.89</v>
      </c>
    </row>
    <row r="1549" spans="1:8" x14ac:dyDescent="0.3">
      <c r="A1549">
        <v>202112</v>
      </c>
      <c r="B1549" s="1">
        <v>44531</v>
      </c>
      <c r="C1549">
        <v>2021</v>
      </c>
      <c r="D1549" t="s">
        <v>19</v>
      </c>
      <c r="E1549" t="s">
        <v>22</v>
      </c>
      <c r="F1549" t="s">
        <v>40</v>
      </c>
      <c r="G1549" t="s">
        <v>8</v>
      </c>
      <c r="H1549">
        <v>91.51</v>
      </c>
    </row>
    <row r="1550" spans="1:8" x14ac:dyDescent="0.3">
      <c r="A1550">
        <v>202101</v>
      </c>
      <c r="B1550" s="1">
        <v>44197</v>
      </c>
      <c r="C1550">
        <v>2021</v>
      </c>
      <c r="D1550" t="s">
        <v>6</v>
      </c>
      <c r="E1550" t="s">
        <v>22</v>
      </c>
      <c r="F1550" t="s">
        <v>40</v>
      </c>
      <c r="G1550" t="s">
        <v>8</v>
      </c>
      <c r="H1550">
        <v>45.14</v>
      </c>
    </row>
    <row r="1551" spans="1:8" x14ac:dyDescent="0.3">
      <c r="A1551">
        <v>202102</v>
      </c>
      <c r="B1551" s="1">
        <v>44228</v>
      </c>
      <c r="C1551">
        <v>2021</v>
      </c>
      <c r="D1551" t="s">
        <v>9</v>
      </c>
      <c r="E1551" t="s">
        <v>22</v>
      </c>
      <c r="F1551" t="s">
        <v>40</v>
      </c>
      <c r="G1551" t="s">
        <v>8</v>
      </c>
      <c r="H1551">
        <v>28.49</v>
      </c>
    </row>
    <row r="1552" spans="1:8" x14ac:dyDescent="0.3">
      <c r="A1552">
        <v>202103</v>
      </c>
      <c r="B1552" s="1">
        <v>44256</v>
      </c>
      <c r="C1552">
        <v>2021</v>
      </c>
      <c r="D1552" t="s">
        <v>10</v>
      </c>
      <c r="E1552" t="s">
        <v>22</v>
      </c>
      <c r="F1552" t="s">
        <v>40</v>
      </c>
      <c r="G1552" t="s">
        <v>8</v>
      </c>
      <c r="H1552">
        <v>25.65</v>
      </c>
    </row>
    <row r="1553" spans="1:8" x14ac:dyDescent="0.3">
      <c r="A1553">
        <v>202104</v>
      </c>
      <c r="B1553" s="1">
        <v>44287</v>
      </c>
      <c r="C1553">
        <v>2021</v>
      </c>
      <c r="D1553" t="s">
        <v>11</v>
      </c>
      <c r="E1553" t="s">
        <v>22</v>
      </c>
      <c r="F1553" t="s">
        <v>40</v>
      </c>
      <c r="G1553" t="s">
        <v>8</v>
      </c>
      <c r="H1553">
        <v>37.880000000000003</v>
      </c>
    </row>
    <row r="1554" spans="1:8" x14ac:dyDescent="0.3">
      <c r="A1554">
        <v>202105</v>
      </c>
      <c r="B1554" s="1">
        <v>44317</v>
      </c>
      <c r="C1554">
        <v>2021</v>
      </c>
      <c r="D1554" t="s">
        <v>12</v>
      </c>
      <c r="E1554" t="s">
        <v>22</v>
      </c>
      <c r="F1554" t="s">
        <v>40</v>
      </c>
      <c r="G1554" t="s">
        <v>8</v>
      </c>
      <c r="H1554">
        <v>17.579999999999998</v>
      </c>
    </row>
    <row r="1555" spans="1:8" x14ac:dyDescent="0.3">
      <c r="A1555">
        <v>202106</v>
      </c>
      <c r="B1555" s="1">
        <v>44348</v>
      </c>
      <c r="C1555">
        <v>2021</v>
      </c>
      <c r="D1555" t="s">
        <v>13</v>
      </c>
      <c r="E1555" t="s">
        <v>22</v>
      </c>
      <c r="F1555" t="s">
        <v>40</v>
      </c>
      <c r="G1555" t="s">
        <v>8</v>
      </c>
      <c r="H1555">
        <v>36.36</v>
      </c>
    </row>
    <row r="1556" spans="1:8" x14ac:dyDescent="0.3">
      <c r="A1556">
        <v>202107</v>
      </c>
      <c r="B1556" s="1">
        <v>44378</v>
      </c>
      <c r="C1556">
        <v>2021</v>
      </c>
      <c r="D1556" t="s">
        <v>14</v>
      </c>
      <c r="E1556" t="s">
        <v>22</v>
      </c>
      <c r="F1556" t="s">
        <v>40</v>
      </c>
      <c r="G1556" t="s">
        <v>8</v>
      </c>
      <c r="H1556">
        <v>29.46</v>
      </c>
    </row>
    <row r="1557" spans="1:8" x14ac:dyDescent="0.3">
      <c r="A1557">
        <v>202108</v>
      </c>
      <c r="B1557" s="1">
        <v>44409</v>
      </c>
      <c r="C1557">
        <v>2021</v>
      </c>
      <c r="D1557" t="s">
        <v>15</v>
      </c>
      <c r="E1557" t="s">
        <v>22</v>
      </c>
      <c r="F1557" t="s">
        <v>40</v>
      </c>
      <c r="G1557" t="s">
        <v>8</v>
      </c>
      <c r="H1557">
        <v>32.04</v>
      </c>
    </row>
    <row r="1558" spans="1:8" x14ac:dyDescent="0.3">
      <c r="A1558">
        <v>202109</v>
      </c>
      <c r="B1558" s="1">
        <v>44440</v>
      </c>
      <c r="C1558">
        <v>2021</v>
      </c>
      <c r="D1558" t="s">
        <v>16</v>
      </c>
      <c r="E1558" t="s">
        <v>22</v>
      </c>
      <c r="F1558" t="s">
        <v>40</v>
      </c>
      <c r="G1558" t="s">
        <v>8</v>
      </c>
      <c r="H1558">
        <v>25.75</v>
      </c>
    </row>
    <row r="1559" spans="1:8" x14ac:dyDescent="0.3">
      <c r="A1559">
        <v>202110</v>
      </c>
      <c r="B1559" s="1">
        <v>44470</v>
      </c>
      <c r="C1559">
        <v>2021</v>
      </c>
      <c r="D1559" t="s">
        <v>17</v>
      </c>
      <c r="E1559" t="s">
        <v>22</v>
      </c>
      <c r="F1559" t="s">
        <v>40</v>
      </c>
      <c r="G1559" t="s">
        <v>8</v>
      </c>
      <c r="H1559">
        <v>27.12</v>
      </c>
    </row>
    <row r="1560" spans="1:8" x14ac:dyDescent="0.3">
      <c r="A1560">
        <v>202111</v>
      </c>
      <c r="B1560" s="1">
        <v>44501</v>
      </c>
      <c r="C1560">
        <v>2021</v>
      </c>
      <c r="D1560" t="s">
        <v>18</v>
      </c>
      <c r="E1560" t="s">
        <v>22</v>
      </c>
      <c r="F1560" t="s">
        <v>40</v>
      </c>
      <c r="G1560" t="s">
        <v>8</v>
      </c>
      <c r="H1560">
        <v>22.69</v>
      </c>
    </row>
    <row r="1561" spans="1:8" x14ac:dyDescent="0.3">
      <c r="A1561">
        <v>202112</v>
      </c>
      <c r="B1561" s="1">
        <v>44531</v>
      </c>
      <c r="C1561">
        <v>2021</v>
      </c>
      <c r="D1561" t="s">
        <v>19</v>
      </c>
      <c r="E1561" t="s">
        <v>22</v>
      </c>
      <c r="F1561" t="s">
        <v>40</v>
      </c>
      <c r="G1561" t="s">
        <v>8</v>
      </c>
      <c r="H1561">
        <v>35.9</v>
      </c>
    </row>
    <row r="1562" spans="1:8" x14ac:dyDescent="0.3">
      <c r="A1562">
        <v>202101</v>
      </c>
      <c r="B1562" s="1">
        <v>44197</v>
      </c>
      <c r="C1562">
        <v>2021</v>
      </c>
      <c r="D1562" t="s">
        <v>6</v>
      </c>
      <c r="E1562" t="s">
        <v>23</v>
      </c>
      <c r="F1562" t="s">
        <v>40</v>
      </c>
      <c r="G1562" t="s">
        <v>8</v>
      </c>
      <c r="H1562">
        <v>50.12</v>
      </c>
    </row>
    <row r="1563" spans="1:8" x14ac:dyDescent="0.3">
      <c r="A1563">
        <v>202102</v>
      </c>
      <c r="B1563" s="1">
        <v>44228</v>
      </c>
      <c r="C1563">
        <v>2021</v>
      </c>
      <c r="D1563" t="s">
        <v>9</v>
      </c>
      <c r="E1563" t="s">
        <v>23</v>
      </c>
      <c r="F1563" t="s">
        <v>40</v>
      </c>
      <c r="G1563" t="s">
        <v>8</v>
      </c>
      <c r="H1563">
        <v>21.28</v>
      </c>
    </row>
    <row r="1564" spans="1:8" x14ac:dyDescent="0.3">
      <c r="A1564">
        <v>202103</v>
      </c>
      <c r="B1564" s="1">
        <v>44256</v>
      </c>
      <c r="C1564">
        <v>2021</v>
      </c>
      <c r="D1564" t="s">
        <v>10</v>
      </c>
      <c r="E1564" t="s">
        <v>23</v>
      </c>
      <c r="F1564" t="s">
        <v>40</v>
      </c>
      <c r="G1564" t="s">
        <v>8</v>
      </c>
      <c r="H1564">
        <v>28.27</v>
      </c>
    </row>
    <row r="1565" spans="1:8" x14ac:dyDescent="0.3">
      <c r="A1565">
        <v>202104</v>
      </c>
      <c r="B1565" s="1">
        <v>44287</v>
      </c>
      <c r="C1565">
        <v>2021</v>
      </c>
      <c r="D1565" t="s">
        <v>11</v>
      </c>
      <c r="E1565" t="s">
        <v>23</v>
      </c>
      <c r="F1565" t="s">
        <v>40</v>
      </c>
      <c r="G1565" t="s">
        <v>8</v>
      </c>
      <c r="H1565">
        <v>43.04</v>
      </c>
    </row>
    <row r="1566" spans="1:8" x14ac:dyDescent="0.3">
      <c r="A1566">
        <v>202105</v>
      </c>
      <c r="B1566" s="1">
        <v>44317</v>
      </c>
      <c r="C1566">
        <v>2021</v>
      </c>
      <c r="D1566" t="s">
        <v>12</v>
      </c>
      <c r="E1566" t="s">
        <v>23</v>
      </c>
      <c r="F1566" t="s">
        <v>40</v>
      </c>
      <c r="G1566" t="s">
        <v>8</v>
      </c>
      <c r="H1566">
        <v>36.75</v>
      </c>
    </row>
    <row r="1567" spans="1:8" x14ac:dyDescent="0.3">
      <c r="A1567">
        <v>202106</v>
      </c>
      <c r="B1567" s="1">
        <v>44348</v>
      </c>
      <c r="C1567">
        <v>2021</v>
      </c>
      <c r="D1567" t="s">
        <v>13</v>
      </c>
      <c r="E1567" t="s">
        <v>23</v>
      </c>
      <c r="F1567" t="s">
        <v>40</v>
      </c>
      <c r="G1567" t="s">
        <v>8</v>
      </c>
      <c r="H1567">
        <v>25.7</v>
      </c>
    </row>
    <row r="1568" spans="1:8" x14ac:dyDescent="0.3">
      <c r="A1568">
        <v>202107</v>
      </c>
      <c r="B1568" s="1">
        <v>44378</v>
      </c>
      <c r="C1568">
        <v>2021</v>
      </c>
      <c r="D1568" t="s">
        <v>14</v>
      </c>
      <c r="E1568" t="s">
        <v>23</v>
      </c>
      <c r="F1568" t="s">
        <v>40</v>
      </c>
      <c r="G1568" t="s">
        <v>8</v>
      </c>
      <c r="H1568">
        <v>29.04</v>
      </c>
    </row>
    <row r="1569" spans="1:8" x14ac:dyDescent="0.3">
      <c r="A1569">
        <v>202108</v>
      </c>
      <c r="B1569" s="1">
        <v>44409</v>
      </c>
      <c r="C1569">
        <v>2021</v>
      </c>
      <c r="D1569" t="s">
        <v>15</v>
      </c>
      <c r="E1569" t="s">
        <v>23</v>
      </c>
      <c r="F1569" t="s">
        <v>40</v>
      </c>
      <c r="G1569" t="s">
        <v>8</v>
      </c>
      <c r="H1569">
        <v>32.770000000000003</v>
      </c>
    </row>
    <row r="1570" spans="1:8" x14ac:dyDescent="0.3">
      <c r="A1570">
        <v>202109</v>
      </c>
      <c r="B1570" s="1">
        <v>44440</v>
      </c>
      <c r="C1570">
        <v>2021</v>
      </c>
      <c r="D1570" t="s">
        <v>16</v>
      </c>
      <c r="E1570" t="s">
        <v>23</v>
      </c>
      <c r="F1570" t="s">
        <v>40</v>
      </c>
      <c r="G1570" t="s">
        <v>8</v>
      </c>
      <c r="H1570">
        <v>32.270000000000003</v>
      </c>
    </row>
    <row r="1571" spans="1:8" x14ac:dyDescent="0.3">
      <c r="A1571">
        <v>202110</v>
      </c>
      <c r="B1571" s="1">
        <v>44470</v>
      </c>
      <c r="C1571">
        <v>2021</v>
      </c>
      <c r="D1571" t="s">
        <v>17</v>
      </c>
      <c r="E1571" t="s">
        <v>23</v>
      </c>
      <c r="F1571" t="s">
        <v>40</v>
      </c>
      <c r="G1571" t="s">
        <v>8</v>
      </c>
      <c r="H1571">
        <v>34.33</v>
      </c>
    </row>
    <row r="1572" spans="1:8" x14ac:dyDescent="0.3">
      <c r="A1572">
        <v>202111</v>
      </c>
      <c r="B1572" s="1">
        <v>44501</v>
      </c>
      <c r="C1572">
        <v>2021</v>
      </c>
      <c r="D1572" t="s">
        <v>18</v>
      </c>
      <c r="E1572" t="s">
        <v>23</v>
      </c>
      <c r="F1572" t="s">
        <v>40</v>
      </c>
      <c r="G1572" t="s">
        <v>8</v>
      </c>
      <c r="H1572">
        <v>40.200000000000003</v>
      </c>
    </row>
    <row r="1573" spans="1:8" x14ac:dyDescent="0.3">
      <c r="A1573">
        <v>202112</v>
      </c>
      <c r="B1573" s="1">
        <v>44531</v>
      </c>
      <c r="C1573">
        <v>2021</v>
      </c>
      <c r="D1573" t="s">
        <v>19</v>
      </c>
      <c r="E1573" t="s">
        <v>23</v>
      </c>
      <c r="F1573" t="s">
        <v>40</v>
      </c>
      <c r="G1573" t="s">
        <v>8</v>
      </c>
      <c r="H1573">
        <v>30.24</v>
      </c>
    </row>
    <row r="1574" spans="1:8" x14ac:dyDescent="0.3">
      <c r="A1574">
        <v>202101</v>
      </c>
      <c r="B1574" s="1">
        <v>44197</v>
      </c>
      <c r="C1574">
        <v>2021</v>
      </c>
      <c r="D1574" t="s">
        <v>6</v>
      </c>
      <c r="E1574" t="s">
        <v>23</v>
      </c>
      <c r="F1574" t="s">
        <v>40</v>
      </c>
      <c r="G1574" t="s">
        <v>8</v>
      </c>
      <c r="H1574">
        <v>318.42</v>
      </c>
    </row>
    <row r="1575" spans="1:8" x14ac:dyDescent="0.3">
      <c r="A1575">
        <v>202102</v>
      </c>
      <c r="B1575" s="1">
        <v>44228</v>
      </c>
      <c r="C1575">
        <v>2021</v>
      </c>
      <c r="D1575" t="s">
        <v>9</v>
      </c>
      <c r="E1575" t="s">
        <v>23</v>
      </c>
      <c r="F1575" t="s">
        <v>40</v>
      </c>
      <c r="G1575" t="s">
        <v>8</v>
      </c>
      <c r="H1575">
        <v>293.45999999999998</v>
      </c>
    </row>
    <row r="1576" spans="1:8" x14ac:dyDescent="0.3">
      <c r="A1576">
        <v>202103</v>
      </c>
      <c r="B1576" s="1">
        <v>44256</v>
      </c>
      <c r="C1576">
        <v>2021</v>
      </c>
      <c r="D1576" t="s">
        <v>10</v>
      </c>
      <c r="E1576" t="s">
        <v>23</v>
      </c>
      <c r="F1576" t="s">
        <v>40</v>
      </c>
      <c r="G1576" t="s">
        <v>8</v>
      </c>
      <c r="H1576">
        <v>277.74</v>
      </c>
    </row>
    <row r="1577" spans="1:8" x14ac:dyDescent="0.3">
      <c r="A1577">
        <v>202104</v>
      </c>
      <c r="B1577" s="1">
        <v>44287</v>
      </c>
      <c r="C1577">
        <v>2021</v>
      </c>
      <c r="D1577" t="s">
        <v>11</v>
      </c>
      <c r="E1577" t="s">
        <v>23</v>
      </c>
      <c r="F1577" t="s">
        <v>40</v>
      </c>
      <c r="G1577" t="s">
        <v>8</v>
      </c>
      <c r="H1577">
        <v>393.16</v>
      </c>
    </row>
    <row r="1578" spans="1:8" x14ac:dyDescent="0.3">
      <c r="A1578">
        <v>202105</v>
      </c>
      <c r="B1578" s="1">
        <v>44317</v>
      </c>
      <c r="C1578">
        <v>2021</v>
      </c>
      <c r="D1578" t="s">
        <v>12</v>
      </c>
      <c r="E1578" t="s">
        <v>23</v>
      </c>
      <c r="F1578" t="s">
        <v>40</v>
      </c>
      <c r="G1578" t="s">
        <v>8</v>
      </c>
      <c r="H1578">
        <v>276.17</v>
      </c>
    </row>
    <row r="1579" spans="1:8" x14ac:dyDescent="0.3">
      <c r="A1579">
        <v>202106</v>
      </c>
      <c r="B1579" s="1">
        <v>44348</v>
      </c>
      <c r="C1579">
        <v>2021</v>
      </c>
      <c r="D1579" t="s">
        <v>13</v>
      </c>
      <c r="E1579" t="s">
        <v>23</v>
      </c>
      <c r="F1579" t="s">
        <v>40</v>
      </c>
      <c r="G1579" t="s">
        <v>8</v>
      </c>
      <c r="H1579">
        <v>334.55</v>
      </c>
    </row>
    <row r="1580" spans="1:8" x14ac:dyDescent="0.3">
      <c r="A1580">
        <v>202107</v>
      </c>
      <c r="B1580" s="1">
        <v>44378</v>
      </c>
      <c r="C1580">
        <v>2021</v>
      </c>
      <c r="D1580" t="s">
        <v>14</v>
      </c>
      <c r="E1580" t="s">
        <v>23</v>
      </c>
      <c r="F1580" t="s">
        <v>40</v>
      </c>
      <c r="G1580" t="s">
        <v>8</v>
      </c>
      <c r="H1580">
        <v>342.32</v>
      </c>
    </row>
    <row r="1581" spans="1:8" x14ac:dyDescent="0.3">
      <c r="A1581">
        <v>202108</v>
      </c>
      <c r="B1581" s="1">
        <v>44409</v>
      </c>
      <c r="C1581">
        <v>2021</v>
      </c>
      <c r="D1581" t="s">
        <v>15</v>
      </c>
      <c r="E1581" t="s">
        <v>23</v>
      </c>
      <c r="F1581" t="s">
        <v>40</v>
      </c>
      <c r="G1581" t="s">
        <v>8</v>
      </c>
      <c r="H1581">
        <v>322.52999999999997</v>
      </c>
    </row>
    <row r="1582" spans="1:8" x14ac:dyDescent="0.3">
      <c r="A1582">
        <v>202109</v>
      </c>
      <c r="B1582" s="1">
        <v>44440</v>
      </c>
      <c r="C1582">
        <v>2021</v>
      </c>
      <c r="D1582" t="s">
        <v>16</v>
      </c>
      <c r="E1582" t="s">
        <v>23</v>
      </c>
      <c r="F1582" t="s">
        <v>40</v>
      </c>
      <c r="G1582" t="s">
        <v>8</v>
      </c>
      <c r="H1582">
        <v>278.60000000000002</v>
      </c>
    </row>
    <row r="1583" spans="1:8" x14ac:dyDescent="0.3">
      <c r="A1583">
        <v>202110</v>
      </c>
      <c r="B1583" s="1">
        <v>44470</v>
      </c>
      <c r="C1583">
        <v>2021</v>
      </c>
      <c r="D1583" t="s">
        <v>17</v>
      </c>
      <c r="E1583" t="s">
        <v>23</v>
      </c>
      <c r="F1583" t="s">
        <v>40</v>
      </c>
      <c r="G1583" t="s">
        <v>8</v>
      </c>
      <c r="H1583">
        <v>296.10000000000002</v>
      </c>
    </row>
    <row r="1584" spans="1:8" x14ac:dyDescent="0.3">
      <c r="A1584">
        <v>202111</v>
      </c>
      <c r="B1584" s="1">
        <v>44501</v>
      </c>
      <c r="C1584">
        <v>2021</v>
      </c>
      <c r="D1584" t="s">
        <v>18</v>
      </c>
      <c r="E1584" t="s">
        <v>23</v>
      </c>
      <c r="F1584" t="s">
        <v>40</v>
      </c>
      <c r="G1584" t="s">
        <v>8</v>
      </c>
      <c r="H1584">
        <v>366.57</v>
      </c>
    </row>
    <row r="1585" spans="1:8" x14ac:dyDescent="0.3">
      <c r="A1585">
        <v>202112</v>
      </c>
      <c r="B1585" s="1">
        <v>44531</v>
      </c>
      <c r="C1585">
        <v>2021</v>
      </c>
      <c r="D1585" t="s">
        <v>19</v>
      </c>
      <c r="E1585" t="s">
        <v>23</v>
      </c>
      <c r="F1585" t="s">
        <v>40</v>
      </c>
      <c r="G1585" t="s">
        <v>8</v>
      </c>
      <c r="H1585">
        <v>347.99</v>
      </c>
    </row>
    <row r="1586" spans="1:8" x14ac:dyDescent="0.3">
      <c r="A1586">
        <v>202101</v>
      </c>
      <c r="B1586" s="1">
        <v>44197</v>
      </c>
      <c r="C1586">
        <v>2021</v>
      </c>
      <c r="D1586" t="s">
        <v>6</v>
      </c>
      <c r="E1586" t="s">
        <v>23</v>
      </c>
      <c r="F1586" t="s">
        <v>40</v>
      </c>
      <c r="G1586" t="s">
        <v>8</v>
      </c>
      <c r="H1586">
        <v>1196.03</v>
      </c>
    </row>
    <row r="1587" spans="1:8" x14ac:dyDescent="0.3">
      <c r="A1587">
        <v>202102</v>
      </c>
      <c r="B1587" s="1">
        <v>44228</v>
      </c>
      <c r="C1587">
        <v>2021</v>
      </c>
      <c r="D1587" t="s">
        <v>9</v>
      </c>
      <c r="E1587" t="s">
        <v>23</v>
      </c>
      <c r="F1587" t="s">
        <v>40</v>
      </c>
      <c r="G1587" t="s">
        <v>8</v>
      </c>
      <c r="H1587">
        <v>851.83</v>
      </c>
    </row>
    <row r="1588" spans="1:8" x14ac:dyDescent="0.3">
      <c r="A1588">
        <v>202103</v>
      </c>
      <c r="B1588" s="1">
        <v>44256</v>
      </c>
      <c r="C1588">
        <v>2021</v>
      </c>
      <c r="D1588" t="s">
        <v>10</v>
      </c>
      <c r="E1588" t="s">
        <v>23</v>
      </c>
      <c r="F1588" t="s">
        <v>40</v>
      </c>
      <c r="G1588" t="s">
        <v>8</v>
      </c>
      <c r="H1588">
        <v>1178.78</v>
      </c>
    </row>
    <row r="1589" spans="1:8" x14ac:dyDescent="0.3">
      <c r="A1589">
        <v>202104</v>
      </c>
      <c r="B1589" s="1">
        <v>44287</v>
      </c>
      <c r="C1589">
        <v>2021</v>
      </c>
      <c r="D1589" t="s">
        <v>11</v>
      </c>
      <c r="E1589" t="s">
        <v>23</v>
      </c>
      <c r="F1589" t="s">
        <v>40</v>
      </c>
      <c r="G1589" t="s">
        <v>8</v>
      </c>
      <c r="H1589">
        <v>1302.8499999999999</v>
      </c>
    </row>
    <row r="1590" spans="1:8" x14ac:dyDescent="0.3">
      <c r="A1590">
        <v>202105</v>
      </c>
      <c r="B1590" s="1">
        <v>44317</v>
      </c>
      <c r="C1590">
        <v>2021</v>
      </c>
      <c r="D1590" t="s">
        <v>12</v>
      </c>
      <c r="E1590" t="s">
        <v>23</v>
      </c>
      <c r="F1590" t="s">
        <v>40</v>
      </c>
      <c r="G1590" t="s">
        <v>8</v>
      </c>
      <c r="H1590">
        <v>1002.59</v>
      </c>
    </row>
    <row r="1591" spans="1:8" x14ac:dyDescent="0.3">
      <c r="A1591">
        <v>202106</v>
      </c>
      <c r="B1591" s="1">
        <v>44348</v>
      </c>
      <c r="C1591">
        <v>2021</v>
      </c>
      <c r="D1591" t="s">
        <v>13</v>
      </c>
      <c r="E1591" t="s">
        <v>23</v>
      </c>
      <c r="F1591" t="s">
        <v>40</v>
      </c>
      <c r="G1591" t="s">
        <v>8</v>
      </c>
      <c r="H1591">
        <v>1167.52</v>
      </c>
    </row>
    <row r="1592" spans="1:8" x14ac:dyDescent="0.3">
      <c r="A1592">
        <v>202107</v>
      </c>
      <c r="B1592" s="1">
        <v>44378</v>
      </c>
      <c r="C1592">
        <v>2021</v>
      </c>
      <c r="D1592" t="s">
        <v>14</v>
      </c>
      <c r="E1592" t="s">
        <v>23</v>
      </c>
      <c r="F1592" t="s">
        <v>40</v>
      </c>
      <c r="G1592" t="s">
        <v>8</v>
      </c>
      <c r="H1592">
        <v>1162.81</v>
      </c>
    </row>
    <row r="1593" spans="1:8" x14ac:dyDescent="0.3">
      <c r="A1593">
        <v>202108</v>
      </c>
      <c r="B1593" s="1">
        <v>44409</v>
      </c>
      <c r="C1593">
        <v>2021</v>
      </c>
      <c r="D1593" t="s">
        <v>15</v>
      </c>
      <c r="E1593" t="s">
        <v>23</v>
      </c>
      <c r="F1593" t="s">
        <v>40</v>
      </c>
      <c r="G1593" t="s">
        <v>8</v>
      </c>
      <c r="H1593">
        <v>1030.97</v>
      </c>
    </row>
    <row r="1594" spans="1:8" x14ac:dyDescent="0.3">
      <c r="A1594">
        <v>202109</v>
      </c>
      <c r="B1594" s="1">
        <v>44440</v>
      </c>
      <c r="C1594">
        <v>2021</v>
      </c>
      <c r="D1594" t="s">
        <v>16</v>
      </c>
      <c r="E1594" t="s">
        <v>23</v>
      </c>
      <c r="F1594" t="s">
        <v>40</v>
      </c>
      <c r="G1594" t="s">
        <v>8</v>
      </c>
      <c r="H1594">
        <v>931.53</v>
      </c>
    </row>
    <row r="1595" spans="1:8" x14ac:dyDescent="0.3">
      <c r="A1595">
        <v>202110</v>
      </c>
      <c r="B1595" s="1">
        <v>44470</v>
      </c>
      <c r="C1595">
        <v>2021</v>
      </c>
      <c r="D1595" t="s">
        <v>17</v>
      </c>
      <c r="E1595" t="s">
        <v>23</v>
      </c>
      <c r="F1595" t="s">
        <v>40</v>
      </c>
      <c r="G1595" t="s">
        <v>8</v>
      </c>
      <c r="H1595">
        <v>1081.98</v>
      </c>
    </row>
    <row r="1596" spans="1:8" x14ac:dyDescent="0.3">
      <c r="A1596">
        <v>202111</v>
      </c>
      <c r="B1596" s="1">
        <v>44501</v>
      </c>
      <c r="C1596">
        <v>2021</v>
      </c>
      <c r="D1596" t="s">
        <v>18</v>
      </c>
      <c r="E1596" t="s">
        <v>23</v>
      </c>
      <c r="F1596" t="s">
        <v>40</v>
      </c>
      <c r="G1596" t="s">
        <v>8</v>
      </c>
      <c r="H1596">
        <v>1209.5</v>
      </c>
    </row>
    <row r="1597" spans="1:8" x14ac:dyDescent="0.3">
      <c r="A1597">
        <v>202112</v>
      </c>
      <c r="B1597" s="1">
        <v>44531</v>
      </c>
      <c r="C1597">
        <v>2021</v>
      </c>
      <c r="D1597" t="s">
        <v>19</v>
      </c>
      <c r="E1597" t="s">
        <v>23</v>
      </c>
      <c r="F1597" t="s">
        <v>40</v>
      </c>
      <c r="G1597" t="s">
        <v>8</v>
      </c>
      <c r="H1597">
        <v>1126.0999999999999</v>
      </c>
    </row>
    <row r="1598" spans="1:8" x14ac:dyDescent="0.3">
      <c r="A1598">
        <v>202101</v>
      </c>
      <c r="B1598" s="1">
        <v>44197</v>
      </c>
      <c r="C1598">
        <v>2021</v>
      </c>
      <c r="D1598" t="s">
        <v>6</v>
      </c>
      <c r="E1598" t="s">
        <v>23</v>
      </c>
      <c r="F1598" t="s">
        <v>40</v>
      </c>
      <c r="G1598" t="s">
        <v>8</v>
      </c>
      <c r="H1598">
        <v>495.87</v>
      </c>
    </row>
    <row r="1599" spans="1:8" x14ac:dyDescent="0.3">
      <c r="A1599">
        <v>202102</v>
      </c>
      <c r="B1599" s="1">
        <v>44228</v>
      </c>
      <c r="C1599">
        <v>2021</v>
      </c>
      <c r="D1599" t="s">
        <v>9</v>
      </c>
      <c r="E1599" t="s">
        <v>23</v>
      </c>
      <c r="F1599" t="s">
        <v>40</v>
      </c>
      <c r="G1599" t="s">
        <v>8</v>
      </c>
      <c r="H1599">
        <v>336.73</v>
      </c>
    </row>
    <row r="1600" spans="1:8" x14ac:dyDescent="0.3">
      <c r="A1600">
        <v>202103</v>
      </c>
      <c r="B1600" s="1">
        <v>44256</v>
      </c>
      <c r="C1600">
        <v>2021</v>
      </c>
      <c r="D1600" t="s">
        <v>10</v>
      </c>
      <c r="E1600" t="s">
        <v>23</v>
      </c>
      <c r="F1600" t="s">
        <v>40</v>
      </c>
      <c r="G1600" t="s">
        <v>8</v>
      </c>
      <c r="H1600">
        <v>329.86</v>
      </c>
    </row>
    <row r="1601" spans="1:8" x14ac:dyDescent="0.3">
      <c r="A1601">
        <v>202104</v>
      </c>
      <c r="B1601" s="1">
        <v>44287</v>
      </c>
      <c r="C1601">
        <v>2021</v>
      </c>
      <c r="D1601" t="s">
        <v>11</v>
      </c>
      <c r="E1601" t="s">
        <v>23</v>
      </c>
      <c r="F1601" t="s">
        <v>40</v>
      </c>
      <c r="G1601" t="s">
        <v>8</v>
      </c>
      <c r="H1601">
        <v>468.18</v>
      </c>
    </row>
    <row r="1602" spans="1:8" x14ac:dyDescent="0.3">
      <c r="A1602">
        <v>202105</v>
      </c>
      <c r="B1602" s="1">
        <v>44317</v>
      </c>
      <c r="C1602">
        <v>2021</v>
      </c>
      <c r="D1602" t="s">
        <v>12</v>
      </c>
      <c r="E1602" t="s">
        <v>23</v>
      </c>
      <c r="F1602" t="s">
        <v>40</v>
      </c>
      <c r="G1602" t="s">
        <v>8</v>
      </c>
      <c r="H1602">
        <v>418.13</v>
      </c>
    </row>
    <row r="1603" spans="1:8" x14ac:dyDescent="0.3">
      <c r="A1603">
        <v>202106</v>
      </c>
      <c r="B1603" s="1">
        <v>44348</v>
      </c>
      <c r="C1603">
        <v>2021</v>
      </c>
      <c r="D1603" t="s">
        <v>13</v>
      </c>
      <c r="E1603" t="s">
        <v>23</v>
      </c>
      <c r="F1603" t="s">
        <v>40</v>
      </c>
      <c r="G1603" t="s">
        <v>8</v>
      </c>
      <c r="H1603">
        <v>385.99</v>
      </c>
    </row>
    <row r="1604" spans="1:8" x14ac:dyDescent="0.3">
      <c r="A1604">
        <v>202107</v>
      </c>
      <c r="B1604" s="1">
        <v>44378</v>
      </c>
      <c r="C1604">
        <v>2021</v>
      </c>
      <c r="D1604" t="s">
        <v>14</v>
      </c>
      <c r="E1604" t="s">
        <v>23</v>
      </c>
      <c r="F1604" t="s">
        <v>40</v>
      </c>
      <c r="G1604" t="s">
        <v>8</v>
      </c>
      <c r="H1604">
        <v>493.51</v>
      </c>
    </row>
    <row r="1605" spans="1:8" x14ac:dyDescent="0.3">
      <c r="A1605">
        <v>202108</v>
      </c>
      <c r="B1605" s="1">
        <v>44409</v>
      </c>
      <c r="C1605">
        <v>2021</v>
      </c>
      <c r="D1605" t="s">
        <v>15</v>
      </c>
      <c r="E1605" t="s">
        <v>23</v>
      </c>
      <c r="F1605" t="s">
        <v>40</v>
      </c>
      <c r="G1605" t="s">
        <v>8</v>
      </c>
      <c r="H1605">
        <v>486.65</v>
      </c>
    </row>
    <row r="1606" spans="1:8" x14ac:dyDescent="0.3">
      <c r="A1606">
        <v>202109</v>
      </c>
      <c r="B1606" s="1">
        <v>44440</v>
      </c>
      <c r="C1606">
        <v>2021</v>
      </c>
      <c r="D1606" t="s">
        <v>16</v>
      </c>
      <c r="E1606" t="s">
        <v>23</v>
      </c>
      <c r="F1606" t="s">
        <v>40</v>
      </c>
      <c r="G1606" t="s">
        <v>8</v>
      </c>
      <c r="H1606">
        <v>379.08</v>
      </c>
    </row>
    <row r="1607" spans="1:8" x14ac:dyDescent="0.3">
      <c r="A1607">
        <v>202110</v>
      </c>
      <c r="B1607" s="1">
        <v>44470</v>
      </c>
      <c r="C1607">
        <v>2021</v>
      </c>
      <c r="D1607" t="s">
        <v>17</v>
      </c>
      <c r="E1607" t="s">
        <v>23</v>
      </c>
      <c r="F1607" t="s">
        <v>40</v>
      </c>
      <c r="G1607" t="s">
        <v>8</v>
      </c>
      <c r="H1607">
        <v>451.52</v>
      </c>
    </row>
    <row r="1608" spans="1:8" x14ac:dyDescent="0.3">
      <c r="A1608">
        <v>202111</v>
      </c>
      <c r="B1608" s="1">
        <v>44501</v>
      </c>
      <c r="C1608">
        <v>2021</v>
      </c>
      <c r="D1608" t="s">
        <v>18</v>
      </c>
      <c r="E1608" t="s">
        <v>23</v>
      </c>
      <c r="F1608" t="s">
        <v>40</v>
      </c>
      <c r="G1608" t="s">
        <v>8</v>
      </c>
      <c r="H1608">
        <v>511.23</v>
      </c>
    </row>
    <row r="1609" spans="1:8" x14ac:dyDescent="0.3">
      <c r="A1609">
        <v>202112</v>
      </c>
      <c r="B1609" s="1">
        <v>44531</v>
      </c>
      <c r="C1609">
        <v>2021</v>
      </c>
      <c r="D1609" t="s">
        <v>19</v>
      </c>
      <c r="E1609" t="s">
        <v>23</v>
      </c>
      <c r="F1609" t="s">
        <v>40</v>
      </c>
      <c r="G1609" t="s">
        <v>8</v>
      </c>
      <c r="H1609">
        <v>406.15</v>
      </c>
    </row>
    <row r="1610" spans="1:8" x14ac:dyDescent="0.3">
      <c r="A1610">
        <v>202101</v>
      </c>
      <c r="B1610" s="1">
        <v>44197</v>
      </c>
      <c r="C1610">
        <v>2021</v>
      </c>
      <c r="D1610" t="s">
        <v>6</v>
      </c>
      <c r="E1610" t="s">
        <v>23</v>
      </c>
      <c r="F1610" t="s">
        <v>40</v>
      </c>
      <c r="G1610" t="s">
        <v>8</v>
      </c>
      <c r="H1610">
        <v>1053.81</v>
      </c>
    </row>
    <row r="1611" spans="1:8" x14ac:dyDescent="0.3">
      <c r="A1611">
        <v>202102</v>
      </c>
      <c r="B1611" s="1">
        <v>44228</v>
      </c>
      <c r="C1611">
        <v>2021</v>
      </c>
      <c r="D1611" t="s">
        <v>9</v>
      </c>
      <c r="E1611" t="s">
        <v>23</v>
      </c>
      <c r="F1611" t="s">
        <v>40</v>
      </c>
      <c r="G1611" t="s">
        <v>8</v>
      </c>
      <c r="H1611">
        <v>682.43</v>
      </c>
    </row>
    <row r="1612" spans="1:8" x14ac:dyDescent="0.3">
      <c r="A1612">
        <v>202103</v>
      </c>
      <c r="B1612" s="1">
        <v>44256</v>
      </c>
      <c r="C1612">
        <v>2021</v>
      </c>
      <c r="D1612" t="s">
        <v>10</v>
      </c>
      <c r="E1612" t="s">
        <v>23</v>
      </c>
      <c r="F1612" t="s">
        <v>40</v>
      </c>
      <c r="G1612" t="s">
        <v>8</v>
      </c>
      <c r="H1612">
        <v>767.16</v>
      </c>
    </row>
    <row r="1613" spans="1:8" x14ac:dyDescent="0.3">
      <c r="A1613">
        <v>202104</v>
      </c>
      <c r="B1613" s="1">
        <v>44287</v>
      </c>
      <c r="C1613">
        <v>2021</v>
      </c>
      <c r="D1613" t="s">
        <v>11</v>
      </c>
      <c r="E1613" t="s">
        <v>23</v>
      </c>
      <c r="F1613" t="s">
        <v>40</v>
      </c>
      <c r="G1613" t="s">
        <v>8</v>
      </c>
      <c r="H1613">
        <v>1384.54</v>
      </c>
    </row>
    <row r="1614" spans="1:8" x14ac:dyDescent="0.3">
      <c r="A1614">
        <v>202105</v>
      </c>
      <c r="B1614" s="1">
        <v>44317</v>
      </c>
      <c r="C1614">
        <v>2021</v>
      </c>
      <c r="D1614" t="s">
        <v>12</v>
      </c>
      <c r="E1614" t="s">
        <v>23</v>
      </c>
      <c r="F1614" t="s">
        <v>40</v>
      </c>
      <c r="G1614" t="s">
        <v>8</v>
      </c>
      <c r="H1614">
        <v>1452.79</v>
      </c>
    </row>
    <row r="1615" spans="1:8" x14ac:dyDescent="0.3">
      <c r="A1615">
        <v>202106</v>
      </c>
      <c r="B1615" s="1">
        <v>44348</v>
      </c>
      <c r="C1615">
        <v>2021</v>
      </c>
      <c r="D1615" t="s">
        <v>13</v>
      </c>
      <c r="E1615" t="s">
        <v>23</v>
      </c>
      <c r="F1615" t="s">
        <v>40</v>
      </c>
      <c r="G1615" t="s">
        <v>8</v>
      </c>
      <c r="H1615">
        <v>866.52</v>
      </c>
    </row>
    <row r="1616" spans="1:8" x14ac:dyDescent="0.3">
      <c r="A1616">
        <v>202107</v>
      </c>
      <c r="B1616" s="1">
        <v>44378</v>
      </c>
      <c r="C1616">
        <v>2021</v>
      </c>
      <c r="D1616" t="s">
        <v>14</v>
      </c>
      <c r="E1616" t="s">
        <v>23</v>
      </c>
      <c r="F1616" t="s">
        <v>40</v>
      </c>
      <c r="G1616" t="s">
        <v>8</v>
      </c>
      <c r="H1616">
        <v>1005.21</v>
      </c>
    </row>
    <row r="1617" spans="1:8" x14ac:dyDescent="0.3">
      <c r="A1617">
        <v>202108</v>
      </c>
      <c r="B1617" s="1">
        <v>44409</v>
      </c>
      <c r="C1617">
        <v>2021</v>
      </c>
      <c r="D1617" t="s">
        <v>15</v>
      </c>
      <c r="E1617" t="s">
        <v>23</v>
      </c>
      <c r="F1617" t="s">
        <v>40</v>
      </c>
      <c r="G1617" t="s">
        <v>8</v>
      </c>
      <c r="H1617">
        <v>1411.99</v>
      </c>
    </row>
    <row r="1618" spans="1:8" x14ac:dyDescent="0.3">
      <c r="A1618">
        <v>202109</v>
      </c>
      <c r="B1618" s="1">
        <v>44440</v>
      </c>
      <c r="C1618">
        <v>2021</v>
      </c>
      <c r="D1618" t="s">
        <v>16</v>
      </c>
      <c r="E1618" t="s">
        <v>23</v>
      </c>
      <c r="F1618" t="s">
        <v>40</v>
      </c>
      <c r="G1618" t="s">
        <v>8</v>
      </c>
      <c r="H1618">
        <v>799.08</v>
      </c>
    </row>
    <row r="1619" spans="1:8" x14ac:dyDescent="0.3">
      <c r="A1619">
        <v>202110</v>
      </c>
      <c r="B1619" s="1">
        <v>44470</v>
      </c>
      <c r="C1619">
        <v>2021</v>
      </c>
      <c r="D1619" t="s">
        <v>17</v>
      </c>
      <c r="E1619" t="s">
        <v>23</v>
      </c>
      <c r="F1619" t="s">
        <v>40</v>
      </c>
      <c r="G1619" t="s">
        <v>8</v>
      </c>
      <c r="H1619">
        <v>886.54</v>
      </c>
    </row>
    <row r="1620" spans="1:8" x14ac:dyDescent="0.3">
      <c r="A1620">
        <v>202111</v>
      </c>
      <c r="B1620" s="1">
        <v>44501</v>
      </c>
      <c r="C1620">
        <v>2021</v>
      </c>
      <c r="D1620" t="s">
        <v>18</v>
      </c>
      <c r="E1620" t="s">
        <v>23</v>
      </c>
      <c r="F1620" t="s">
        <v>40</v>
      </c>
      <c r="G1620" t="s">
        <v>8</v>
      </c>
      <c r="H1620">
        <v>1477.22</v>
      </c>
    </row>
    <row r="1621" spans="1:8" x14ac:dyDescent="0.3">
      <c r="A1621">
        <v>202112</v>
      </c>
      <c r="B1621" s="1">
        <v>44531</v>
      </c>
      <c r="C1621">
        <v>2021</v>
      </c>
      <c r="D1621" t="s">
        <v>19</v>
      </c>
      <c r="E1621" t="s">
        <v>23</v>
      </c>
      <c r="F1621" t="s">
        <v>40</v>
      </c>
      <c r="G1621" t="s">
        <v>8</v>
      </c>
      <c r="H1621">
        <v>977.36</v>
      </c>
    </row>
    <row r="1622" spans="1:8" x14ac:dyDescent="0.3">
      <c r="A1622">
        <v>202101</v>
      </c>
      <c r="B1622" s="1">
        <v>44197</v>
      </c>
      <c r="C1622">
        <v>2021</v>
      </c>
      <c r="D1622" t="s">
        <v>6</v>
      </c>
      <c r="E1622" t="s">
        <v>23</v>
      </c>
      <c r="F1622" t="s">
        <v>40</v>
      </c>
      <c r="G1622" t="s">
        <v>8</v>
      </c>
      <c r="H1622">
        <v>380.81</v>
      </c>
    </row>
    <row r="1623" spans="1:8" x14ac:dyDescent="0.3">
      <c r="A1623">
        <v>202102</v>
      </c>
      <c r="B1623" s="1">
        <v>44228</v>
      </c>
      <c r="C1623">
        <v>2021</v>
      </c>
      <c r="D1623" t="s">
        <v>9</v>
      </c>
      <c r="E1623" t="s">
        <v>23</v>
      </c>
      <c r="F1623" t="s">
        <v>40</v>
      </c>
      <c r="G1623" t="s">
        <v>8</v>
      </c>
      <c r="H1623">
        <v>233.66</v>
      </c>
    </row>
    <row r="1624" spans="1:8" x14ac:dyDescent="0.3">
      <c r="A1624">
        <v>202103</v>
      </c>
      <c r="B1624" s="1">
        <v>44256</v>
      </c>
      <c r="C1624">
        <v>2021</v>
      </c>
      <c r="D1624" t="s">
        <v>10</v>
      </c>
      <c r="E1624" t="s">
        <v>23</v>
      </c>
      <c r="F1624" t="s">
        <v>40</v>
      </c>
      <c r="G1624" t="s">
        <v>8</v>
      </c>
      <c r="H1624">
        <v>266.54000000000002</v>
      </c>
    </row>
    <row r="1625" spans="1:8" x14ac:dyDescent="0.3">
      <c r="A1625">
        <v>202104</v>
      </c>
      <c r="B1625" s="1">
        <v>44287</v>
      </c>
      <c r="C1625">
        <v>2021</v>
      </c>
      <c r="D1625" t="s">
        <v>11</v>
      </c>
      <c r="E1625" t="s">
        <v>23</v>
      </c>
      <c r="F1625" t="s">
        <v>40</v>
      </c>
      <c r="G1625" t="s">
        <v>8</v>
      </c>
      <c r="H1625">
        <v>370.85</v>
      </c>
    </row>
    <row r="1626" spans="1:8" x14ac:dyDescent="0.3">
      <c r="A1626">
        <v>202105</v>
      </c>
      <c r="B1626" s="1">
        <v>44317</v>
      </c>
      <c r="C1626">
        <v>2021</v>
      </c>
      <c r="D1626" t="s">
        <v>12</v>
      </c>
      <c r="E1626" t="s">
        <v>23</v>
      </c>
      <c r="F1626" t="s">
        <v>40</v>
      </c>
      <c r="G1626" t="s">
        <v>8</v>
      </c>
      <c r="H1626">
        <v>342.79</v>
      </c>
    </row>
    <row r="1627" spans="1:8" x14ac:dyDescent="0.3">
      <c r="A1627">
        <v>202106</v>
      </c>
      <c r="B1627" s="1">
        <v>44348</v>
      </c>
      <c r="C1627">
        <v>2021</v>
      </c>
      <c r="D1627" t="s">
        <v>13</v>
      </c>
      <c r="E1627" t="s">
        <v>23</v>
      </c>
      <c r="F1627" t="s">
        <v>40</v>
      </c>
      <c r="G1627" t="s">
        <v>8</v>
      </c>
      <c r="H1627">
        <v>306.29000000000002</v>
      </c>
    </row>
    <row r="1628" spans="1:8" x14ac:dyDescent="0.3">
      <c r="A1628">
        <v>202107</v>
      </c>
      <c r="B1628" s="1">
        <v>44378</v>
      </c>
      <c r="C1628">
        <v>2021</v>
      </c>
      <c r="D1628" t="s">
        <v>14</v>
      </c>
      <c r="E1628" t="s">
        <v>23</v>
      </c>
      <c r="F1628" t="s">
        <v>40</v>
      </c>
      <c r="G1628" t="s">
        <v>8</v>
      </c>
      <c r="H1628">
        <v>306.64999999999998</v>
      </c>
    </row>
    <row r="1629" spans="1:8" x14ac:dyDescent="0.3">
      <c r="A1629">
        <v>202108</v>
      </c>
      <c r="B1629" s="1">
        <v>44409</v>
      </c>
      <c r="C1629">
        <v>2021</v>
      </c>
      <c r="D1629" t="s">
        <v>15</v>
      </c>
      <c r="E1629" t="s">
        <v>23</v>
      </c>
      <c r="F1629" t="s">
        <v>40</v>
      </c>
      <c r="G1629" t="s">
        <v>8</v>
      </c>
      <c r="H1629">
        <v>351.08</v>
      </c>
    </row>
    <row r="1630" spans="1:8" x14ac:dyDescent="0.3">
      <c r="A1630">
        <v>202109</v>
      </c>
      <c r="B1630" s="1">
        <v>44440</v>
      </c>
      <c r="C1630">
        <v>2021</v>
      </c>
      <c r="D1630" t="s">
        <v>16</v>
      </c>
      <c r="E1630" t="s">
        <v>23</v>
      </c>
      <c r="F1630" t="s">
        <v>40</v>
      </c>
      <c r="G1630" t="s">
        <v>8</v>
      </c>
      <c r="H1630">
        <v>243.84</v>
      </c>
    </row>
    <row r="1631" spans="1:8" x14ac:dyDescent="0.3">
      <c r="A1631">
        <v>202110</v>
      </c>
      <c r="B1631" s="1">
        <v>44470</v>
      </c>
      <c r="C1631">
        <v>2021</v>
      </c>
      <c r="D1631" t="s">
        <v>17</v>
      </c>
      <c r="E1631" t="s">
        <v>23</v>
      </c>
      <c r="F1631" t="s">
        <v>40</v>
      </c>
      <c r="G1631" t="s">
        <v>8</v>
      </c>
      <c r="H1631">
        <v>303.49</v>
      </c>
    </row>
    <row r="1632" spans="1:8" x14ac:dyDescent="0.3">
      <c r="A1632">
        <v>202111</v>
      </c>
      <c r="B1632" s="1">
        <v>44501</v>
      </c>
      <c r="C1632">
        <v>2021</v>
      </c>
      <c r="D1632" t="s">
        <v>18</v>
      </c>
      <c r="E1632" t="s">
        <v>23</v>
      </c>
      <c r="F1632" t="s">
        <v>40</v>
      </c>
      <c r="G1632" t="s">
        <v>8</v>
      </c>
      <c r="H1632">
        <v>328.44</v>
      </c>
    </row>
    <row r="1633" spans="1:8" x14ac:dyDescent="0.3">
      <c r="A1633">
        <v>202112</v>
      </c>
      <c r="B1633" s="1">
        <v>44531</v>
      </c>
      <c r="C1633">
        <v>2021</v>
      </c>
      <c r="D1633" t="s">
        <v>19</v>
      </c>
      <c r="E1633" t="s">
        <v>23</v>
      </c>
      <c r="F1633" t="s">
        <v>40</v>
      </c>
      <c r="G1633" t="s">
        <v>8</v>
      </c>
      <c r="H1633">
        <v>339.08</v>
      </c>
    </row>
    <row r="1634" spans="1:8" x14ac:dyDescent="0.3">
      <c r="A1634">
        <v>202101</v>
      </c>
      <c r="B1634" s="1">
        <v>44197</v>
      </c>
      <c r="C1634">
        <v>2021</v>
      </c>
      <c r="D1634" t="s">
        <v>6</v>
      </c>
      <c r="E1634" t="s">
        <v>23</v>
      </c>
      <c r="F1634" t="s">
        <v>40</v>
      </c>
      <c r="G1634" t="s">
        <v>8</v>
      </c>
      <c r="H1634">
        <v>173.16</v>
      </c>
    </row>
    <row r="1635" spans="1:8" x14ac:dyDescent="0.3">
      <c r="A1635">
        <v>202102</v>
      </c>
      <c r="B1635" s="1">
        <v>44228</v>
      </c>
      <c r="C1635">
        <v>2021</v>
      </c>
      <c r="D1635" t="s">
        <v>9</v>
      </c>
      <c r="E1635" t="s">
        <v>23</v>
      </c>
      <c r="F1635" t="s">
        <v>40</v>
      </c>
      <c r="G1635" t="s">
        <v>8</v>
      </c>
      <c r="H1635">
        <v>159.59</v>
      </c>
    </row>
    <row r="1636" spans="1:8" x14ac:dyDescent="0.3">
      <c r="A1636">
        <v>202103</v>
      </c>
      <c r="B1636" s="1">
        <v>44256</v>
      </c>
      <c r="C1636">
        <v>2021</v>
      </c>
      <c r="D1636" t="s">
        <v>10</v>
      </c>
      <c r="E1636" t="s">
        <v>23</v>
      </c>
      <c r="F1636" t="s">
        <v>40</v>
      </c>
      <c r="G1636" t="s">
        <v>8</v>
      </c>
      <c r="H1636">
        <v>113.96</v>
      </c>
    </row>
    <row r="1637" spans="1:8" x14ac:dyDescent="0.3">
      <c r="A1637">
        <v>202104</v>
      </c>
      <c r="B1637" s="1">
        <v>44287</v>
      </c>
      <c r="C1637">
        <v>2021</v>
      </c>
      <c r="D1637" t="s">
        <v>11</v>
      </c>
      <c r="E1637" t="s">
        <v>23</v>
      </c>
      <c r="F1637" t="s">
        <v>40</v>
      </c>
      <c r="G1637" t="s">
        <v>8</v>
      </c>
      <c r="H1637">
        <v>243.31</v>
      </c>
    </row>
    <row r="1638" spans="1:8" x14ac:dyDescent="0.3">
      <c r="A1638">
        <v>202105</v>
      </c>
      <c r="B1638" s="1">
        <v>44317</v>
      </c>
      <c r="C1638">
        <v>2021</v>
      </c>
      <c r="D1638" t="s">
        <v>12</v>
      </c>
      <c r="E1638" t="s">
        <v>23</v>
      </c>
      <c r="F1638" t="s">
        <v>40</v>
      </c>
      <c r="G1638" t="s">
        <v>8</v>
      </c>
      <c r="H1638">
        <v>178.51</v>
      </c>
    </row>
    <row r="1639" spans="1:8" x14ac:dyDescent="0.3">
      <c r="A1639">
        <v>202106</v>
      </c>
      <c r="B1639" s="1">
        <v>44348</v>
      </c>
      <c r="C1639">
        <v>2021</v>
      </c>
      <c r="D1639" t="s">
        <v>13</v>
      </c>
      <c r="E1639" t="s">
        <v>23</v>
      </c>
      <c r="F1639" t="s">
        <v>40</v>
      </c>
      <c r="G1639" t="s">
        <v>8</v>
      </c>
      <c r="H1639">
        <v>132.69999999999999</v>
      </c>
    </row>
    <row r="1640" spans="1:8" x14ac:dyDescent="0.3">
      <c r="A1640">
        <v>202107</v>
      </c>
      <c r="B1640" s="1">
        <v>44378</v>
      </c>
      <c r="C1640">
        <v>2021</v>
      </c>
      <c r="D1640" t="s">
        <v>14</v>
      </c>
      <c r="E1640" t="s">
        <v>23</v>
      </c>
      <c r="F1640" t="s">
        <v>40</v>
      </c>
      <c r="G1640" t="s">
        <v>8</v>
      </c>
      <c r="H1640">
        <v>108.86</v>
      </c>
    </row>
    <row r="1641" spans="1:8" x14ac:dyDescent="0.3">
      <c r="A1641">
        <v>202108</v>
      </c>
      <c r="B1641" s="1">
        <v>44409</v>
      </c>
      <c r="C1641">
        <v>2021</v>
      </c>
      <c r="D1641" t="s">
        <v>15</v>
      </c>
      <c r="E1641" t="s">
        <v>23</v>
      </c>
      <c r="F1641" t="s">
        <v>40</v>
      </c>
      <c r="G1641" t="s">
        <v>8</v>
      </c>
      <c r="H1641">
        <v>168.95</v>
      </c>
    </row>
    <row r="1642" spans="1:8" x14ac:dyDescent="0.3">
      <c r="A1642">
        <v>202109</v>
      </c>
      <c r="B1642" s="1">
        <v>44440</v>
      </c>
      <c r="C1642">
        <v>2021</v>
      </c>
      <c r="D1642" t="s">
        <v>16</v>
      </c>
      <c r="E1642" t="s">
        <v>23</v>
      </c>
      <c r="F1642" t="s">
        <v>40</v>
      </c>
      <c r="G1642" t="s">
        <v>8</v>
      </c>
      <c r="H1642">
        <v>101.56</v>
      </c>
    </row>
    <row r="1643" spans="1:8" x14ac:dyDescent="0.3">
      <c r="A1643">
        <v>202110</v>
      </c>
      <c r="B1643" s="1">
        <v>44470</v>
      </c>
      <c r="C1643">
        <v>2021</v>
      </c>
      <c r="D1643" t="s">
        <v>17</v>
      </c>
      <c r="E1643" t="s">
        <v>23</v>
      </c>
      <c r="F1643" t="s">
        <v>40</v>
      </c>
      <c r="G1643" t="s">
        <v>8</v>
      </c>
      <c r="H1643">
        <v>119.88</v>
      </c>
    </row>
    <row r="1644" spans="1:8" x14ac:dyDescent="0.3">
      <c r="A1644">
        <v>202111</v>
      </c>
      <c r="B1644" s="1">
        <v>44501</v>
      </c>
      <c r="C1644">
        <v>2021</v>
      </c>
      <c r="D1644" t="s">
        <v>18</v>
      </c>
      <c r="E1644" t="s">
        <v>23</v>
      </c>
      <c r="F1644" t="s">
        <v>40</v>
      </c>
      <c r="G1644" t="s">
        <v>8</v>
      </c>
      <c r="H1644">
        <v>193.18</v>
      </c>
    </row>
    <row r="1645" spans="1:8" x14ac:dyDescent="0.3">
      <c r="A1645">
        <v>202112</v>
      </c>
      <c r="B1645" s="1">
        <v>44531</v>
      </c>
      <c r="C1645">
        <v>2021</v>
      </c>
      <c r="D1645" t="s">
        <v>19</v>
      </c>
      <c r="E1645" t="s">
        <v>23</v>
      </c>
      <c r="F1645" t="s">
        <v>40</v>
      </c>
      <c r="G1645" t="s">
        <v>8</v>
      </c>
      <c r="H1645">
        <v>183.33</v>
      </c>
    </row>
    <row r="1646" spans="1:8" x14ac:dyDescent="0.3">
      <c r="A1646">
        <v>202101</v>
      </c>
      <c r="B1646" s="1">
        <v>44197</v>
      </c>
      <c r="C1646">
        <v>2021</v>
      </c>
      <c r="D1646" t="s">
        <v>6</v>
      </c>
      <c r="E1646" t="s">
        <v>23</v>
      </c>
      <c r="F1646" t="s">
        <v>40</v>
      </c>
      <c r="G1646" t="s">
        <v>8</v>
      </c>
      <c r="H1646">
        <v>571.42999999999995</v>
      </c>
    </row>
    <row r="1647" spans="1:8" x14ac:dyDescent="0.3">
      <c r="A1647">
        <v>202102</v>
      </c>
      <c r="B1647" s="1">
        <v>44228</v>
      </c>
      <c r="C1647">
        <v>2021</v>
      </c>
      <c r="D1647" t="s">
        <v>9</v>
      </c>
      <c r="E1647" t="s">
        <v>23</v>
      </c>
      <c r="F1647" t="s">
        <v>40</v>
      </c>
      <c r="G1647" t="s">
        <v>8</v>
      </c>
      <c r="H1647">
        <v>425.95</v>
      </c>
    </row>
    <row r="1648" spans="1:8" x14ac:dyDescent="0.3">
      <c r="A1648">
        <v>202103</v>
      </c>
      <c r="B1648" s="1">
        <v>44256</v>
      </c>
      <c r="C1648">
        <v>2021</v>
      </c>
      <c r="D1648" t="s">
        <v>10</v>
      </c>
      <c r="E1648" t="s">
        <v>23</v>
      </c>
      <c r="F1648" t="s">
        <v>40</v>
      </c>
      <c r="G1648" t="s">
        <v>8</v>
      </c>
      <c r="H1648">
        <v>406.36</v>
      </c>
    </row>
    <row r="1649" spans="1:8" x14ac:dyDescent="0.3">
      <c r="A1649">
        <v>202104</v>
      </c>
      <c r="B1649" s="1">
        <v>44287</v>
      </c>
      <c r="C1649">
        <v>2021</v>
      </c>
      <c r="D1649" t="s">
        <v>11</v>
      </c>
      <c r="E1649" t="s">
        <v>23</v>
      </c>
      <c r="F1649" t="s">
        <v>40</v>
      </c>
      <c r="G1649" t="s">
        <v>8</v>
      </c>
      <c r="H1649">
        <v>902.62</v>
      </c>
    </row>
    <row r="1650" spans="1:8" x14ac:dyDescent="0.3">
      <c r="A1650">
        <v>202105</v>
      </c>
      <c r="B1650" s="1">
        <v>44317</v>
      </c>
      <c r="C1650">
        <v>2021</v>
      </c>
      <c r="D1650" t="s">
        <v>12</v>
      </c>
      <c r="E1650" t="s">
        <v>23</v>
      </c>
      <c r="F1650" t="s">
        <v>40</v>
      </c>
      <c r="G1650" t="s">
        <v>8</v>
      </c>
      <c r="H1650">
        <v>1008.05</v>
      </c>
    </row>
    <row r="1651" spans="1:8" x14ac:dyDescent="0.3">
      <c r="A1651">
        <v>202106</v>
      </c>
      <c r="B1651" s="1">
        <v>44348</v>
      </c>
      <c r="C1651">
        <v>2021</v>
      </c>
      <c r="D1651" t="s">
        <v>13</v>
      </c>
      <c r="E1651" t="s">
        <v>23</v>
      </c>
      <c r="F1651" t="s">
        <v>40</v>
      </c>
      <c r="G1651" t="s">
        <v>8</v>
      </c>
      <c r="H1651">
        <v>409.94</v>
      </c>
    </row>
    <row r="1652" spans="1:8" x14ac:dyDescent="0.3">
      <c r="A1652">
        <v>202107</v>
      </c>
      <c r="B1652" s="1">
        <v>44378</v>
      </c>
      <c r="C1652">
        <v>2021</v>
      </c>
      <c r="D1652" t="s">
        <v>14</v>
      </c>
      <c r="E1652" t="s">
        <v>23</v>
      </c>
      <c r="F1652" t="s">
        <v>40</v>
      </c>
      <c r="G1652" t="s">
        <v>8</v>
      </c>
      <c r="H1652">
        <v>543.14</v>
      </c>
    </row>
    <row r="1653" spans="1:8" x14ac:dyDescent="0.3">
      <c r="A1653">
        <v>202108</v>
      </c>
      <c r="B1653" s="1">
        <v>44409</v>
      </c>
      <c r="C1653">
        <v>2021</v>
      </c>
      <c r="D1653" t="s">
        <v>15</v>
      </c>
      <c r="E1653" t="s">
        <v>23</v>
      </c>
      <c r="F1653" t="s">
        <v>40</v>
      </c>
      <c r="G1653" t="s">
        <v>8</v>
      </c>
      <c r="H1653">
        <v>978.94</v>
      </c>
    </row>
    <row r="1654" spans="1:8" x14ac:dyDescent="0.3">
      <c r="A1654">
        <v>202109</v>
      </c>
      <c r="B1654" s="1">
        <v>44440</v>
      </c>
      <c r="C1654">
        <v>2021</v>
      </c>
      <c r="D1654" t="s">
        <v>16</v>
      </c>
      <c r="E1654" t="s">
        <v>23</v>
      </c>
      <c r="F1654" t="s">
        <v>40</v>
      </c>
      <c r="G1654" t="s">
        <v>8</v>
      </c>
      <c r="H1654">
        <v>512.21</v>
      </c>
    </row>
    <row r="1655" spans="1:8" x14ac:dyDescent="0.3">
      <c r="A1655">
        <v>202110</v>
      </c>
      <c r="B1655" s="1">
        <v>44470</v>
      </c>
      <c r="C1655">
        <v>2021</v>
      </c>
      <c r="D1655" t="s">
        <v>17</v>
      </c>
      <c r="E1655" t="s">
        <v>23</v>
      </c>
      <c r="F1655" t="s">
        <v>40</v>
      </c>
      <c r="G1655" t="s">
        <v>8</v>
      </c>
      <c r="H1655">
        <v>636.19000000000005</v>
      </c>
    </row>
    <row r="1656" spans="1:8" x14ac:dyDescent="0.3">
      <c r="A1656">
        <v>202111</v>
      </c>
      <c r="B1656" s="1">
        <v>44501</v>
      </c>
      <c r="C1656">
        <v>2021</v>
      </c>
      <c r="D1656" t="s">
        <v>18</v>
      </c>
      <c r="E1656" t="s">
        <v>23</v>
      </c>
      <c r="F1656" t="s">
        <v>40</v>
      </c>
      <c r="G1656" t="s">
        <v>8</v>
      </c>
      <c r="H1656">
        <v>1135.72</v>
      </c>
    </row>
    <row r="1657" spans="1:8" x14ac:dyDescent="0.3">
      <c r="A1657">
        <v>202112</v>
      </c>
      <c r="B1657" s="1">
        <v>44531</v>
      </c>
      <c r="C1657">
        <v>2021</v>
      </c>
      <c r="D1657" t="s">
        <v>19</v>
      </c>
      <c r="E1657" t="s">
        <v>23</v>
      </c>
      <c r="F1657" t="s">
        <v>40</v>
      </c>
      <c r="G1657" t="s">
        <v>8</v>
      </c>
      <c r="H1657">
        <v>574.89</v>
      </c>
    </row>
    <row r="1658" spans="1:8" x14ac:dyDescent="0.3">
      <c r="A1658">
        <v>202101</v>
      </c>
      <c r="B1658" s="1">
        <v>44197</v>
      </c>
      <c r="C1658">
        <v>2021</v>
      </c>
      <c r="D1658" t="s">
        <v>6</v>
      </c>
      <c r="E1658" t="s">
        <v>23</v>
      </c>
      <c r="F1658" t="s">
        <v>40</v>
      </c>
      <c r="G1658" t="s">
        <v>8</v>
      </c>
      <c r="H1658">
        <v>185.23</v>
      </c>
    </row>
    <row r="1659" spans="1:8" x14ac:dyDescent="0.3">
      <c r="A1659">
        <v>202102</v>
      </c>
      <c r="B1659" s="1">
        <v>44228</v>
      </c>
      <c r="C1659">
        <v>2021</v>
      </c>
      <c r="D1659" t="s">
        <v>9</v>
      </c>
      <c r="E1659" t="s">
        <v>23</v>
      </c>
      <c r="F1659" t="s">
        <v>40</v>
      </c>
      <c r="G1659" t="s">
        <v>8</v>
      </c>
      <c r="H1659">
        <v>123.51</v>
      </c>
    </row>
    <row r="1660" spans="1:8" x14ac:dyDescent="0.3">
      <c r="A1660">
        <v>202103</v>
      </c>
      <c r="B1660" s="1">
        <v>44256</v>
      </c>
      <c r="C1660">
        <v>2021</v>
      </c>
      <c r="D1660" t="s">
        <v>10</v>
      </c>
      <c r="E1660" t="s">
        <v>23</v>
      </c>
      <c r="F1660" t="s">
        <v>40</v>
      </c>
      <c r="G1660" t="s">
        <v>8</v>
      </c>
      <c r="H1660">
        <v>136.9</v>
      </c>
    </row>
    <row r="1661" spans="1:8" x14ac:dyDescent="0.3">
      <c r="A1661">
        <v>202104</v>
      </c>
      <c r="B1661" s="1">
        <v>44287</v>
      </c>
      <c r="C1661">
        <v>2021</v>
      </c>
      <c r="D1661" t="s">
        <v>11</v>
      </c>
      <c r="E1661" t="s">
        <v>23</v>
      </c>
      <c r="F1661" t="s">
        <v>40</v>
      </c>
      <c r="G1661" t="s">
        <v>8</v>
      </c>
      <c r="H1661">
        <v>163.02000000000001</v>
      </c>
    </row>
    <row r="1662" spans="1:8" x14ac:dyDescent="0.3">
      <c r="A1662">
        <v>202105</v>
      </c>
      <c r="B1662" s="1">
        <v>44317</v>
      </c>
      <c r="C1662">
        <v>2021</v>
      </c>
      <c r="D1662" t="s">
        <v>12</v>
      </c>
      <c r="E1662" t="s">
        <v>23</v>
      </c>
      <c r="F1662" t="s">
        <v>40</v>
      </c>
      <c r="G1662" t="s">
        <v>8</v>
      </c>
      <c r="H1662">
        <v>149.38</v>
      </c>
    </row>
    <row r="1663" spans="1:8" x14ac:dyDescent="0.3">
      <c r="A1663">
        <v>202106</v>
      </c>
      <c r="B1663" s="1">
        <v>44348</v>
      </c>
      <c r="C1663">
        <v>2021</v>
      </c>
      <c r="D1663" t="s">
        <v>13</v>
      </c>
      <c r="E1663" t="s">
        <v>23</v>
      </c>
      <c r="F1663" t="s">
        <v>40</v>
      </c>
      <c r="G1663" t="s">
        <v>8</v>
      </c>
      <c r="H1663">
        <v>140.68</v>
      </c>
    </row>
    <row r="1664" spans="1:8" x14ac:dyDescent="0.3">
      <c r="A1664">
        <v>202107</v>
      </c>
      <c r="B1664" s="1">
        <v>44378</v>
      </c>
      <c r="C1664">
        <v>2021</v>
      </c>
      <c r="D1664" t="s">
        <v>14</v>
      </c>
      <c r="E1664" t="s">
        <v>23</v>
      </c>
      <c r="F1664" t="s">
        <v>40</v>
      </c>
      <c r="G1664" t="s">
        <v>8</v>
      </c>
      <c r="H1664">
        <v>138.66</v>
      </c>
    </row>
    <row r="1665" spans="1:8" x14ac:dyDescent="0.3">
      <c r="A1665">
        <v>202108</v>
      </c>
      <c r="B1665" s="1">
        <v>44409</v>
      </c>
      <c r="C1665">
        <v>2021</v>
      </c>
      <c r="D1665" t="s">
        <v>15</v>
      </c>
      <c r="E1665" t="s">
        <v>23</v>
      </c>
      <c r="F1665" t="s">
        <v>40</v>
      </c>
      <c r="G1665" t="s">
        <v>8</v>
      </c>
      <c r="H1665">
        <v>147.36000000000001</v>
      </c>
    </row>
    <row r="1666" spans="1:8" x14ac:dyDescent="0.3">
      <c r="A1666">
        <v>202109</v>
      </c>
      <c r="B1666" s="1">
        <v>44440</v>
      </c>
      <c r="C1666">
        <v>2021</v>
      </c>
      <c r="D1666" t="s">
        <v>16</v>
      </c>
      <c r="E1666" t="s">
        <v>23</v>
      </c>
      <c r="F1666" t="s">
        <v>40</v>
      </c>
      <c r="G1666" t="s">
        <v>8</v>
      </c>
      <c r="H1666">
        <v>125.96</v>
      </c>
    </row>
    <row r="1667" spans="1:8" x14ac:dyDescent="0.3">
      <c r="A1667">
        <v>202110</v>
      </c>
      <c r="B1667" s="1">
        <v>44470</v>
      </c>
      <c r="C1667">
        <v>2021</v>
      </c>
      <c r="D1667" t="s">
        <v>17</v>
      </c>
      <c r="E1667" t="s">
        <v>23</v>
      </c>
      <c r="F1667" t="s">
        <v>40</v>
      </c>
      <c r="G1667" t="s">
        <v>8</v>
      </c>
      <c r="H1667">
        <v>157.06</v>
      </c>
    </row>
    <row r="1668" spans="1:8" x14ac:dyDescent="0.3">
      <c r="A1668">
        <v>202111</v>
      </c>
      <c r="B1668" s="1">
        <v>44501</v>
      </c>
      <c r="C1668">
        <v>2021</v>
      </c>
      <c r="D1668" t="s">
        <v>18</v>
      </c>
      <c r="E1668" t="s">
        <v>23</v>
      </c>
      <c r="F1668" t="s">
        <v>40</v>
      </c>
      <c r="G1668" t="s">
        <v>8</v>
      </c>
      <c r="H1668">
        <v>140.93</v>
      </c>
    </row>
    <row r="1669" spans="1:8" x14ac:dyDescent="0.3">
      <c r="A1669">
        <v>202112</v>
      </c>
      <c r="B1669" s="1">
        <v>44531</v>
      </c>
      <c r="C1669">
        <v>2021</v>
      </c>
      <c r="D1669" t="s">
        <v>19</v>
      </c>
      <c r="E1669" t="s">
        <v>23</v>
      </c>
      <c r="F1669" t="s">
        <v>40</v>
      </c>
      <c r="G1669" t="s">
        <v>8</v>
      </c>
      <c r="H1669">
        <v>159.35</v>
      </c>
    </row>
    <row r="1670" spans="1:8" x14ac:dyDescent="0.3">
      <c r="A1670">
        <v>202101</v>
      </c>
      <c r="B1670" s="1">
        <v>44197</v>
      </c>
      <c r="C1670">
        <v>2021</v>
      </c>
      <c r="D1670" t="s">
        <v>6</v>
      </c>
      <c r="E1670" t="s">
        <v>24</v>
      </c>
      <c r="F1670" t="s">
        <v>40</v>
      </c>
      <c r="G1670" t="s">
        <v>8</v>
      </c>
      <c r="H1670">
        <v>2051.3200000000002</v>
      </c>
    </row>
    <row r="1671" spans="1:8" x14ac:dyDescent="0.3">
      <c r="A1671">
        <v>202102</v>
      </c>
      <c r="B1671" s="1">
        <v>44228</v>
      </c>
      <c r="C1671">
        <v>2021</v>
      </c>
      <c r="D1671" t="s">
        <v>9</v>
      </c>
      <c r="E1671" t="s">
        <v>24</v>
      </c>
      <c r="F1671" t="s">
        <v>40</v>
      </c>
      <c r="G1671" t="s">
        <v>8</v>
      </c>
      <c r="H1671">
        <v>1014</v>
      </c>
    </row>
    <row r="1672" spans="1:8" x14ac:dyDescent="0.3">
      <c r="A1672">
        <v>202103</v>
      </c>
      <c r="B1672" s="1">
        <v>44256</v>
      </c>
      <c r="C1672">
        <v>2021</v>
      </c>
      <c r="D1672" t="s">
        <v>10</v>
      </c>
      <c r="E1672" t="s">
        <v>24</v>
      </c>
      <c r="F1672" t="s">
        <v>40</v>
      </c>
      <c r="G1672" t="s">
        <v>8</v>
      </c>
      <c r="H1672">
        <v>1423.09</v>
      </c>
    </row>
    <row r="1673" spans="1:8" x14ac:dyDescent="0.3">
      <c r="A1673">
        <v>202104</v>
      </c>
      <c r="B1673" s="1">
        <v>44287</v>
      </c>
      <c r="C1673">
        <v>2021</v>
      </c>
      <c r="D1673" t="s">
        <v>11</v>
      </c>
      <c r="E1673" t="s">
        <v>24</v>
      </c>
      <c r="F1673" t="s">
        <v>40</v>
      </c>
      <c r="G1673" t="s">
        <v>8</v>
      </c>
      <c r="H1673">
        <v>1573.55</v>
      </c>
    </row>
    <row r="1674" spans="1:8" x14ac:dyDescent="0.3">
      <c r="A1674">
        <v>202105</v>
      </c>
      <c r="B1674" s="1">
        <v>44317</v>
      </c>
      <c r="C1674">
        <v>2021</v>
      </c>
      <c r="D1674" t="s">
        <v>12</v>
      </c>
      <c r="E1674" t="s">
        <v>24</v>
      </c>
      <c r="F1674" t="s">
        <v>40</v>
      </c>
      <c r="G1674" t="s">
        <v>8</v>
      </c>
      <c r="H1674">
        <v>1239.98</v>
      </c>
    </row>
    <row r="1675" spans="1:8" x14ac:dyDescent="0.3">
      <c r="A1675">
        <v>202106</v>
      </c>
      <c r="B1675" s="1">
        <v>44348</v>
      </c>
      <c r="C1675">
        <v>2021</v>
      </c>
      <c r="D1675" t="s">
        <v>13</v>
      </c>
      <c r="E1675" t="s">
        <v>24</v>
      </c>
      <c r="F1675" t="s">
        <v>40</v>
      </c>
      <c r="G1675" t="s">
        <v>8</v>
      </c>
      <c r="H1675">
        <v>1333.17</v>
      </c>
    </row>
    <row r="1676" spans="1:8" x14ac:dyDescent="0.3">
      <c r="A1676">
        <v>202107</v>
      </c>
      <c r="B1676" s="1">
        <v>44378</v>
      </c>
      <c r="C1676">
        <v>2021</v>
      </c>
      <c r="D1676" t="s">
        <v>14</v>
      </c>
      <c r="E1676" t="s">
        <v>24</v>
      </c>
      <c r="F1676" t="s">
        <v>40</v>
      </c>
      <c r="G1676" t="s">
        <v>8</v>
      </c>
      <c r="H1676">
        <v>1804.44</v>
      </c>
    </row>
    <row r="1677" spans="1:8" x14ac:dyDescent="0.3">
      <c r="A1677">
        <v>202108</v>
      </c>
      <c r="B1677" s="1">
        <v>44409</v>
      </c>
      <c r="C1677">
        <v>2021</v>
      </c>
      <c r="D1677" t="s">
        <v>15</v>
      </c>
      <c r="E1677" t="s">
        <v>24</v>
      </c>
      <c r="F1677" t="s">
        <v>40</v>
      </c>
      <c r="G1677" t="s">
        <v>8</v>
      </c>
      <c r="H1677">
        <v>1438.9</v>
      </c>
    </row>
    <row r="1678" spans="1:8" x14ac:dyDescent="0.3">
      <c r="A1678">
        <v>202109</v>
      </c>
      <c r="B1678" s="1">
        <v>44440</v>
      </c>
      <c r="C1678">
        <v>2021</v>
      </c>
      <c r="D1678" t="s">
        <v>16</v>
      </c>
      <c r="E1678" t="s">
        <v>24</v>
      </c>
      <c r="F1678" t="s">
        <v>40</v>
      </c>
      <c r="G1678" t="s">
        <v>8</v>
      </c>
      <c r="H1678">
        <v>1047.5</v>
      </c>
    </row>
    <row r="1679" spans="1:8" x14ac:dyDescent="0.3">
      <c r="A1679">
        <v>202110</v>
      </c>
      <c r="B1679" s="1">
        <v>44470</v>
      </c>
      <c r="C1679">
        <v>2021</v>
      </c>
      <c r="D1679" t="s">
        <v>17</v>
      </c>
      <c r="E1679" t="s">
        <v>24</v>
      </c>
      <c r="F1679" t="s">
        <v>40</v>
      </c>
      <c r="G1679" t="s">
        <v>8</v>
      </c>
      <c r="H1679">
        <v>1220.81</v>
      </c>
    </row>
    <row r="1680" spans="1:8" x14ac:dyDescent="0.3">
      <c r="A1680">
        <v>202111</v>
      </c>
      <c r="B1680" s="1">
        <v>44501</v>
      </c>
      <c r="C1680">
        <v>2021</v>
      </c>
      <c r="D1680" t="s">
        <v>18</v>
      </c>
      <c r="E1680" t="s">
        <v>24</v>
      </c>
      <c r="F1680" t="s">
        <v>40</v>
      </c>
      <c r="G1680" t="s">
        <v>8</v>
      </c>
      <c r="H1680">
        <v>1544.53</v>
      </c>
    </row>
    <row r="1681" spans="1:8" x14ac:dyDescent="0.3">
      <c r="A1681">
        <v>202112</v>
      </c>
      <c r="B1681" s="1">
        <v>44531</v>
      </c>
      <c r="C1681">
        <v>2021</v>
      </c>
      <c r="D1681" t="s">
        <v>19</v>
      </c>
      <c r="E1681" t="s">
        <v>24</v>
      </c>
      <c r="F1681" t="s">
        <v>40</v>
      </c>
      <c r="G1681" t="s">
        <v>8</v>
      </c>
      <c r="H1681">
        <v>1299.81</v>
      </c>
    </row>
    <row r="1682" spans="1:8" x14ac:dyDescent="0.3">
      <c r="A1682">
        <v>202101</v>
      </c>
      <c r="B1682" s="1">
        <v>44197</v>
      </c>
      <c r="C1682">
        <v>2021</v>
      </c>
      <c r="D1682" t="s">
        <v>6</v>
      </c>
      <c r="E1682" t="s">
        <v>24</v>
      </c>
      <c r="F1682" t="s">
        <v>40</v>
      </c>
      <c r="G1682" t="s">
        <v>8</v>
      </c>
      <c r="H1682">
        <v>1844.17</v>
      </c>
    </row>
    <row r="1683" spans="1:8" x14ac:dyDescent="0.3">
      <c r="A1683">
        <v>202102</v>
      </c>
      <c r="B1683" s="1">
        <v>44228</v>
      </c>
      <c r="C1683">
        <v>2021</v>
      </c>
      <c r="D1683" t="s">
        <v>9</v>
      </c>
      <c r="E1683" t="s">
        <v>24</v>
      </c>
      <c r="F1683" t="s">
        <v>40</v>
      </c>
      <c r="G1683" t="s">
        <v>8</v>
      </c>
      <c r="H1683">
        <v>1467.2</v>
      </c>
    </row>
    <row r="1684" spans="1:8" x14ac:dyDescent="0.3">
      <c r="A1684">
        <v>202103</v>
      </c>
      <c r="B1684" s="1">
        <v>44256</v>
      </c>
      <c r="C1684">
        <v>2021</v>
      </c>
      <c r="D1684" t="s">
        <v>10</v>
      </c>
      <c r="E1684" t="s">
        <v>24</v>
      </c>
      <c r="F1684" t="s">
        <v>40</v>
      </c>
      <c r="G1684" t="s">
        <v>8</v>
      </c>
      <c r="H1684">
        <v>1689.32</v>
      </c>
    </row>
    <row r="1685" spans="1:8" x14ac:dyDescent="0.3">
      <c r="A1685">
        <v>202104</v>
      </c>
      <c r="B1685" s="1">
        <v>44287</v>
      </c>
      <c r="C1685">
        <v>2021</v>
      </c>
      <c r="D1685" t="s">
        <v>11</v>
      </c>
      <c r="E1685" t="s">
        <v>24</v>
      </c>
      <c r="F1685" t="s">
        <v>40</v>
      </c>
      <c r="G1685" t="s">
        <v>8</v>
      </c>
      <c r="H1685">
        <v>2219.2600000000002</v>
      </c>
    </row>
    <row r="1686" spans="1:8" x14ac:dyDescent="0.3">
      <c r="A1686">
        <v>202105</v>
      </c>
      <c r="B1686" s="1">
        <v>44317</v>
      </c>
      <c r="C1686">
        <v>2021</v>
      </c>
      <c r="D1686" t="s">
        <v>12</v>
      </c>
      <c r="E1686" t="s">
        <v>24</v>
      </c>
      <c r="F1686" t="s">
        <v>40</v>
      </c>
      <c r="G1686" t="s">
        <v>8</v>
      </c>
      <c r="H1686">
        <v>1938.24</v>
      </c>
    </row>
    <row r="1687" spans="1:8" x14ac:dyDescent="0.3">
      <c r="A1687">
        <v>202106</v>
      </c>
      <c r="B1687" s="1">
        <v>44348</v>
      </c>
      <c r="C1687">
        <v>2021</v>
      </c>
      <c r="D1687" t="s">
        <v>13</v>
      </c>
      <c r="E1687" t="s">
        <v>24</v>
      </c>
      <c r="F1687" t="s">
        <v>40</v>
      </c>
      <c r="G1687" t="s">
        <v>8</v>
      </c>
      <c r="H1687">
        <v>1894.86</v>
      </c>
    </row>
    <row r="1688" spans="1:8" x14ac:dyDescent="0.3">
      <c r="A1688">
        <v>202107</v>
      </c>
      <c r="B1688" s="1">
        <v>44378</v>
      </c>
      <c r="C1688">
        <v>2021</v>
      </c>
      <c r="D1688" t="s">
        <v>14</v>
      </c>
      <c r="E1688" t="s">
        <v>24</v>
      </c>
      <c r="F1688" t="s">
        <v>40</v>
      </c>
      <c r="G1688" t="s">
        <v>8</v>
      </c>
      <c r="H1688">
        <v>1907.75</v>
      </c>
    </row>
    <row r="1689" spans="1:8" x14ac:dyDescent="0.3">
      <c r="A1689">
        <v>202108</v>
      </c>
      <c r="B1689" s="1">
        <v>44409</v>
      </c>
      <c r="C1689">
        <v>2021</v>
      </c>
      <c r="D1689" t="s">
        <v>15</v>
      </c>
      <c r="E1689" t="s">
        <v>24</v>
      </c>
      <c r="F1689" t="s">
        <v>40</v>
      </c>
      <c r="G1689" t="s">
        <v>8</v>
      </c>
      <c r="H1689">
        <v>1738.62</v>
      </c>
    </row>
    <row r="1690" spans="1:8" x14ac:dyDescent="0.3">
      <c r="A1690">
        <v>202109</v>
      </c>
      <c r="B1690" s="1">
        <v>44440</v>
      </c>
      <c r="C1690">
        <v>2021</v>
      </c>
      <c r="D1690" t="s">
        <v>16</v>
      </c>
      <c r="E1690" t="s">
        <v>24</v>
      </c>
      <c r="F1690" t="s">
        <v>40</v>
      </c>
      <c r="G1690" t="s">
        <v>8</v>
      </c>
      <c r="H1690">
        <v>1528.17</v>
      </c>
    </row>
    <row r="1691" spans="1:8" x14ac:dyDescent="0.3">
      <c r="A1691">
        <v>202110</v>
      </c>
      <c r="B1691" s="1">
        <v>44470</v>
      </c>
      <c r="C1691">
        <v>2021</v>
      </c>
      <c r="D1691" t="s">
        <v>17</v>
      </c>
      <c r="E1691" t="s">
        <v>24</v>
      </c>
      <c r="F1691" t="s">
        <v>40</v>
      </c>
      <c r="G1691" t="s">
        <v>8</v>
      </c>
      <c r="H1691">
        <v>2034.01</v>
      </c>
    </row>
    <row r="1692" spans="1:8" x14ac:dyDescent="0.3">
      <c r="A1692">
        <v>202111</v>
      </c>
      <c r="B1692" s="1">
        <v>44501</v>
      </c>
      <c r="C1692">
        <v>2021</v>
      </c>
      <c r="D1692" t="s">
        <v>18</v>
      </c>
      <c r="E1692" t="s">
        <v>24</v>
      </c>
      <c r="F1692" t="s">
        <v>40</v>
      </c>
      <c r="G1692" t="s">
        <v>8</v>
      </c>
      <c r="H1692">
        <v>2177.86</v>
      </c>
    </row>
    <row r="1693" spans="1:8" x14ac:dyDescent="0.3">
      <c r="A1693">
        <v>202112</v>
      </c>
      <c r="B1693" s="1">
        <v>44531</v>
      </c>
      <c r="C1693">
        <v>2021</v>
      </c>
      <c r="D1693" t="s">
        <v>19</v>
      </c>
      <c r="E1693" t="s">
        <v>24</v>
      </c>
      <c r="F1693" t="s">
        <v>40</v>
      </c>
      <c r="G1693" t="s">
        <v>8</v>
      </c>
      <c r="H1693">
        <v>2008.61</v>
      </c>
    </row>
    <row r="1694" spans="1:8" x14ac:dyDescent="0.3">
      <c r="A1694">
        <v>202101</v>
      </c>
      <c r="B1694" s="1">
        <v>44197</v>
      </c>
      <c r="C1694">
        <v>2021</v>
      </c>
      <c r="D1694" t="s">
        <v>6</v>
      </c>
      <c r="E1694" t="s">
        <v>24</v>
      </c>
      <c r="F1694" t="s">
        <v>40</v>
      </c>
      <c r="G1694" t="s">
        <v>8</v>
      </c>
      <c r="H1694">
        <v>2285.8000000000002</v>
      </c>
    </row>
    <row r="1695" spans="1:8" x14ac:dyDescent="0.3">
      <c r="A1695">
        <v>202102</v>
      </c>
      <c r="B1695" s="1">
        <v>44228</v>
      </c>
      <c r="C1695">
        <v>2021</v>
      </c>
      <c r="D1695" t="s">
        <v>9</v>
      </c>
      <c r="E1695" t="s">
        <v>24</v>
      </c>
      <c r="F1695" t="s">
        <v>40</v>
      </c>
      <c r="G1695" t="s">
        <v>8</v>
      </c>
      <c r="H1695">
        <v>1550.68</v>
      </c>
    </row>
    <row r="1696" spans="1:8" x14ac:dyDescent="0.3">
      <c r="A1696">
        <v>202103</v>
      </c>
      <c r="B1696" s="1">
        <v>44256</v>
      </c>
      <c r="C1696">
        <v>2021</v>
      </c>
      <c r="D1696" t="s">
        <v>10</v>
      </c>
      <c r="E1696" t="s">
        <v>24</v>
      </c>
      <c r="F1696" t="s">
        <v>40</v>
      </c>
      <c r="G1696" t="s">
        <v>8</v>
      </c>
      <c r="H1696">
        <v>1869.39</v>
      </c>
    </row>
    <row r="1697" spans="1:8" x14ac:dyDescent="0.3">
      <c r="A1697">
        <v>202104</v>
      </c>
      <c r="B1697" s="1">
        <v>44287</v>
      </c>
      <c r="C1697">
        <v>2021</v>
      </c>
      <c r="D1697" t="s">
        <v>11</v>
      </c>
      <c r="E1697" t="s">
        <v>24</v>
      </c>
      <c r="F1697" t="s">
        <v>40</v>
      </c>
      <c r="G1697" t="s">
        <v>8</v>
      </c>
      <c r="H1697">
        <v>2948.57</v>
      </c>
    </row>
    <row r="1698" spans="1:8" x14ac:dyDescent="0.3">
      <c r="A1698">
        <v>202105</v>
      </c>
      <c r="B1698" s="1">
        <v>44317</v>
      </c>
      <c r="C1698">
        <v>2021</v>
      </c>
      <c r="D1698" t="s">
        <v>12</v>
      </c>
      <c r="E1698" t="s">
        <v>24</v>
      </c>
      <c r="F1698" t="s">
        <v>40</v>
      </c>
      <c r="G1698" t="s">
        <v>8</v>
      </c>
      <c r="H1698">
        <v>2090.87</v>
      </c>
    </row>
    <row r="1699" spans="1:8" x14ac:dyDescent="0.3">
      <c r="A1699">
        <v>202106</v>
      </c>
      <c r="B1699" s="1">
        <v>44348</v>
      </c>
      <c r="C1699">
        <v>2021</v>
      </c>
      <c r="D1699" t="s">
        <v>13</v>
      </c>
      <c r="E1699" t="s">
        <v>24</v>
      </c>
      <c r="F1699" t="s">
        <v>40</v>
      </c>
      <c r="G1699" t="s">
        <v>8</v>
      </c>
      <c r="H1699">
        <v>1851.12</v>
      </c>
    </row>
    <row r="1700" spans="1:8" x14ac:dyDescent="0.3">
      <c r="A1700">
        <v>202107</v>
      </c>
      <c r="B1700" s="1">
        <v>44378</v>
      </c>
      <c r="C1700">
        <v>2021</v>
      </c>
      <c r="D1700" t="s">
        <v>14</v>
      </c>
      <c r="E1700" t="s">
        <v>24</v>
      </c>
      <c r="F1700" t="s">
        <v>40</v>
      </c>
      <c r="G1700" t="s">
        <v>8</v>
      </c>
      <c r="H1700">
        <v>2034.68</v>
      </c>
    </row>
    <row r="1701" spans="1:8" x14ac:dyDescent="0.3">
      <c r="A1701">
        <v>202108</v>
      </c>
      <c r="B1701" s="1">
        <v>44409</v>
      </c>
      <c r="C1701">
        <v>2021</v>
      </c>
      <c r="D1701" t="s">
        <v>15</v>
      </c>
      <c r="E1701" t="s">
        <v>24</v>
      </c>
      <c r="F1701" t="s">
        <v>40</v>
      </c>
      <c r="G1701" t="s">
        <v>8</v>
      </c>
      <c r="H1701">
        <v>2187.58</v>
      </c>
    </row>
    <row r="1702" spans="1:8" x14ac:dyDescent="0.3">
      <c r="A1702">
        <v>202109</v>
      </c>
      <c r="B1702" s="1">
        <v>44440</v>
      </c>
      <c r="C1702">
        <v>2021</v>
      </c>
      <c r="D1702" t="s">
        <v>16</v>
      </c>
      <c r="E1702" t="s">
        <v>24</v>
      </c>
      <c r="F1702" t="s">
        <v>40</v>
      </c>
      <c r="G1702" t="s">
        <v>8</v>
      </c>
      <c r="H1702">
        <v>1598.31</v>
      </c>
    </row>
    <row r="1703" spans="1:8" x14ac:dyDescent="0.3">
      <c r="A1703">
        <v>202110</v>
      </c>
      <c r="B1703" s="1">
        <v>44470</v>
      </c>
      <c r="C1703">
        <v>2021</v>
      </c>
      <c r="D1703" t="s">
        <v>17</v>
      </c>
      <c r="E1703" t="s">
        <v>24</v>
      </c>
      <c r="F1703" t="s">
        <v>40</v>
      </c>
      <c r="G1703" t="s">
        <v>8</v>
      </c>
      <c r="H1703">
        <v>1952.57</v>
      </c>
    </row>
    <row r="1704" spans="1:8" x14ac:dyDescent="0.3">
      <c r="A1704">
        <v>202111</v>
      </c>
      <c r="B1704" s="1">
        <v>44501</v>
      </c>
      <c r="C1704">
        <v>2021</v>
      </c>
      <c r="D1704" t="s">
        <v>18</v>
      </c>
      <c r="E1704" t="s">
        <v>24</v>
      </c>
      <c r="F1704" t="s">
        <v>40</v>
      </c>
      <c r="G1704" t="s">
        <v>8</v>
      </c>
      <c r="H1704">
        <v>2546.04</v>
      </c>
    </row>
    <row r="1705" spans="1:8" x14ac:dyDescent="0.3">
      <c r="A1705">
        <v>202112</v>
      </c>
      <c r="B1705" s="1">
        <v>44531</v>
      </c>
      <c r="C1705">
        <v>2021</v>
      </c>
      <c r="D1705" t="s">
        <v>19</v>
      </c>
      <c r="E1705" t="s">
        <v>24</v>
      </c>
      <c r="F1705" t="s">
        <v>40</v>
      </c>
      <c r="G1705" t="s">
        <v>8</v>
      </c>
      <c r="H1705">
        <v>1860.27</v>
      </c>
    </row>
    <row r="1706" spans="1:8" x14ac:dyDescent="0.3">
      <c r="A1706">
        <v>202101</v>
      </c>
      <c r="B1706" s="1">
        <v>44197</v>
      </c>
      <c r="C1706">
        <v>2021</v>
      </c>
      <c r="D1706" t="s">
        <v>6</v>
      </c>
      <c r="E1706" t="s">
        <v>24</v>
      </c>
      <c r="F1706" t="s">
        <v>40</v>
      </c>
      <c r="G1706" t="s">
        <v>8</v>
      </c>
      <c r="H1706">
        <v>78.900000000000006</v>
      </c>
    </row>
    <row r="1707" spans="1:8" x14ac:dyDescent="0.3">
      <c r="A1707">
        <v>202102</v>
      </c>
      <c r="B1707" s="1">
        <v>44228</v>
      </c>
      <c r="C1707">
        <v>2021</v>
      </c>
      <c r="D1707" t="s">
        <v>9</v>
      </c>
      <c r="E1707" t="s">
        <v>24</v>
      </c>
      <c r="F1707" t="s">
        <v>40</v>
      </c>
      <c r="G1707" t="s">
        <v>8</v>
      </c>
      <c r="H1707">
        <v>36.18</v>
      </c>
    </row>
    <row r="1708" spans="1:8" x14ac:dyDescent="0.3">
      <c r="A1708">
        <v>202103</v>
      </c>
      <c r="B1708" s="1">
        <v>44256</v>
      </c>
      <c r="C1708">
        <v>2021</v>
      </c>
      <c r="D1708" t="s">
        <v>10</v>
      </c>
      <c r="E1708" t="s">
        <v>24</v>
      </c>
      <c r="F1708" t="s">
        <v>40</v>
      </c>
      <c r="G1708" t="s">
        <v>8</v>
      </c>
      <c r="H1708">
        <v>41.64</v>
      </c>
    </row>
    <row r="1709" spans="1:8" x14ac:dyDescent="0.3">
      <c r="A1709">
        <v>202104</v>
      </c>
      <c r="B1709" s="1">
        <v>44287</v>
      </c>
      <c r="C1709">
        <v>2021</v>
      </c>
      <c r="D1709" t="s">
        <v>11</v>
      </c>
      <c r="E1709" t="s">
        <v>24</v>
      </c>
      <c r="F1709" t="s">
        <v>40</v>
      </c>
      <c r="G1709" t="s">
        <v>8</v>
      </c>
      <c r="H1709">
        <v>61.11</v>
      </c>
    </row>
    <row r="1710" spans="1:8" x14ac:dyDescent="0.3">
      <c r="A1710">
        <v>202105</v>
      </c>
      <c r="B1710" s="1">
        <v>44317</v>
      </c>
      <c r="C1710">
        <v>2021</v>
      </c>
      <c r="D1710" t="s">
        <v>12</v>
      </c>
      <c r="E1710" t="s">
        <v>24</v>
      </c>
      <c r="F1710" t="s">
        <v>40</v>
      </c>
      <c r="G1710" t="s">
        <v>8</v>
      </c>
      <c r="H1710">
        <v>44.12</v>
      </c>
    </row>
    <row r="1711" spans="1:8" x14ac:dyDescent="0.3">
      <c r="A1711">
        <v>202106</v>
      </c>
      <c r="B1711" s="1">
        <v>44348</v>
      </c>
      <c r="C1711">
        <v>2021</v>
      </c>
      <c r="D1711" t="s">
        <v>13</v>
      </c>
      <c r="E1711" t="s">
        <v>24</v>
      </c>
      <c r="F1711" t="s">
        <v>40</v>
      </c>
      <c r="G1711" t="s">
        <v>8</v>
      </c>
      <c r="H1711">
        <v>59.89</v>
      </c>
    </row>
    <row r="1712" spans="1:8" x14ac:dyDescent="0.3">
      <c r="A1712">
        <v>202107</v>
      </c>
      <c r="B1712" s="1">
        <v>44378</v>
      </c>
      <c r="C1712">
        <v>2021</v>
      </c>
      <c r="D1712" t="s">
        <v>14</v>
      </c>
      <c r="E1712" t="s">
        <v>24</v>
      </c>
      <c r="F1712" t="s">
        <v>40</v>
      </c>
      <c r="G1712" t="s">
        <v>8</v>
      </c>
      <c r="H1712">
        <v>57.37</v>
      </c>
    </row>
    <row r="1713" spans="1:8" x14ac:dyDescent="0.3">
      <c r="A1713">
        <v>202108</v>
      </c>
      <c r="B1713" s="1">
        <v>44409</v>
      </c>
      <c r="C1713">
        <v>2021</v>
      </c>
      <c r="D1713" t="s">
        <v>15</v>
      </c>
      <c r="E1713" t="s">
        <v>24</v>
      </c>
      <c r="F1713" t="s">
        <v>40</v>
      </c>
      <c r="G1713" t="s">
        <v>8</v>
      </c>
      <c r="H1713">
        <v>49.52</v>
      </c>
    </row>
    <row r="1714" spans="1:8" x14ac:dyDescent="0.3">
      <c r="A1714">
        <v>202109</v>
      </c>
      <c r="B1714" s="1">
        <v>44440</v>
      </c>
      <c r="C1714">
        <v>2021</v>
      </c>
      <c r="D1714" t="s">
        <v>16</v>
      </c>
      <c r="E1714" t="s">
        <v>24</v>
      </c>
      <c r="F1714" t="s">
        <v>40</v>
      </c>
      <c r="G1714" t="s">
        <v>8</v>
      </c>
      <c r="H1714">
        <v>38.770000000000003</v>
      </c>
    </row>
    <row r="1715" spans="1:8" x14ac:dyDescent="0.3">
      <c r="A1715">
        <v>202110</v>
      </c>
      <c r="B1715" s="1">
        <v>44470</v>
      </c>
      <c r="C1715">
        <v>2021</v>
      </c>
      <c r="D1715" t="s">
        <v>17</v>
      </c>
      <c r="E1715" t="s">
        <v>24</v>
      </c>
      <c r="F1715" t="s">
        <v>40</v>
      </c>
      <c r="G1715" t="s">
        <v>8</v>
      </c>
      <c r="H1715">
        <v>47.02</v>
      </c>
    </row>
    <row r="1716" spans="1:8" x14ac:dyDescent="0.3">
      <c r="A1716">
        <v>202111</v>
      </c>
      <c r="B1716" s="1">
        <v>44501</v>
      </c>
      <c r="C1716">
        <v>2021</v>
      </c>
      <c r="D1716" t="s">
        <v>18</v>
      </c>
      <c r="E1716" t="s">
        <v>24</v>
      </c>
      <c r="F1716" t="s">
        <v>40</v>
      </c>
      <c r="G1716" t="s">
        <v>8</v>
      </c>
      <c r="H1716">
        <v>47.72</v>
      </c>
    </row>
    <row r="1717" spans="1:8" x14ac:dyDescent="0.3">
      <c r="A1717">
        <v>202112</v>
      </c>
      <c r="B1717" s="1">
        <v>44531</v>
      </c>
      <c r="C1717">
        <v>2021</v>
      </c>
      <c r="D1717" t="s">
        <v>19</v>
      </c>
      <c r="E1717" t="s">
        <v>24</v>
      </c>
      <c r="F1717" t="s">
        <v>40</v>
      </c>
      <c r="G1717" t="s">
        <v>8</v>
      </c>
      <c r="H1717">
        <v>47.58</v>
      </c>
    </row>
    <row r="1718" spans="1:8" x14ac:dyDescent="0.3">
      <c r="A1718">
        <v>202101</v>
      </c>
      <c r="B1718" s="1">
        <v>44197</v>
      </c>
      <c r="C1718">
        <v>2021</v>
      </c>
      <c r="D1718" t="s">
        <v>6</v>
      </c>
      <c r="E1718" t="s">
        <v>24</v>
      </c>
      <c r="F1718" t="s">
        <v>40</v>
      </c>
      <c r="G1718" t="s">
        <v>8</v>
      </c>
      <c r="H1718">
        <v>480.7</v>
      </c>
    </row>
    <row r="1719" spans="1:8" x14ac:dyDescent="0.3">
      <c r="A1719">
        <v>202102</v>
      </c>
      <c r="B1719" s="1">
        <v>44228</v>
      </c>
      <c r="C1719">
        <v>2021</v>
      </c>
      <c r="D1719" t="s">
        <v>9</v>
      </c>
      <c r="E1719" t="s">
        <v>24</v>
      </c>
      <c r="F1719" t="s">
        <v>40</v>
      </c>
      <c r="G1719" t="s">
        <v>8</v>
      </c>
      <c r="H1719">
        <v>379.3</v>
      </c>
    </row>
    <row r="1720" spans="1:8" x14ac:dyDescent="0.3">
      <c r="A1720">
        <v>202103</v>
      </c>
      <c r="B1720" s="1">
        <v>44256</v>
      </c>
      <c r="C1720">
        <v>2021</v>
      </c>
      <c r="D1720" t="s">
        <v>10</v>
      </c>
      <c r="E1720" t="s">
        <v>24</v>
      </c>
      <c r="F1720" t="s">
        <v>40</v>
      </c>
      <c r="G1720" t="s">
        <v>8</v>
      </c>
      <c r="H1720">
        <v>382.92</v>
      </c>
    </row>
    <row r="1721" spans="1:8" x14ac:dyDescent="0.3">
      <c r="A1721">
        <v>202104</v>
      </c>
      <c r="B1721" s="1">
        <v>44287</v>
      </c>
      <c r="C1721">
        <v>2021</v>
      </c>
      <c r="D1721" t="s">
        <v>11</v>
      </c>
      <c r="E1721" t="s">
        <v>24</v>
      </c>
      <c r="F1721" t="s">
        <v>40</v>
      </c>
      <c r="G1721" t="s">
        <v>8</v>
      </c>
      <c r="H1721">
        <v>553.17999999999995</v>
      </c>
    </row>
    <row r="1722" spans="1:8" x14ac:dyDescent="0.3">
      <c r="A1722">
        <v>202105</v>
      </c>
      <c r="B1722" s="1">
        <v>44317</v>
      </c>
      <c r="C1722">
        <v>2021</v>
      </c>
      <c r="D1722" t="s">
        <v>12</v>
      </c>
      <c r="E1722" t="s">
        <v>24</v>
      </c>
      <c r="F1722" t="s">
        <v>40</v>
      </c>
      <c r="G1722" t="s">
        <v>8</v>
      </c>
      <c r="H1722">
        <v>456.34</v>
      </c>
    </row>
    <row r="1723" spans="1:8" x14ac:dyDescent="0.3">
      <c r="A1723">
        <v>202106</v>
      </c>
      <c r="B1723" s="1">
        <v>44348</v>
      </c>
      <c r="C1723">
        <v>2021</v>
      </c>
      <c r="D1723" t="s">
        <v>13</v>
      </c>
      <c r="E1723" t="s">
        <v>24</v>
      </c>
      <c r="F1723" t="s">
        <v>40</v>
      </c>
      <c r="G1723" t="s">
        <v>8</v>
      </c>
      <c r="H1723">
        <v>393.59</v>
      </c>
    </row>
    <row r="1724" spans="1:8" x14ac:dyDescent="0.3">
      <c r="A1724">
        <v>202107</v>
      </c>
      <c r="B1724" s="1">
        <v>44378</v>
      </c>
      <c r="C1724">
        <v>2021</v>
      </c>
      <c r="D1724" t="s">
        <v>14</v>
      </c>
      <c r="E1724" t="s">
        <v>24</v>
      </c>
      <c r="F1724" t="s">
        <v>40</v>
      </c>
      <c r="G1724" t="s">
        <v>8</v>
      </c>
      <c r="H1724">
        <v>379.24</v>
      </c>
    </row>
    <row r="1725" spans="1:8" x14ac:dyDescent="0.3">
      <c r="A1725">
        <v>202108</v>
      </c>
      <c r="B1725" s="1">
        <v>44409</v>
      </c>
      <c r="C1725">
        <v>2021</v>
      </c>
      <c r="D1725" t="s">
        <v>15</v>
      </c>
      <c r="E1725" t="s">
        <v>24</v>
      </c>
      <c r="F1725" t="s">
        <v>40</v>
      </c>
      <c r="G1725" t="s">
        <v>8</v>
      </c>
      <c r="H1725">
        <v>403.08</v>
      </c>
    </row>
    <row r="1726" spans="1:8" x14ac:dyDescent="0.3">
      <c r="A1726">
        <v>202109</v>
      </c>
      <c r="B1726" s="1">
        <v>44440</v>
      </c>
      <c r="C1726">
        <v>2021</v>
      </c>
      <c r="D1726" t="s">
        <v>16</v>
      </c>
      <c r="E1726" t="s">
        <v>24</v>
      </c>
      <c r="F1726" t="s">
        <v>40</v>
      </c>
      <c r="G1726" t="s">
        <v>8</v>
      </c>
      <c r="H1726">
        <v>433.59</v>
      </c>
    </row>
    <row r="1727" spans="1:8" x14ac:dyDescent="0.3">
      <c r="A1727">
        <v>202110</v>
      </c>
      <c r="B1727" s="1">
        <v>44470</v>
      </c>
      <c r="C1727">
        <v>2021</v>
      </c>
      <c r="D1727" t="s">
        <v>17</v>
      </c>
      <c r="E1727" t="s">
        <v>24</v>
      </c>
      <c r="F1727" t="s">
        <v>40</v>
      </c>
      <c r="G1727" t="s">
        <v>8</v>
      </c>
      <c r="H1727">
        <v>435.71</v>
      </c>
    </row>
    <row r="1728" spans="1:8" x14ac:dyDescent="0.3">
      <c r="A1728">
        <v>202111</v>
      </c>
      <c r="B1728" s="1">
        <v>44501</v>
      </c>
      <c r="C1728">
        <v>2021</v>
      </c>
      <c r="D1728" t="s">
        <v>18</v>
      </c>
      <c r="E1728" t="s">
        <v>24</v>
      </c>
      <c r="F1728" t="s">
        <v>40</v>
      </c>
      <c r="G1728" t="s">
        <v>8</v>
      </c>
      <c r="H1728">
        <v>519.26</v>
      </c>
    </row>
    <row r="1729" spans="1:8" x14ac:dyDescent="0.3">
      <c r="A1729">
        <v>202112</v>
      </c>
      <c r="B1729" s="1">
        <v>44531</v>
      </c>
      <c r="C1729">
        <v>2021</v>
      </c>
      <c r="D1729" t="s">
        <v>19</v>
      </c>
      <c r="E1729" t="s">
        <v>24</v>
      </c>
      <c r="F1729" t="s">
        <v>40</v>
      </c>
      <c r="G1729" t="s">
        <v>8</v>
      </c>
      <c r="H1729">
        <v>526.54999999999995</v>
      </c>
    </row>
    <row r="1730" spans="1:8" x14ac:dyDescent="0.3">
      <c r="A1730">
        <v>202101</v>
      </c>
      <c r="B1730" s="1">
        <v>44197</v>
      </c>
      <c r="C1730">
        <v>2021</v>
      </c>
      <c r="D1730" t="s">
        <v>6</v>
      </c>
      <c r="E1730" t="s">
        <v>24</v>
      </c>
      <c r="F1730" t="s">
        <v>40</v>
      </c>
      <c r="G1730" t="s">
        <v>8</v>
      </c>
      <c r="H1730">
        <v>380.06</v>
      </c>
    </row>
    <row r="1731" spans="1:8" x14ac:dyDescent="0.3">
      <c r="A1731">
        <v>202102</v>
      </c>
      <c r="B1731" s="1">
        <v>44228</v>
      </c>
      <c r="C1731">
        <v>2021</v>
      </c>
      <c r="D1731" t="s">
        <v>9</v>
      </c>
      <c r="E1731" t="s">
        <v>24</v>
      </c>
      <c r="F1731" t="s">
        <v>40</v>
      </c>
      <c r="G1731" t="s">
        <v>8</v>
      </c>
      <c r="H1731">
        <v>244.9</v>
      </c>
    </row>
    <row r="1732" spans="1:8" x14ac:dyDescent="0.3">
      <c r="A1732">
        <v>202103</v>
      </c>
      <c r="B1732" s="1">
        <v>44256</v>
      </c>
      <c r="C1732">
        <v>2021</v>
      </c>
      <c r="D1732" t="s">
        <v>10</v>
      </c>
      <c r="E1732" t="s">
        <v>24</v>
      </c>
      <c r="F1732" t="s">
        <v>40</v>
      </c>
      <c r="G1732" t="s">
        <v>8</v>
      </c>
      <c r="H1732">
        <v>256.89</v>
      </c>
    </row>
    <row r="1733" spans="1:8" x14ac:dyDescent="0.3">
      <c r="A1733">
        <v>202104</v>
      </c>
      <c r="B1733" s="1">
        <v>44287</v>
      </c>
      <c r="C1733">
        <v>2021</v>
      </c>
      <c r="D1733" t="s">
        <v>11</v>
      </c>
      <c r="E1733" t="s">
        <v>24</v>
      </c>
      <c r="F1733" t="s">
        <v>40</v>
      </c>
      <c r="G1733" t="s">
        <v>8</v>
      </c>
      <c r="H1733">
        <v>496.83</v>
      </c>
    </row>
    <row r="1734" spans="1:8" x14ac:dyDescent="0.3">
      <c r="A1734">
        <v>202105</v>
      </c>
      <c r="B1734" s="1">
        <v>44317</v>
      </c>
      <c r="C1734">
        <v>2021</v>
      </c>
      <c r="D1734" t="s">
        <v>12</v>
      </c>
      <c r="E1734" t="s">
        <v>24</v>
      </c>
      <c r="F1734" t="s">
        <v>40</v>
      </c>
      <c r="G1734" t="s">
        <v>8</v>
      </c>
      <c r="H1734">
        <v>274.60000000000002</v>
      </c>
    </row>
    <row r="1735" spans="1:8" x14ac:dyDescent="0.3">
      <c r="A1735">
        <v>202106</v>
      </c>
      <c r="B1735" s="1">
        <v>44348</v>
      </c>
      <c r="C1735">
        <v>2021</v>
      </c>
      <c r="D1735" t="s">
        <v>13</v>
      </c>
      <c r="E1735" t="s">
        <v>24</v>
      </c>
      <c r="F1735" t="s">
        <v>40</v>
      </c>
      <c r="G1735" t="s">
        <v>8</v>
      </c>
      <c r="H1735">
        <v>300.89999999999998</v>
      </c>
    </row>
    <row r="1736" spans="1:8" x14ac:dyDescent="0.3">
      <c r="A1736">
        <v>202107</v>
      </c>
      <c r="B1736" s="1">
        <v>44378</v>
      </c>
      <c r="C1736">
        <v>2021</v>
      </c>
      <c r="D1736" t="s">
        <v>14</v>
      </c>
      <c r="E1736" t="s">
        <v>24</v>
      </c>
      <c r="F1736" t="s">
        <v>40</v>
      </c>
      <c r="G1736" t="s">
        <v>8</v>
      </c>
      <c r="H1736">
        <v>318.17</v>
      </c>
    </row>
    <row r="1737" spans="1:8" x14ac:dyDescent="0.3">
      <c r="A1737">
        <v>202108</v>
      </c>
      <c r="B1737" s="1">
        <v>44409</v>
      </c>
      <c r="C1737">
        <v>2021</v>
      </c>
      <c r="D1737" t="s">
        <v>15</v>
      </c>
      <c r="E1737" t="s">
        <v>24</v>
      </c>
      <c r="F1737" t="s">
        <v>40</v>
      </c>
      <c r="G1737" t="s">
        <v>8</v>
      </c>
      <c r="H1737">
        <v>318.95999999999998</v>
      </c>
    </row>
    <row r="1738" spans="1:8" x14ac:dyDescent="0.3">
      <c r="A1738">
        <v>202109</v>
      </c>
      <c r="B1738" s="1">
        <v>44440</v>
      </c>
      <c r="C1738">
        <v>2021</v>
      </c>
      <c r="D1738" t="s">
        <v>16</v>
      </c>
      <c r="E1738" t="s">
        <v>24</v>
      </c>
      <c r="F1738" t="s">
        <v>40</v>
      </c>
      <c r="G1738" t="s">
        <v>8</v>
      </c>
      <c r="H1738">
        <v>250.04</v>
      </c>
    </row>
    <row r="1739" spans="1:8" x14ac:dyDescent="0.3">
      <c r="A1739">
        <v>202110</v>
      </c>
      <c r="B1739" s="1">
        <v>44470</v>
      </c>
      <c r="C1739">
        <v>2021</v>
      </c>
      <c r="D1739" t="s">
        <v>17</v>
      </c>
      <c r="E1739" t="s">
        <v>24</v>
      </c>
      <c r="F1739" t="s">
        <v>40</v>
      </c>
      <c r="G1739" t="s">
        <v>8</v>
      </c>
      <c r="H1739">
        <v>386.16</v>
      </c>
    </row>
    <row r="1740" spans="1:8" x14ac:dyDescent="0.3">
      <c r="A1740">
        <v>202111</v>
      </c>
      <c r="B1740" s="1">
        <v>44501</v>
      </c>
      <c r="C1740">
        <v>2021</v>
      </c>
      <c r="D1740" t="s">
        <v>18</v>
      </c>
      <c r="E1740" t="s">
        <v>24</v>
      </c>
      <c r="F1740" t="s">
        <v>40</v>
      </c>
      <c r="G1740" t="s">
        <v>8</v>
      </c>
      <c r="H1740">
        <v>354.27</v>
      </c>
    </row>
    <row r="1741" spans="1:8" x14ac:dyDescent="0.3">
      <c r="A1741">
        <v>202112</v>
      </c>
      <c r="B1741" s="1">
        <v>44531</v>
      </c>
      <c r="C1741">
        <v>2021</v>
      </c>
      <c r="D1741" t="s">
        <v>19</v>
      </c>
      <c r="E1741" t="s">
        <v>24</v>
      </c>
      <c r="F1741" t="s">
        <v>40</v>
      </c>
      <c r="G1741" t="s">
        <v>8</v>
      </c>
      <c r="H1741">
        <v>326.61</v>
      </c>
    </row>
    <row r="1742" spans="1:8" x14ac:dyDescent="0.3">
      <c r="A1742">
        <v>202101</v>
      </c>
      <c r="B1742" s="1">
        <v>44197</v>
      </c>
      <c r="C1742">
        <v>2021</v>
      </c>
      <c r="D1742" t="s">
        <v>6</v>
      </c>
      <c r="E1742" t="s">
        <v>25</v>
      </c>
      <c r="F1742" t="s">
        <v>40</v>
      </c>
      <c r="G1742" t="s">
        <v>8</v>
      </c>
      <c r="H1742">
        <v>49.79</v>
      </c>
    </row>
    <row r="1743" spans="1:8" x14ac:dyDescent="0.3">
      <c r="A1743">
        <v>202102</v>
      </c>
      <c r="B1743" s="1">
        <v>44228</v>
      </c>
      <c r="C1743">
        <v>2021</v>
      </c>
      <c r="D1743" t="s">
        <v>9</v>
      </c>
      <c r="E1743" t="s">
        <v>25</v>
      </c>
      <c r="F1743" t="s">
        <v>40</v>
      </c>
      <c r="G1743" t="s">
        <v>8</v>
      </c>
      <c r="H1743">
        <v>17.940000000000001</v>
      </c>
    </row>
    <row r="1744" spans="1:8" x14ac:dyDescent="0.3">
      <c r="A1744">
        <v>202103</v>
      </c>
      <c r="B1744" s="1">
        <v>44256</v>
      </c>
      <c r="C1744">
        <v>2021</v>
      </c>
      <c r="D1744" t="s">
        <v>10</v>
      </c>
      <c r="E1744" t="s">
        <v>25</v>
      </c>
      <c r="F1744" t="s">
        <v>40</v>
      </c>
      <c r="G1744" t="s">
        <v>8</v>
      </c>
      <c r="H1744">
        <v>18.829999999999998</v>
      </c>
    </row>
    <row r="1745" spans="1:8" x14ac:dyDescent="0.3">
      <c r="A1745">
        <v>202104</v>
      </c>
      <c r="B1745" s="1">
        <v>44287</v>
      </c>
      <c r="C1745">
        <v>2021</v>
      </c>
      <c r="D1745" t="s">
        <v>11</v>
      </c>
      <c r="E1745" t="s">
        <v>25</v>
      </c>
      <c r="F1745" t="s">
        <v>40</v>
      </c>
      <c r="G1745" t="s">
        <v>8</v>
      </c>
      <c r="H1745">
        <v>30.33</v>
      </c>
    </row>
    <row r="1746" spans="1:8" x14ac:dyDescent="0.3">
      <c r="A1746">
        <v>202105</v>
      </c>
      <c r="B1746" s="1">
        <v>44317</v>
      </c>
      <c r="C1746">
        <v>2021</v>
      </c>
      <c r="D1746" t="s">
        <v>12</v>
      </c>
      <c r="E1746" t="s">
        <v>25</v>
      </c>
      <c r="F1746" t="s">
        <v>40</v>
      </c>
      <c r="G1746" t="s">
        <v>8</v>
      </c>
      <c r="H1746">
        <v>20.62</v>
      </c>
    </row>
    <row r="1747" spans="1:8" x14ac:dyDescent="0.3">
      <c r="A1747">
        <v>202106</v>
      </c>
      <c r="B1747" s="1">
        <v>44348</v>
      </c>
      <c r="C1747">
        <v>2021</v>
      </c>
      <c r="D1747" t="s">
        <v>13</v>
      </c>
      <c r="E1747" t="s">
        <v>25</v>
      </c>
      <c r="F1747" t="s">
        <v>40</v>
      </c>
      <c r="G1747" t="s">
        <v>8</v>
      </c>
      <c r="H1747">
        <v>20.89</v>
      </c>
    </row>
    <row r="1748" spans="1:8" x14ac:dyDescent="0.3">
      <c r="A1748">
        <v>202107</v>
      </c>
      <c r="B1748" s="1">
        <v>44378</v>
      </c>
      <c r="C1748">
        <v>2021</v>
      </c>
      <c r="D1748" t="s">
        <v>14</v>
      </c>
      <c r="E1748" t="s">
        <v>25</v>
      </c>
      <c r="F1748" t="s">
        <v>40</v>
      </c>
      <c r="G1748" t="s">
        <v>8</v>
      </c>
      <c r="H1748">
        <v>27.68</v>
      </c>
    </row>
    <row r="1749" spans="1:8" x14ac:dyDescent="0.3">
      <c r="A1749">
        <v>202108</v>
      </c>
      <c r="B1749" s="1">
        <v>44409</v>
      </c>
      <c r="C1749">
        <v>2021</v>
      </c>
      <c r="D1749" t="s">
        <v>15</v>
      </c>
      <c r="E1749" t="s">
        <v>25</v>
      </c>
      <c r="F1749" t="s">
        <v>40</v>
      </c>
      <c r="G1749" t="s">
        <v>8</v>
      </c>
      <c r="H1749">
        <v>22.23</v>
      </c>
    </row>
    <row r="1750" spans="1:8" x14ac:dyDescent="0.3">
      <c r="A1750">
        <v>202109</v>
      </c>
      <c r="B1750" s="1">
        <v>44440</v>
      </c>
      <c r="C1750">
        <v>2021</v>
      </c>
      <c r="D1750" t="s">
        <v>16</v>
      </c>
      <c r="E1750" t="s">
        <v>25</v>
      </c>
      <c r="F1750" t="s">
        <v>40</v>
      </c>
      <c r="G1750" t="s">
        <v>8</v>
      </c>
      <c r="H1750">
        <v>17.8</v>
      </c>
    </row>
    <row r="1751" spans="1:8" x14ac:dyDescent="0.3">
      <c r="A1751">
        <v>202110</v>
      </c>
      <c r="B1751" s="1">
        <v>44470</v>
      </c>
      <c r="C1751">
        <v>2021</v>
      </c>
      <c r="D1751" t="s">
        <v>17</v>
      </c>
      <c r="E1751" t="s">
        <v>25</v>
      </c>
      <c r="F1751" t="s">
        <v>40</v>
      </c>
      <c r="G1751" t="s">
        <v>8</v>
      </c>
      <c r="H1751">
        <v>22.93</v>
      </c>
    </row>
    <row r="1752" spans="1:8" x14ac:dyDescent="0.3">
      <c r="A1752">
        <v>202111</v>
      </c>
      <c r="B1752" s="1">
        <v>44501</v>
      </c>
      <c r="C1752">
        <v>2021</v>
      </c>
      <c r="D1752" t="s">
        <v>18</v>
      </c>
      <c r="E1752" t="s">
        <v>25</v>
      </c>
      <c r="F1752" t="s">
        <v>40</v>
      </c>
      <c r="G1752" t="s">
        <v>8</v>
      </c>
      <c r="H1752">
        <v>21.74</v>
      </c>
    </row>
    <row r="1753" spans="1:8" x14ac:dyDescent="0.3">
      <c r="A1753">
        <v>202112</v>
      </c>
      <c r="B1753" s="1">
        <v>44531</v>
      </c>
      <c r="C1753">
        <v>2021</v>
      </c>
      <c r="D1753" t="s">
        <v>19</v>
      </c>
      <c r="E1753" t="s">
        <v>25</v>
      </c>
      <c r="F1753" t="s">
        <v>40</v>
      </c>
      <c r="G1753" t="s">
        <v>8</v>
      </c>
      <c r="H1753">
        <v>22.72</v>
      </c>
    </row>
    <row r="1754" spans="1:8" x14ac:dyDescent="0.3">
      <c r="A1754">
        <v>202101</v>
      </c>
      <c r="B1754" s="1">
        <v>44197</v>
      </c>
      <c r="C1754">
        <v>2021</v>
      </c>
      <c r="D1754" t="s">
        <v>6</v>
      </c>
      <c r="E1754" t="s">
        <v>25</v>
      </c>
      <c r="F1754" t="s">
        <v>40</v>
      </c>
      <c r="G1754" t="s">
        <v>8</v>
      </c>
      <c r="H1754">
        <v>93.26</v>
      </c>
    </row>
    <row r="1755" spans="1:8" x14ac:dyDescent="0.3">
      <c r="A1755">
        <v>202102</v>
      </c>
      <c r="B1755" s="1">
        <v>44228</v>
      </c>
      <c r="C1755">
        <v>2021</v>
      </c>
      <c r="D1755" t="s">
        <v>9</v>
      </c>
      <c r="E1755" t="s">
        <v>25</v>
      </c>
      <c r="F1755" t="s">
        <v>40</v>
      </c>
      <c r="G1755" t="s">
        <v>8</v>
      </c>
      <c r="H1755">
        <v>51.86</v>
      </c>
    </row>
    <row r="1756" spans="1:8" x14ac:dyDescent="0.3">
      <c r="A1756">
        <v>202103</v>
      </c>
      <c r="B1756" s="1">
        <v>44256</v>
      </c>
      <c r="C1756">
        <v>2021</v>
      </c>
      <c r="D1756" t="s">
        <v>10</v>
      </c>
      <c r="E1756" t="s">
        <v>25</v>
      </c>
      <c r="F1756" t="s">
        <v>40</v>
      </c>
      <c r="G1756" t="s">
        <v>8</v>
      </c>
      <c r="H1756">
        <v>62.13</v>
      </c>
    </row>
    <row r="1757" spans="1:8" x14ac:dyDescent="0.3">
      <c r="A1757">
        <v>202104</v>
      </c>
      <c r="B1757" s="1">
        <v>44287</v>
      </c>
      <c r="C1757">
        <v>2021</v>
      </c>
      <c r="D1757" t="s">
        <v>11</v>
      </c>
      <c r="E1757" t="s">
        <v>25</v>
      </c>
      <c r="F1757" t="s">
        <v>40</v>
      </c>
      <c r="G1757" t="s">
        <v>8</v>
      </c>
      <c r="H1757">
        <v>79.430000000000007</v>
      </c>
    </row>
    <row r="1758" spans="1:8" x14ac:dyDescent="0.3">
      <c r="A1758">
        <v>202105</v>
      </c>
      <c r="B1758" s="1">
        <v>44317</v>
      </c>
      <c r="C1758">
        <v>2021</v>
      </c>
      <c r="D1758" t="s">
        <v>12</v>
      </c>
      <c r="E1758" t="s">
        <v>25</v>
      </c>
      <c r="F1758" t="s">
        <v>40</v>
      </c>
      <c r="G1758" t="s">
        <v>8</v>
      </c>
      <c r="H1758">
        <v>60.35</v>
      </c>
    </row>
    <row r="1759" spans="1:8" x14ac:dyDescent="0.3">
      <c r="A1759">
        <v>202106</v>
      </c>
      <c r="B1759" s="1">
        <v>44348</v>
      </c>
      <c r="C1759">
        <v>2021</v>
      </c>
      <c r="D1759" t="s">
        <v>13</v>
      </c>
      <c r="E1759" t="s">
        <v>25</v>
      </c>
      <c r="F1759" t="s">
        <v>40</v>
      </c>
      <c r="G1759" t="s">
        <v>8</v>
      </c>
      <c r="H1759">
        <v>51.02</v>
      </c>
    </row>
    <row r="1760" spans="1:8" x14ac:dyDescent="0.3">
      <c r="A1760">
        <v>202107</v>
      </c>
      <c r="B1760" s="1">
        <v>44378</v>
      </c>
      <c r="C1760">
        <v>2021</v>
      </c>
      <c r="D1760" t="s">
        <v>14</v>
      </c>
      <c r="E1760" t="s">
        <v>25</v>
      </c>
      <c r="F1760" t="s">
        <v>40</v>
      </c>
      <c r="G1760" t="s">
        <v>8</v>
      </c>
      <c r="H1760">
        <v>62.64</v>
      </c>
    </row>
    <row r="1761" spans="1:8" x14ac:dyDescent="0.3">
      <c r="A1761">
        <v>202108</v>
      </c>
      <c r="B1761" s="1">
        <v>44409</v>
      </c>
      <c r="C1761">
        <v>2021</v>
      </c>
      <c r="D1761" t="s">
        <v>15</v>
      </c>
      <c r="E1761" t="s">
        <v>25</v>
      </c>
      <c r="F1761" t="s">
        <v>40</v>
      </c>
      <c r="G1761" t="s">
        <v>8</v>
      </c>
      <c r="H1761">
        <v>60.72</v>
      </c>
    </row>
    <row r="1762" spans="1:8" x14ac:dyDescent="0.3">
      <c r="A1762">
        <v>202109</v>
      </c>
      <c r="B1762" s="1">
        <v>44440</v>
      </c>
      <c r="C1762">
        <v>2021</v>
      </c>
      <c r="D1762" t="s">
        <v>16</v>
      </c>
      <c r="E1762" t="s">
        <v>25</v>
      </c>
      <c r="F1762" t="s">
        <v>40</v>
      </c>
      <c r="G1762" t="s">
        <v>8</v>
      </c>
      <c r="H1762">
        <v>48.11</v>
      </c>
    </row>
    <row r="1763" spans="1:8" x14ac:dyDescent="0.3">
      <c r="A1763">
        <v>202110</v>
      </c>
      <c r="B1763" s="1">
        <v>44470</v>
      </c>
      <c r="C1763">
        <v>2021</v>
      </c>
      <c r="D1763" t="s">
        <v>17</v>
      </c>
      <c r="E1763" t="s">
        <v>25</v>
      </c>
      <c r="F1763" t="s">
        <v>40</v>
      </c>
      <c r="G1763" t="s">
        <v>8</v>
      </c>
      <c r="H1763">
        <v>59.17</v>
      </c>
    </row>
    <row r="1764" spans="1:8" x14ac:dyDescent="0.3">
      <c r="A1764">
        <v>202111</v>
      </c>
      <c r="B1764" s="1">
        <v>44501</v>
      </c>
      <c r="C1764">
        <v>2021</v>
      </c>
      <c r="D1764" t="s">
        <v>18</v>
      </c>
      <c r="E1764" t="s">
        <v>25</v>
      </c>
      <c r="F1764" t="s">
        <v>40</v>
      </c>
      <c r="G1764" t="s">
        <v>8</v>
      </c>
      <c r="H1764">
        <v>54.31</v>
      </c>
    </row>
    <row r="1765" spans="1:8" x14ac:dyDescent="0.3">
      <c r="A1765">
        <v>202112</v>
      </c>
      <c r="B1765" s="1">
        <v>44531</v>
      </c>
      <c r="C1765">
        <v>2021</v>
      </c>
      <c r="D1765" t="s">
        <v>19</v>
      </c>
      <c r="E1765" t="s">
        <v>25</v>
      </c>
      <c r="F1765" t="s">
        <v>40</v>
      </c>
      <c r="G1765" t="s">
        <v>8</v>
      </c>
      <c r="H1765">
        <v>56.96</v>
      </c>
    </row>
    <row r="1766" spans="1:8" x14ac:dyDescent="0.3">
      <c r="A1766">
        <v>202101</v>
      </c>
      <c r="B1766" s="1">
        <v>44197</v>
      </c>
      <c r="C1766">
        <v>2021</v>
      </c>
      <c r="D1766" t="s">
        <v>6</v>
      </c>
      <c r="E1766" t="s">
        <v>25</v>
      </c>
      <c r="F1766" t="s">
        <v>40</v>
      </c>
      <c r="G1766" t="s">
        <v>8</v>
      </c>
      <c r="H1766">
        <v>220.63</v>
      </c>
    </row>
    <row r="1767" spans="1:8" x14ac:dyDescent="0.3">
      <c r="A1767">
        <v>202102</v>
      </c>
      <c r="B1767" s="1">
        <v>44228</v>
      </c>
      <c r="C1767">
        <v>2021</v>
      </c>
      <c r="D1767" t="s">
        <v>9</v>
      </c>
      <c r="E1767" t="s">
        <v>25</v>
      </c>
      <c r="F1767" t="s">
        <v>40</v>
      </c>
      <c r="G1767" t="s">
        <v>8</v>
      </c>
      <c r="H1767">
        <v>111.97</v>
      </c>
    </row>
    <row r="1768" spans="1:8" x14ac:dyDescent="0.3">
      <c r="A1768">
        <v>202103</v>
      </c>
      <c r="B1768" s="1">
        <v>44256</v>
      </c>
      <c r="C1768">
        <v>2021</v>
      </c>
      <c r="D1768" t="s">
        <v>10</v>
      </c>
      <c r="E1768" t="s">
        <v>25</v>
      </c>
      <c r="F1768" t="s">
        <v>40</v>
      </c>
      <c r="G1768" t="s">
        <v>8</v>
      </c>
      <c r="H1768">
        <v>137.51</v>
      </c>
    </row>
    <row r="1769" spans="1:8" x14ac:dyDescent="0.3">
      <c r="A1769">
        <v>202104</v>
      </c>
      <c r="B1769" s="1">
        <v>44287</v>
      </c>
      <c r="C1769">
        <v>2021</v>
      </c>
      <c r="D1769" t="s">
        <v>11</v>
      </c>
      <c r="E1769" t="s">
        <v>25</v>
      </c>
      <c r="F1769" t="s">
        <v>40</v>
      </c>
      <c r="G1769" t="s">
        <v>8</v>
      </c>
      <c r="H1769">
        <v>188.52</v>
      </c>
    </row>
    <row r="1770" spans="1:8" x14ac:dyDescent="0.3">
      <c r="A1770">
        <v>202105</v>
      </c>
      <c r="B1770" s="1">
        <v>44317</v>
      </c>
      <c r="C1770">
        <v>2021</v>
      </c>
      <c r="D1770" t="s">
        <v>12</v>
      </c>
      <c r="E1770" t="s">
        <v>25</v>
      </c>
      <c r="F1770" t="s">
        <v>40</v>
      </c>
      <c r="G1770" t="s">
        <v>8</v>
      </c>
      <c r="H1770">
        <v>145.19999999999999</v>
      </c>
    </row>
    <row r="1771" spans="1:8" x14ac:dyDescent="0.3">
      <c r="A1771">
        <v>202106</v>
      </c>
      <c r="B1771" s="1">
        <v>44348</v>
      </c>
      <c r="C1771">
        <v>2021</v>
      </c>
      <c r="D1771" t="s">
        <v>13</v>
      </c>
      <c r="E1771" t="s">
        <v>25</v>
      </c>
      <c r="F1771" t="s">
        <v>40</v>
      </c>
      <c r="G1771" t="s">
        <v>8</v>
      </c>
      <c r="H1771">
        <v>131.97999999999999</v>
      </c>
    </row>
    <row r="1772" spans="1:8" x14ac:dyDescent="0.3">
      <c r="A1772">
        <v>202107</v>
      </c>
      <c r="B1772" s="1">
        <v>44378</v>
      </c>
      <c r="C1772">
        <v>2021</v>
      </c>
      <c r="D1772" t="s">
        <v>14</v>
      </c>
      <c r="E1772" t="s">
        <v>25</v>
      </c>
      <c r="F1772" t="s">
        <v>40</v>
      </c>
      <c r="G1772" t="s">
        <v>8</v>
      </c>
      <c r="H1772">
        <v>137.69999999999999</v>
      </c>
    </row>
    <row r="1773" spans="1:8" x14ac:dyDescent="0.3">
      <c r="A1773">
        <v>202108</v>
      </c>
      <c r="B1773" s="1">
        <v>44409</v>
      </c>
      <c r="C1773">
        <v>2021</v>
      </c>
      <c r="D1773" t="s">
        <v>15</v>
      </c>
      <c r="E1773" t="s">
        <v>25</v>
      </c>
      <c r="F1773" t="s">
        <v>40</v>
      </c>
      <c r="G1773" t="s">
        <v>8</v>
      </c>
      <c r="H1773">
        <v>159.49</v>
      </c>
    </row>
    <row r="1774" spans="1:8" x14ac:dyDescent="0.3">
      <c r="A1774">
        <v>202109</v>
      </c>
      <c r="B1774" s="1">
        <v>44440</v>
      </c>
      <c r="C1774">
        <v>2021</v>
      </c>
      <c r="D1774" t="s">
        <v>16</v>
      </c>
      <c r="E1774" t="s">
        <v>25</v>
      </c>
      <c r="F1774" t="s">
        <v>40</v>
      </c>
      <c r="G1774" t="s">
        <v>8</v>
      </c>
      <c r="H1774">
        <v>125</v>
      </c>
    </row>
    <row r="1775" spans="1:8" x14ac:dyDescent="0.3">
      <c r="A1775">
        <v>202110</v>
      </c>
      <c r="B1775" s="1">
        <v>44470</v>
      </c>
      <c r="C1775">
        <v>2021</v>
      </c>
      <c r="D1775" t="s">
        <v>17</v>
      </c>
      <c r="E1775" t="s">
        <v>25</v>
      </c>
      <c r="F1775" t="s">
        <v>40</v>
      </c>
      <c r="G1775" t="s">
        <v>8</v>
      </c>
      <c r="H1775">
        <v>161.58000000000001</v>
      </c>
    </row>
    <row r="1776" spans="1:8" x14ac:dyDescent="0.3">
      <c r="A1776">
        <v>202111</v>
      </c>
      <c r="B1776" s="1">
        <v>44501</v>
      </c>
      <c r="C1776">
        <v>2021</v>
      </c>
      <c r="D1776" t="s">
        <v>18</v>
      </c>
      <c r="E1776" t="s">
        <v>25</v>
      </c>
      <c r="F1776" t="s">
        <v>40</v>
      </c>
      <c r="G1776" t="s">
        <v>8</v>
      </c>
      <c r="H1776">
        <v>159.54</v>
      </c>
    </row>
    <row r="1777" spans="1:8" x14ac:dyDescent="0.3">
      <c r="A1777">
        <v>202112</v>
      </c>
      <c r="B1777" s="1">
        <v>44531</v>
      </c>
      <c r="C1777">
        <v>2021</v>
      </c>
      <c r="D1777" t="s">
        <v>19</v>
      </c>
      <c r="E1777" t="s">
        <v>25</v>
      </c>
      <c r="F1777" t="s">
        <v>40</v>
      </c>
      <c r="G1777" t="s">
        <v>8</v>
      </c>
      <c r="H1777">
        <v>136.22</v>
      </c>
    </row>
    <row r="1778" spans="1:8" x14ac:dyDescent="0.3">
      <c r="A1778">
        <v>202101</v>
      </c>
      <c r="B1778" s="1">
        <v>44197</v>
      </c>
      <c r="C1778">
        <v>2021</v>
      </c>
      <c r="D1778" t="s">
        <v>6</v>
      </c>
      <c r="E1778" t="s">
        <v>25</v>
      </c>
      <c r="F1778" t="s">
        <v>40</v>
      </c>
      <c r="G1778" t="s">
        <v>8</v>
      </c>
      <c r="H1778">
        <v>451.72</v>
      </c>
    </row>
    <row r="1779" spans="1:8" x14ac:dyDescent="0.3">
      <c r="A1779">
        <v>202102</v>
      </c>
      <c r="B1779" s="1">
        <v>44228</v>
      </c>
      <c r="C1779">
        <v>2021</v>
      </c>
      <c r="D1779" t="s">
        <v>9</v>
      </c>
      <c r="E1779" t="s">
        <v>25</v>
      </c>
      <c r="F1779" t="s">
        <v>40</v>
      </c>
      <c r="G1779" t="s">
        <v>8</v>
      </c>
      <c r="H1779">
        <v>249.92</v>
      </c>
    </row>
    <row r="1780" spans="1:8" x14ac:dyDescent="0.3">
      <c r="A1780">
        <v>202103</v>
      </c>
      <c r="B1780" s="1">
        <v>44256</v>
      </c>
      <c r="C1780">
        <v>2021</v>
      </c>
      <c r="D1780" t="s">
        <v>10</v>
      </c>
      <c r="E1780" t="s">
        <v>25</v>
      </c>
      <c r="F1780" t="s">
        <v>40</v>
      </c>
      <c r="G1780" t="s">
        <v>8</v>
      </c>
      <c r="H1780">
        <v>244.59</v>
      </c>
    </row>
    <row r="1781" spans="1:8" x14ac:dyDescent="0.3">
      <c r="A1781">
        <v>202104</v>
      </c>
      <c r="B1781" s="1">
        <v>44287</v>
      </c>
      <c r="C1781">
        <v>2021</v>
      </c>
      <c r="D1781" t="s">
        <v>11</v>
      </c>
      <c r="E1781" t="s">
        <v>25</v>
      </c>
      <c r="F1781" t="s">
        <v>40</v>
      </c>
      <c r="G1781" t="s">
        <v>8</v>
      </c>
      <c r="H1781">
        <v>367.84</v>
      </c>
    </row>
    <row r="1782" spans="1:8" x14ac:dyDescent="0.3">
      <c r="A1782">
        <v>202105</v>
      </c>
      <c r="B1782" s="1">
        <v>44317</v>
      </c>
      <c r="C1782">
        <v>2021</v>
      </c>
      <c r="D1782" t="s">
        <v>12</v>
      </c>
      <c r="E1782" t="s">
        <v>25</v>
      </c>
      <c r="F1782" t="s">
        <v>40</v>
      </c>
      <c r="G1782" t="s">
        <v>8</v>
      </c>
      <c r="H1782">
        <v>241.68</v>
      </c>
    </row>
    <row r="1783" spans="1:8" x14ac:dyDescent="0.3">
      <c r="A1783">
        <v>202106</v>
      </c>
      <c r="B1783" s="1">
        <v>44348</v>
      </c>
      <c r="C1783">
        <v>2021</v>
      </c>
      <c r="D1783" t="s">
        <v>13</v>
      </c>
      <c r="E1783" t="s">
        <v>25</v>
      </c>
      <c r="F1783" t="s">
        <v>40</v>
      </c>
      <c r="G1783" t="s">
        <v>8</v>
      </c>
      <c r="H1783">
        <v>255.73</v>
      </c>
    </row>
    <row r="1784" spans="1:8" x14ac:dyDescent="0.3">
      <c r="A1784">
        <v>202107</v>
      </c>
      <c r="B1784" s="1">
        <v>44378</v>
      </c>
      <c r="C1784">
        <v>2021</v>
      </c>
      <c r="D1784" t="s">
        <v>14</v>
      </c>
      <c r="E1784" t="s">
        <v>25</v>
      </c>
      <c r="F1784" t="s">
        <v>40</v>
      </c>
      <c r="G1784" t="s">
        <v>8</v>
      </c>
      <c r="H1784">
        <v>302.5</v>
      </c>
    </row>
    <row r="1785" spans="1:8" x14ac:dyDescent="0.3">
      <c r="A1785">
        <v>202108</v>
      </c>
      <c r="B1785" s="1">
        <v>44409</v>
      </c>
      <c r="C1785">
        <v>2021</v>
      </c>
      <c r="D1785" t="s">
        <v>15</v>
      </c>
      <c r="E1785" t="s">
        <v>25</v>
      </c>
      <c r="F1785" t="s">
        <v>40</v>
      </c>
      <c r="G1785" t="s">
        <v>8</v>
      </c>
      <c r="H1785">
        <v>283.52</v>
      </c>
    </row>
    <row r="1786" spans="1:8" x14ac:dyDescent="0.3">
      <c r="A1786">
        <v>202109</v>
      </c>
      <c r="B1786" s="1">
        <v>44440</v>
      </c>
      <c r="C1786">
        <v>2021</v>
      </c>
      <c r="D1786" t="s">
        <v>16</v>
      </c>
      <c r="E1786" t="s">
        <v>25</v>
      </c>
      <c r="F1786" t="s">
        <v>40</v>
      </c>
      <c r="G1786" t="s">
        <v>8</v>
      </c>
      <c r="H1786">
        <v>221.86</v>
      </c>
    </row>
    <row r="1787" spans="1:8" x14ac:dyDescent="0.3">
      <c r="A1787">
        <v>202110</v>
      </c>
      <c r="B1787" s="1">
        <v>44470</v>
      </c>
      <c r="C1787">
        <v>2021</v>
      </c>
      <c r="D1787" t="s">
        <v>17</v>
      </c>
      <c r="E1787" t="s">
        <v>25</v>
      </c>
      <c r="F1787" t="s">
        <v>40</v>
      </c>
      <c r="G1787" t="s">
        <v>8</v>
      </c>
      <c r="H1787">
        <v>285.79000000000002</v>
      </c>
    </row>
    <row r="1788" spans="1:8" x14ac:dyDescent="0.3">
      <c r="A1788">
        <v>202111</v>
      </c>
      <c r="B1788" s="1">
        <v>44501</v>
      </c>
      <c r="C1788">
        <v>2021</v>
      </c>
      <c r="D1788" t="s">
        <v>18</v>
      </c>
      <c r="E1788" t="s">
        <v>25</v>
      </c>
      <c r="F1788" t="s">
        <v>40</v>
      </c>
      <c r="G1788" t="s">
        <v>8</v>
      </c>
      <c r="H1788">
        <v>350</v>
      </c>
    </row>
    <row r="1789" spans="1:8" x14ac:dyDescent="0.3">
      <c r="A1789">
        <v>202112</v>
      </c>
      <c r="B1789" s="1">
        <v>44531</v>
      </c>
      <c r="C1789">
        <v>2021</v>
      </c>
      <c r="D1789" t="s">
        <v>19</v>
      </c>
      <c r="E1789" t="s">
        <v>25</v>
      </c>
      <c r="F1789" t="s">
        <v>40</v>
      </c>
      <c r="G1789" t="s">
        <v>8</v>
      </c>
      <c r="H1789">
        <v>253.62</v>
      </c>
    </row>
    <row r="1790" spans="1:8" x14ac:dyDescent="0.3">
      <c r="A1790">
        <v>202101</v>
      </c>
      <c r="B1790" s="1">
        <v>44197</v>
      </c>
      <c r="C1790">
        <v>2021</v>
      </c>
      <c r="D1790" t="s">
        <v>6</v>
      </c>
      <c r="E1790" t="s">
        <v>25</v>
      </c>
      <c r="F1790" t="s">
        <v>40</v>
      </c>
      <c r="G1790" t="s">
        <v>8</v>
      </c>
      <c r="H1790">
        <v>44.7</v>
      </c>
    </row>
    <row r="1791" spans="1:8" x14ac:dyDescent="0.3">
      <c r="A1791">
        <v>202102</v>
      </c>
      <c r="B1791" s="1">
        <v>44228</v>
      </c>
      <c r="C1791">
        <v>2021</v>
      </c>
      <c r="D1791" t="s">
        <v>9</v>
      </c>
      <c r="E1791" t="s">
        <v>25</v>
      </c>
      <c r="F1791" t="s">
        <v>40</v>
      </c>
      <c r="G1791" t="s">
        <v>8</v>
      </c>
      <c r="H1791">
        <v>26.06</v>
      </c>
    </row>
    <row r="1792" spans="1:8" x14ac:dyDescent="0.3">
      <c r="A1792">
        <v>202103</v>
      </c>
      <c r="B1792" s="1">
        <v>44256</v>
      </c>
      <c r="C1792">
        <v>2021</v>
      </c>
      <c r="D1792" t="s">
        <v>10</v>
      </c>
      <c r="E1792" t="s">
        <v>25</v>
      </c>
      <c r="F1792" t="s">
        <v>40</v>
      </c>
      <c r="G1792" t="s">
        <v>8</v>
      </c>
      <c r="H1792">
        <v>30.86</v>
      </c>
    </row>
    <row r="1793" spans="1:8" x14ac:dyDescent="0.3">
      <c r="A1793">
        <v>202104</v>
      </c>
      <c r="B1793" s="1">
        <v>44287</v>
      </c>
      <c r="C1793">
        <v>2021</v>
      </c>
      <c r="D1793" t="s">
        <v>11</v>
      </c>
      <c r="E1793" t="s">
        <v>25</v>
      </c>
      <c r="F1793" t="s">
        <v>40</v>
      </c>
      <c r="G1793" t="s">
        <v>8</v>
      </c>
      <c r="H1793">
        <v>41.95</v>
      </c>
    </row>
    <row r="1794" spans="1:8" x14ac:dyDescent="0.3">
      <c r="A1794">
        <v>202105</v>
      </c>
      <c r="B1794" s="1">
        <v>44317</v>
      </c>
      <c r="C1794">
        <v>2021</v>
      </c>
      <c r="D1794" t="s">
        <v>12</v>
      </c>
      <c r="E1794" t="s">
        <v>25</v>
      </c>
      <c r="F1794" t="s">
        <v>40</v>
      </c>
      <c r="G1794" t="s">
        <v>8</v>
      </c>
      <c r="H1794">
        <v>33.4</v>
      </c>
    </row>
    <row r="1795" spans="1:8" x14ac:dyDescent="0.3">
      <c r="A1795">
        <v>202106</v>
      </c>
      <c r="B1795" s="1">
        <v>44348</v>
      </c>
      <c r="C1795">
        <v>2021</v>
      </c>
      <c r="D1795" t="s">
        <v>13</v>
      </c>
      <c r="E1795" t="s">
        <v>25</v>
      </c>
      <c r="F1795" t="s">
        <v>40</v>
      </c>
      <c r="G1795" t="s">
        <v>8</v>
      </c>
      <c r="H1795">
        <v>29.07</v>
      </c>
    </row>
    <row r="1796" spans="1:8" x14ac:dyDescent="0.3">
      <c r="A1796">
        <v>202107</v>
      </c>
      <c r="B1796" s="1">
        <v>44378</v>
      </c>
      <c r="C1796">
        <v>2021</v>
      </c>
      <c r="D1796" t="s">
        <v>14</v>
      </c>
      <c r="E1796" t="s">
        <v>25</v>
      </c>
      <c r="F1796" t="s">
        <v>40</v>
      </c>
      <c r="G1796" t="s">
        <v>8</v>
      </c>
      <c r="H1796">
        <v>28.43</v>
      </c>
    </row>
    <row r="1797" spans="1:8" x14ac:dyDescent="0.3">
      <c r="A1797">
        <v>202108</v>
      </c>
      <c r="B1797" s="1">
        <v>44409</v>
      </c>
      <c r="C1797">
        <v>2021</v>
      </c>
      <c r="D1797" t="s">
        <v>15</v>
      </c>
      <c r="E1797" t="s">
        <v>25</v>
      </c>
      <c r="F1797" t="s">
        <v>40</v>
      </c>
      <c r="G1797" t="s">
        <v>8</v>
      </c>
      <c r="H1797">
        <v>31.49</v>
      </c>
    </row>
    <row r="1798" spans="1:8" x14ac:dyDescent="0.3">
      <c r="A1798">
        <v>202109</v>
      </c>
      <c r="B1798" s="1">
        <v>44440</v>
      </c>
      <c r="C1798">
        <v>2021</v>
      </c>
      <c r="D1798" t="s">
        <v>16</v>
      </c>
      <c r="E1798" t="s">
        <v>25</v>
      </c>
      <c r="F1798" t="s">
        <v>40</v>
      </c>
      <c r="G1798" t="s">
        <v>8</v>
      </c>
      <c r="H1798">
        <v>28.71</v>
      </c>
    </row>
    <row r="1799" spans="1:8" x14ac:dyDescent="0.3">
      <c r="A1799">
        <v>202110</v>
      </c>
      <c r="B1799" s="1">
        <v>44470</v>
      </c>
      <c r="C1799">
        <v>2021</v>
      </c>
      <c r="D1799" t="s">
        <v>17</v>
      </c>
      <c r="E1799" t="s">
        <v>25</v>
      </c>
      <c r="F1799" t="s">
        <v>40</v>
      </c>
      <c r="G1799" t="s">
        <v>8</v>
      </c>
      <c r="H1799">
        <v>27.91</v>
      </c>
    </row>
    <row r="1800" spans="1:8" x14ac:dyDescent="0.3">
      <c r="A1800">
        <v>202111</v>
      </c>
      <c r="B1800" s="1">
        <v>44501</v>
      </c>
      <c r="C1800">
        <v>2021</v>
      </c>
      <c r="D1800" t="s">
        <v>18</v>
      </c>
      <c r="E1800" t="s">
        <v>25</v>
      </c>
      <c r="F1800" t="s">
        <v>40</v>
      </c>
      <c r="G1800" t="s">
        <v>8</v>
      </c>
      <c r="H1800">
        <v>34.369999999999997</v>
      </c>
    </row>
    <row r="1801" spans="1:8" x14ac:dyDescent="0.3">
      <c r="A1801">
        <v>202112</v>
      </c>
      <c r="B1801" s="1">
        <v>44531</v>
      </c>
      <c r="C1801">
        <v>2021</v>
      </c>
      <c r="D1801" t="s">
        <v>19</v>
      </c>
      <c r="E1801" t="s">
        <v>25</v>
      </c>
      <c r="F1801" t="s">
        <v>40</v>
      </c>
      <c r="G1801" t="s">
        <v>8</v>
      </c>
      <c r="H1801">
        <v>32.159999999999997</v>
      </c>
    </row>
    <row r="1802" spans="1:8" x14ac:dyDescent="0.3">
      <c r="A1802">
        <v>202101</v>
      </c>
      <c r="B1802" s="1">
        <v>44197</v>
      </c>
      <c r="C1802">
        <v>2021</v>
      </c>
      <c r="D1802" t="s">
        <v>6</v>
      </c>
      <c r="E1802" t="s">
        <v>26</v>
      </c>
      <c r="F1802" t="s">
        <v>40</v>
      </c>
      <c r="G1802" t="s">
        <v>8</v>
      </c>
      <c r="H1802">
        <v>385.18</v>
      </c>
    </row>
    <row r="1803" spans="1:8" x14ac:dyDescent="0.3">
      <c r="A1803">
        <v>202102</v>
      </c>
      <c r="B1803" s="1">
        <v>44228</v>
      </c>
      <c r="C1803">
        <v>2021</v>
      </c>
      <c r="D1803" t="s">
        <v>9</v>
      </c>
      <c r="E1803" t="s">
        <v>26</v>
      </c>
      <c r="F1803" t="s">
        <v>40</v>
      </c>
      <c r="G1803" t="s">
        <v>8</v>
      </c>
      <c r="H1803">
        <v>220.36</v>
      </c>
    </row>
    <row r="1804" spans="1:8" x14ac:dyDescent="0.3">
      <c r="A1804">
        <v>202103</v>
      </c>
      <c r="B1804" s="1">
        <v>44256</v>
      </c>
      <c r="C1804">
        <v>2021</v>
      </c>
      <c r="D1804" t="s">
        <v>10</v>
      </c>
      <c r="E1804" t="s">
        <v>26</v>
      </c>
      <c r="F1804" t="s">
        <v>40</v>
      </c>
      <c r="G1804" t="s">
        <v>8</v>
      </c>
      <c r="H1804">
        <v>241.47</v>
      </c>
    </row>
    <row r="1805" spans="1:8" x14ac:dyDescent="0.3">
      <c r="A1805">
        <v>202104</v>
      </c>
      <c r="B1805" s="1">
        <v>44287</v>
      </c>
      <c r="C1805">
        <v>2021</v>
      </c>
      <c r="D1805" t="s">
        <v>11</v>
      </c>
      <c r="E1805" t="s">
        <v>26</v>
      </c>
      <c r="F1805" t="s">
        <v>40</v>
      </c>
      <c r="G1805" t="s">
        <v>8</v>
      </c>
      <c r="H1805">
        <v>396.95</v>
      </c>
    </row>
    <row r="1806" spans="1:8" x14ac:dyDescent="0.3">
      <c r="A1806">
        <v>202105</v>
      </c>
      <c r="B1806" s="1">
        <v>44317</v>
      </c>
      <c r="C1806">
        <v>2021</v>
      </c>
      <c r="D1806" t="s">
        <v>12</v>
      </c>
      <c r="E1806" t="s">
        <v>26</v>
      </c>
      <c r="F1806" t="s">
        <v>40</v>
      </c>
      <c r="G1806" t="s">
        <v>8</v>
      </c>
      <c r="H1806">
        <v>259.69</v>
      </c>
    </row>
    <row r="1807" spans="1:8" x14ac:dyDescent="0.3">
      <c r="A1807">
        <v>202106</v>
      </c>
      <c r="B1807" s="1">
        <v>44348</v>
      </c>
      <c r="C1807">
        <v>2021</v>
      </c>
      <c r="D1807" t="s">
        <v>13</v>
      </c>
      <c r="E1807" t="s">
        <v>26</v>
      </c>
      <c r="F1807" t="s">
        <v>40</v>
      </c>
      <c r="G1807" t="s">
        <v>8</v>
      </c>
      <c r="H1807">
        <v>250.16</v>
      </c>
    </row>
    <row r="1808" spans="1:8" x14ac:dyDescent="0.3">
      <c r="A1808">
        <v>202107</v>
      </c>
      <c r="B1808" s="1">
        <v>44378</v>
      </c>
      <c r="C1808">
        <v>2021</v>
      </c>
      <c r="D1808" t="s">
        <v>14</v>
      </c>
      <c r="E1808" t="s">
        <v>26</v>
      </c>
      <c r="F1808" t="s">
        <v>40</v>
      </c>
      <c r="G1808" t="s">
        <v>8</v>
      </c>
      <c r="H1808">
        <v>275.89999999999998</v>
      </c>
    </row>
    <row r="1809" spans="1:8" x14ac:dyDescent="0.3">
      <c r="A1809">
        <v>202108</v>
      </c>
      <c r="B1809" s="1">
        <v>44409</v>
      </c>
      <c r="C1809">
        <v>2021</v>
      </c>
      <c r="D1809" t="s">
        <v>15</v>
      </c>
      <c r="E1809" t="s">
        <v>26</v>
      </c>
      <c r="F1809" t="s">
        <v>40</v>
      </c>
      <c r="G1809" t="s">
        <v>8</v>
      </c>
      <c r="H1809">
        <v>279.79000000000002</v>
      </c>
    </row>
    <row r="1810" spans="1:8" x14ac:dyDescent="0.3">
      <c r="A1810">
        <v>202109</v>
      </c>
      <c r="B1810" s="1">
        <v>44440</v>
      </c>
      <c r="C1810">
        <v>2021</v>
      </c>
      <c r="D1810" t="s">
        <v>16</v>
      </c>
      <c r="E1810" t="s">
        <v>26</v>
      </c>
      <c r="F1810" t="s">
        <v>40</v>
      </c>
      <c r="G1810" t="s">
        <v>8</v>
      </c>
      <c r="H1810">
        <v>258.44</v>
      </c>
    </row>
    <row r="1811" spans="1:8" x14ac:dyDescent="0.3">
      <c r="A1811">
        <v>202110</v>
      </c>
      <c r="B1811" s="1">
        <v>44470</v>
      </c>
      <c r="C1811">
        <v>2021</v>
      </c>
      <c r="D1811" t="s">
        <v>17</v>
      </c>
      <c r="E1811" t="s">
        <v>26</v>
      </c>
      <c r="F1811" t="s">
        <v>40</v>
      </c>
      <c r="G1811" t="s">
        <v>8</v>
      </c>
      <c r="H1811">
        <v>282.94</v>
      </c>
    </row>
    <row r="1812" spans="1:8" x14ac:dyDescent="0.3">
      <c r="A1812">
        <v>202111</v>
      </c>
      <c r="B1812" s="1">
        <v>44501</v>
      </c>
      <c r="C1812">
        <v>2021</v>
      </c>
      <c r="D1812" t="s">
        <v>18</v>
      </c>
      <c r="E1812" t="s">
        <v>26</v>
      </c>
      <c r="F1812" t="s">
        <v>40</v>
      </c>
      <c r="G1812" t="s">
        <v>8</v>
      </c>
      <c r="H1812">
        <v>302.64999999999998</v>
      </c>
    </row>
    <row r="1813" spans="1:8" x14ac:dyDescent="0.3">
      <c r="A1813">
        <v>202112</v>
      </c>
      <c r="B1813" s="1">
        <v>44531</v>
      </c>
      <c r="C1813">
        <v>2021</v>
      </c>
      <c r="D1813" t="s">
        <v>19</v>
      </c>
      <c r="E1813" t="s">
        <v>26</v>
      </c>
      <c r="F1813" t="s">
        <v>40</v>
      </c>
      <c r="G1813" t="s">
        <v>8</v>
      </c>
      <c r="H1813">
        <v>318.60000000000002</v>
      </c>
    </row>
    <row r="1814" spans="1:8" x14ac:dyDescent="0.3">
      <c r="A1814">
        <v>202101</v>
      </c>
      <c r="B1814" s="1">
        <v>44197</v>
      </c>
      <c r="C1814">
        <v>2021</v>
      </c>
      <c r="D1814" t="s">
        <v>6</v>
      </c>
      <c r="E1814" t="s">
        <v>26</v>
      </c>
      <c r="F1814" t="s">
        <v>40</v>
      </c>
      <c r="G1814" t="s">
        <v>8</v>
      </c>
      <c r="H1814">
        <v>109.21</v>
      </c>
    </row>
    <row r="1815" spans="1:8" x14ac:dyDescent="0.3">
      <c r="A1815">
        <v>202102</v>
      </c>
      <c r="B1815" s="1">
        <v>44228</v>
      </c>
      <c r="C1815">
        <v>2021</v>
      </c>
      <c r="D1815" t="s">
        <v>9</v>
      </c>
      <c r="E1815" t="s">
        <v>26</v>
      </c>
      <c r="F1815" t="s">
        <v>40</v>
      </c>
      <c r="G1815" t="s">
        <v>8</v>
      </c>
      <c r="H1815">
        <v>65.36</v>
      </c>
    </row>
    <row r="1816" spans="1:8" x14ac:dyDescent="0.3">
      <c r="A1816">
        <v>202103</v>
      </c>
      <c r="B1816" s="1">
        <v>44256</v>
      </c>
      <c r="C1816">
        <v>2021</v>
      </c>
      <c r="D1816" t="s">
        <v>10</v>
      </c>
      <c r="E1816" t="s">
        <v>26</v>
      </c>
      <c r="F1816" t="s">
        <v>40</v>
      </c>
      <c r="G1816" t="s">
        <v>8</v>
      </c>
      <c r="H1816">
        <v>72.569999999999993</v>
      </c>
    </row>
    <row r="1817" spans="1:8" x14ac:dyDescent="0.3">
      <c r="A1817">
        <v>202104</v>
      </c>
      <c r="B1817" s="1">
        <v>44287</v>
      </c>
      <c r="C1817">
        <v>2021</v>
      </c>
      <c r="D1817" t="s">
        <v>11</v>
      </c>
      <c r="E1817" t="s">
        <v>26</v>
      </c>
      <c r="F1817" t="s">
        <v>40</v>
      </c>
      <c r="G1817" t="s">
        <v>8</v>
      </c>
      <c r="H1817">
        <v>100.66</v>
      </c>
    </row>
    <row r="1818" spans="1:8" x14ac:dyDescent="0.3">
      <c r="A1818">
        <v>202105</v>
      </c>
      <c r="B1818" s="1">
        <v>44317</v>
      </c>
      <c r="C1818">
        <v>2021</v>
      </c>
      <c r="D1818" t="s">
        <v>12</v>
      </c>
      <c r="E1818" t="s">
        <v>26</v>
      </c>
      <c r="F1818" t="s">
        <v>40</v>
      </c>
      <c r="G1818" t="s">
        <v>8</v>
      </c>
      <c r="H1818">
        <v>70.19</v>
      </c>
    </row>
    <row r="1819" spans="1:8" x14ac:dyDescent="0.3">
      <c r="A1819">
        <v>202106</v>
      </c>
      <c r="B1819" s="1">
        <v>44348</v>
      </c>
      <c r="C1819">
        <v>2021</v>
      </c>
      <c r="D1819" t="s">
        <v>13</v>
      </c>
      <c r="E1819" t="s">
        <v>26</v>
      </c>
      <c r="F1819" t="s">
        <v>40</v>
      </c>
      <c r="G1819" t="s">
        <v>8</v>
      </c>
      <c r="H1819">
        <v>70.14</v>
      </c>
    </row>
    <row r="1820" spans="1:8" x14ac:dyDescent="0.3">
      <c r="A1820">
        <v>202107</v>
      </c>
      <c r="B1820" s="1">
        <v>44378</v>
      </c>
      <c r="C1820">
        <v>2021</v>
      </c>
      <c r="D1820" t="s">
        <v>14</v>
      </c>
      <c r="E1820" t="s">
        <v>26</v>
      </c>
      <c r="F1820" t="s">
        <v>40</v>
      </c>
      <c r="G1820" t="s">
        <v>8</v>
      </c>
      <c r="H1820">
        <v>82.49</v>
      </c>
    </row>
    <row r="1821" spans="1:8" x14ac:dyDescent="0.3">
      <c r="A1821">
        <v>202108</v>
      </c>
      <c r="B1821" s="1">
        <v>44409</v>
      </c>
      <c r="C1821">
        <v>2021</v>
      </c>
      <c r="D1821" t="s">
        <v>15</v>
      </c>
      <c r="E1821" t="s">
        <v>26</v>
      </c>
      <c r="F1821" t="s">
        <v>40</v>
      </c>
      <c r="G1821" t="s">
        <v>8</v>
      </c>
      <c r="H1821">
        <v>73.52</v>
      </c>
    </row>
    <row r="1822" spans="1:8" x14ac:dyDescent="0.3">
      <c r="A1822">
        <v>202109</v>
      </c>
      <c r="B1822" s="1">
        <v>44440</v>
      </c>
      <c r="C1822">
        <v>2021</v>
      </c>
      <c r="D1822" t="s">
        <v>16</v>
      </c>
      <c r="E1822" t="s">
        <v>26</v>
      </c>
      <c r="F1822" t="s">
        <v>40</v>
      </c>
      <c r="G1822" t="s">
        <v>8</v>
      </c>
      <c r="H1822">
        <v>59.74</v>
      </c>
    </row>
    <row r="1823" spans="1:8" x14ac:dyDescent="0.3">
      <c r="A1823">
        <v>202110</v>
      </c>
      <c r="B1823" s="1">
        <v>44470</v>
      </c>
      <c r="C1823">
        <v>2021</v>
      </c>
      <c r="D1823" t="s">
        <v>17</v>
      </c>
      <c r="E1823" t="s">
        <v>26</v>
      </c>
      <c r="F1823" t="s">
        <v>40</v>
      </c>
      <c r="G1823" t="s">
        <v>8</v>
      </c>
      <c r="H1823">
        <v>83.8</v>
      </c>
    </row>
    <row r="1824" spans="1:8" x14ac:dyDescent="0.3">
      <c r="A1824">
        <v>202111</v>
      </c>
      <c r="B1824" s="1">
        <v>44501</v>
      </c>
      <c r="C1824">
        <v>2021</v>
      </c>
      <c r="D1824" t="s">
        <v>18</v>
      </c>
      <c r="E1824" t="s">
        <v>26</v>
      </c>
      <c r="F1824" t="s">
        <v>40</v>
      </c>
      <c r="G1824" t="s">
        <v>8</v>
      </c>
      <c r="H1824">
        <v>93.38</v>
      </c>
    </row>
    <row r="1825" spans="1:8" x14ac:dyDescent="0.3">
      <c r="A1825">
        <v>202112</v>
      </c>
      <c r="B1825" s="1">
        <v>44531</v>
      </c>
      <c r="C1825">
        <v>2021</v>
      </c>
      <c r="D1825" t="s">
        <v>19</v>
      </c>
      <c r="E1825" t="s">
        <v>26</v>
      </c>
      <c r="F1825" t="s">
        <v>40</v>
      </c>
      <c r="G1825" t="s">
        <v>8</v>
      </c>
      <c r="H1825">
        <v>88.84</v>
      </c>
    </row>
    <row r="1826" spans="1:8" x14ac:dyDescent="0.3">
      <c r="A1826">
        <v>202101</v>
      </c>
      <c r="B1826" s="1">
        <v>44197</v>
      </c>
      <c r="C1826">
        <v>2021</v>
      </c>
      <c r="D1826" t="s">
        <v>6</v>
      </c>
      <c r="E1826" t="s">
        <v>26</v>
      </c>
      <c r="F1826" t="s">
        <v>40</v>
      </c>
      <c r="G1826" t="s">
        <v>8</v>
      </c>
      <c r="H1826">
        <v>424.09</v>
      </c>
    </row>
    <row r="1827" spans="1:8" x14ac:dyDescent="0.3">
      <c r="A1827">
        <v>202102</v>
      </c>
      <c r="B1827" s="1">
        <v>44228</v>
      </c>
      <c r="C1827">
        <v>2021</v>
      </c>
      <c r="D1827" t="s">
        <v>9</v>
      </c>
      <c r="E1827" t="s">
        <v>26</v>
      </c>
      <c r="F1827" t="s">
        <v>40</v>
      </c>
      <c r="G1827" t="s">
        <v>8</v>
      </c>
      <c r="H1827">
        <v>228.8</v>
      </c>
    </row>
    <row r="1828" spans="1:8" x14ac:dyDescent="0.3">
      <c r="A1828">
        <v>202103</v>
      </c>
      <c r="B1828" s="1">
        <v>44256</v>
      </c>
      <c r="C1828">
        <v>2021</v>
      </c>
      <c r="D1828" t="s">
        <v>10</v>
      </c>
      <c r="E1828" t="s">
        <v>26</v>
      </c>
      <c r="F1828" t="s">
        <v>40</v>
      </c>
      <c r="G1828" t="s">
        <v>8</v>
      </c>
      <c r="H1828">
        <v>274.33999999999997</v>
      </c>
    </row>
    <row r="1829" spans="1:8" x14ac:dyDescent="0.3">
      <c r="A1829">
        <v>202104</v>
      </c>
      <c r="B1829" s="1">
        <v>44287</v>
      </c>
      <c r="C1829">
        <v>2021</v>
      </c>
      <c r="D1829" t="s">
        <v>11</v>
      </c>
      <c r="E1829" t="s">
        <v>26</v>
      </c>
      <c r="F1829" t="s">
        <v>40</v>
      </c>
      <c r="G1829" t="s">
        <v>8</v>
      </c>
      <c r="H1829">
        <v>329.63</v>
      </c>
    </row>
    <row r="1830" spans="1:8" x14ac:dyDescent="0.3">
      <c r="A1830">
        <v>202105</v>
      </c>
      <c r="B1830" s="1">
        <v>44317</v>
      </c>
      <c r="C1830">
        <v>2021</v>
      </c>
      <c r="D1830" t="s">
        <v>12</v>
      </c>
      <c r="E1830" t="s">
        <v>26</v>
      </c>
      <c r="F1830" t="s">
        <v>40</v>
      </c>
      <c r="G1830" t="s">
        <v>8</v>
      </c>
      <c r="H1830">
        <v>270.02999999999997</v>
      </c>
    </row>
    <row r="1831" spans="1:8" x14ac:dyDescent="0.3">
      <c r="A1831">
        <v>202106</v>
      </c>
      <c r="B1831" s="1">
        <v>44348</v>
      </c>
      <c r="C1831">
        <v>2021</v>
      </c>
      <c r="D1831" t="s">
        <v>13</v>
      </c>
      <c r="E1831" t="s">
        <v>26</v>
      </c>
      <c r="F1831" t="s">
        <v>40</v>
      </c>
      <c r="G1831" t="s">
        <v>8</v>
      </c>
      <c r="H1831">
        <v>285.02</v>
      </c>
    </row>
    <row r="1832" spans="1:8" x14ac:dyDescent="0.3">
      <c r="A1832">
        <v>202107</v>
      </c>
      <c r="B1832" s="1">
        <v>44378</v>
      </c>
      <c r="C1832">
        <v>2021</v>
      </c>
      <c r="D1832" t="s">
        <v>14</v>
      </c>
      <c r="E1832" t="s">
        <v>26</v>
      </c>
      <c r="F1832" t="s">
        <v>40</v>
      </c>
      <c r="G1832" t="s">
        <v>8</v>
      </c>
      <c r="H1832">
        <v>337.73</v>
      </c>
    </row>
    <row r="1833" spans="1:8" x14ac:dyDescent="0.3">
      <c r="A1833">
        <v>202108</v>
      </c>
      <c r="B1833" s="1">
        <v>44409</v>
      </c>
      <c r="C1833">
        <v>2021</v>
      </c>
      <c r="D1833" t="s">
        <v>15</v>
      </c>
      <c r="E1833" t="s">
        <v>26</v>
      </c>
      <c r="F1833" t="s">
        <v>40</v>
      </c>
      <c r="G1833" t="s">
        <v>8</v>
      </c>
      <c r="H1833">
        <v>353.32</v>
      </c>
    </row>
    <row r="1834" spans="1:8" x14ac:dyDescent="0.3">
      <c r="A1834">
        <v>202109</v>
      </c>
      <c r="B1834" s="1">
        <v>44440</v>
      </c>
      <c r="C1834">
        <v>2021</v>
      </c>
      <c r="D1834" t="s">
        <v>16</v>
      </c>
      <c r="E1834" t="s">
        <v>26</v>
      </c>
      <c r="F1834" t="s">
        <v>40</v>
      </c>
      <c r="G1834" t="s">
        <v>8</v>
      </c>
      <c r="H1834">
        <v>293.61</v>
      </c>
    </row>
    <row r="1835" spans="1:8" x14ac:dyDescent="0.3">
      <c r="A1835">
        <v>202110</v>
      </c>
      <c r="B1835" s="1">
        <v>44470</v>
      </c>
      <c r="C1835">
        <v>2021</v>
      </c>
      <c r="D1835" t="s">
        <v>17</v>
      </c>
      <c r="E1835" t="s">
        <v>26</v>
      </c>
      <c r="F1835" t="s">
        <v>40</v>
      </c>
      <c r="G1835" t="s">
        <v>8</v>
      </c>
      <c r="H1835">
        <v>329.84</v>
      </c>
    </row>
    <row r="1836" spans="1:8" x14ac:dyDescent="0.3">
      <c r="A1836">
        <v>202111</v>
      </c>
      <c r="B1836" s="1">
        <v>44501</v>
      </c>
      <c r="C1836">
        <v>2021</v>
      </c>
      <c r="D1836" t="s">
        <v>18</v>
      </c>
      <c r="E1836" t="s">
        <v>26</v>
      </c>
      <c r="F1836" t="s">
        <v>40</v>
      </c>
      <c r="G1836" t="s">
        <v>8</v>
      </c>
      <c r="H1836">
        <v>341.86</v>
      </c>
    </row>
    <row r="1837" spans="1:8" x14ac:dyDescent="0.3">
      <c r="A1837">
        <v>202112</v>
      </c>
      <c r="B1837" s="1">
        <v>44531</v>
      </c>
      <c r="C1837">
        <v>2021</v>
      </c>
      <c r="D1837" t="s">
        <v>19</v>
      </c>
      <c r="E1837" t="s">
        <v>26</v>
      </c>
      <c r="F1837" t="s">
        <v>40</v>
      </c>
      <c r="G1837" t="s">
        <v>8</v>
      </c>
      <c r="H1837">
        <v>326.25</v>
      </c>
    </row>
    <row r="1838" spans="1:8" x14ac:dyDescent="0.3">
      <c r="A1838">
        <v>202101</v>
      </c>
      <c r="B1838" s="1">
        <v>44197</v>
      </c>
      <c r="C1838">
        <v>2021</v>
      </c>
      <c r="D1838" t="s">
        <v>6</v>
      </c>
      <c r="E1838" t="s">
        <v>26</v>
      </c>
      <c r="F1838" t="s">
        <v>40</v>
      </c>
      <c r="G1838" t="s">
        <v>8</v>
      </c>
      <c r="H1838">
        <v>56.02</v>
      </c>
    </row>
    <row r="1839" spans="1:8" x14ac:dyDescent="0.3">
      <c r="A1839">
        <v>202102</v>
      </c>
      <c r="B1839" s="1">
        <v>44228</v>
      </c>
      <c r="C1839">
        <v>2021</v>
      </c>
      <c r="D1839" t="s">
        <v>9</v>
      </c>
      <c r="E1839" t="s">
        <v>26</v>
      </c>
      <c r="F1839" t="s">
        <v>40</v>
      </c>
      <c r="G1839" t="s">
        <v>8</v>
      </c>
      <c r="H1839">
        <v>34.54</v>
      </c>
    </row>
    <row r="1840" spans="1:8" x14ac:dyDescent="0.3">
      <c r="A1840">
        <v>202103</v>
      </c>
      <c r="B1840" s="1">
        <v>44256</v>
      </c>
      <c r="C1840">
        <v>2021</v>
      </c>
      <c r="D1840" t="s">
        <v>10</v>
      </c>
      <c r="E1840" t="s">
        <v>26</v>
      </c>
      <c r="F1840" t="s">
        <v>40</v>
      </c>
      <c r="G1840" t="s">
        <v>8</v>
      </c>
      <c r="H1840">
        <v>36.86</v>
      </c>
    </row>
    <row r="1841" spans="1:8" x14ac:dyDescent="0.3">
      <c r="A1841">
        <v>202104</v>
      </c>
      <c r="B1841" s="1">
        <v>44287</v>
      </c>
      <c r="C1841">
        <v>2021</v>
      </c>
      <c r="D1841" t="s">
        <v>11</v>
      </c>
      <c r="E1841" t="s">
        <v>26</v>
      </c>
      <c r="F1841" t="s">
        <v>40</v>
      </c>
      <c r="G1841" t="s">
        <v>8</v>
      </c>
      <c r="H1841">
        <v>58</v>
      </c>
    </row>
    <row r="1842" spans="1:8" x14ac:dyDescent="0.3">
      <c r="A1842">
        <v>202105</v>
      </c>
      <c r="B1842" s="1">
        <v>44317</v>
      </c>
      <c r="C1842">
        <v>2021</v>
      </c>
      <c r="D1842" t="s">
        <v>12</v>
      </c>
      <c r="E1842" t="s">
        <v>26</v>
      </c>
      <c r="F1842" t="s">
        <v>40</v>
      </c>
      <c r="G1842" t="s">
        <v>8</v>
      </c>
      <c r="H1842">
        <v>42.75</v>
      </c>
    </row>
    <row r="1843" spans="1:8" x14ac:dyDescent="0.3">
      <c r="A1843">
        <v>202106</v>
      </c>
      <c r="B1843" s="1">
        <v>44348</v>
      </c>
      <c r="C1843">
        <v>2021</v>
      </c>
      <c r="D1843" t="s">
        <v>13</v>
      </c>
      <c r="E1843" t="s">
        <v>26</v>
      </c>
      <c r="F1843" t="s">
        <v>40</v>
      </c>
      <c r="G1843" t="s">
        <v>8</v>
      </c>
      <c r="H1843">
        <v>40.44</v>
      </c>
    </row>
    <row r="1844" spans="1:8" x14ac:dyDescent="0.3">
      <c r="A1844">
        <v>202107</v>
      </c>
      <c r="B1844" s="1">
        <v>44378</v>
      </c>
      <c r="C1844">
        <v>2021</v>
      </c>
      <c r="D1844" t="s">
        <v>14</v>
      </c>
      <c r="E1844" t="s">
        <v>26</v>
      </c>
      <c r="F1844" t="s">
        <v>40</v>
      </c>
      <c r="G1844" t="s">
        <v>8</v>
      </c>
      <c r="H1844">
        <v>42.45</v>
      </c>
    </row>
    <row r="1845" spans="1:8" x14ac:dyDescent="0.3">
      <c r="A1845">
        <v>202108</v>
      </c>
      <c r="B1845" s="1">
        <v>44409</v>
      </c>
      <c r="C1845">
        <v>2021</v>
      </c>
      <c r="D1845" t="s">
        <v>15</v>
      </c>
      <c r="E1845" t="s">
        <v>26</v>
      </c>
      <c r="F1845" t="s">
        <v>40</v>
      </c>
      <c r="G1845" t="s">
        <v>8</v>
      </c>
      <c r="H1845">
        <v>46.57</v>
      </c>
    </row>
    <row r="1846" spans="1:8" x14ac:dyDescent="0.3">
      <c r="A1846">
        <v>202109</v>
      </c>
      <c r="B1846" s="1">
        <v>44440</v>
      </c>
      <c r="C1846">
        <v>2021</v>
      </c>
      <c r="D1846" t="s">
        <v>16</v>
      </c>
      <c r="E1846" t="s">
        <v>26</v>
      </c>
      <c r="F1846" t="s">
        <v>40</v>
      </c>
      <c r="G1846" t="s">
        <v>8</v>
      </c>
      <c r="H1846">
        <v>47.87</v>
      </c>
    </row>
    <row r="1847" spans="1:8" x14ac:dyDescent="0.3">
      <c r="A1847">
        <v>202110</v>
      </c>
      <c r="B1847" s="1">
        <v>44470</v>
      </c>
      <c r="C1847">
        <v>2021</v>
      </c>
      <c r="D1847" t="s">
        <v>17</v>
      </c>
      <c r="E1847" t="s">
        <v>26</v>
      </c>
      <c r="F1847" t="s">
        <v>40</v>
      </c>
      <c r="G1847" t="s">
        <v>8</v>
      </c>
      <c r="H1847">
        <v>52.72</v>
      </c>
    </row>
    <row r="1848" spans="1:8" x14ac:dyDescent="0.3">
      <c r="A1848">
        <v>202111</v>
      </c>
      <c r="B1848" s="1">
        <v>44501</v>
      </c>
      <c r="C1848">
        <v>2021</v>
      </c>
      <c r="D1848" t="s">
        <v>18</v>
      </c>
      <c r="E1848" t="s">
        <v>26</v>
      </c>
      <c r="F1848" t="s">
        <v>40</v>
      </c>
      <c r="G1848" t="s">
        <v>8</v>
      </c>
      <c r="H1848">
        <v>49.23</v>
      </c>
    </row>
    <row r="1849" spans="1:8" x14ac:dyDescent="0.3">
      <c r="A1849">
        <v>202112</v>
      </c>
      <c r="B1849" s="1">
        <v>44531</v>
      </c>
      <c r="C1849">
        <v>2021</v>
      </c>
      <c r="D1849" t="s">
        <v>19</v>
      </c>
      <c r="E1849" t="s">
        <v>26</v>
      </c>
      <c r="F1849" t="s">
        <v>40</v>
      </c>
      <c r="G1849" t="s">
        <v>8</v>
      </c>
      <c r="H1849">
        <v>47.44</v>
      </c>
    </row>
    <row r="1850" spans="1:8" x14ac:dyDescent="0.3">
      <c r="A1850">
        <v>202101</v>
      </c>
      <c r="B1850" s="1">
        <v>44197</v>
      </c>
      <c r="C1850">
        <v>2021</v>
      </c>
      <c r="D1850" t="s">
        <v>6</v>
      </c>
      <c r="E1850" t="s">
        <v>26</v>
      </c>
      <c r="F1850" t="s">
        <v>40</v>
      </c>
      <c r="G1850" t="s">
        <v>8</v>
      </c>
      <c r="H1850">
        <v>101.16</v>
      </c>
    </row>
    <row r="1851" spans="1:8" x14ac:dyDescent="0.3">
      <c r="A1851">
        <v>202102</v>
      </c>
      <c r="B1851" s="1">
        <v>44228</v>
      </c>
      <c r="C1851">
        <v>2021</v>
      </c>
      <c r="D1851" t="s">
        <v>9</v>
      </c>
      <c r="E1851" t="s">
        <v>26</v>
      </c>
      <c r="F1851" t="s">
        <v>40</v>
      </c>
      <c r="G1851" t="s">
        <v>8</v>
      </c>
      <c r="H1851">
        <v>58</v>
      </c>
    </row>
    <row r="1852" spans="1:8" x14ac:dyDescent="0.3">
      <c r="A1852">
        <v>202103</v>
      </c>
      <c r="B1852" s="1">
        <v>44256</v>
      </c>
      <c r="C1852">
        <v>2021</v>
      </c>
      <c r="D1852" t="s">
        <v>10</v>
      </c>
      <c r="E1852" t="s">
        <v>26</v>
      </c>
      <c r="F1852" t="s">
        <v>40</v>
      </c>
      <c r="G1852" t="s">
        <v>8</v>
      </c>
      <c r="H1852">
        <v>77.63</v>
      </c>
    </row>
    <row r="1853" spans="1:8" x14ac:dyDescent="0.3">
      <c r="A1853">
        <v>202104</v>
      </c>
      <c r="B1853" s="1">
        <v>44287</v>
      </c>
      <c r="C1853">
        <v>2021</v>
      </c>
      <c r="D1853" t="s">
        <v>11</v>
      </c>
      <c r="E1853" t="s">
        <v>26</v>
      </c>
      <c r="F1853" t="s">
        <v>40</v>
      </c>
      <c r="G1853" t="s">
        <v>8</v>
      </c>
      <c r="H1853">
        <v>96.86</v>
      </c>
    </row>
    <row r="1854" spans="1:8" x14ac:dyDescent="0.3">
      <c r="A1854">
        <v>202105</v>
      </c>
      <c r="B1854" s="1">
        <v>44317</v>
      </c>
      <c r="C1854">
        <v>2021</v>
      </c>
      <c r="D1854" t="s">
        <v>12</v>
      </c>
      <c r="E1854" t="s">
        <v>26</v>
      </c>
      <c r="F1854" t="s">
        <v>40</v>
      </c>
      <c r="G1854" t="s">
        <v>8</v>
      </c>
      <c r="H1854">
        <v>66.34</v>
      </c>
    </row>
    <row r="1855" spans="1:8" x14ac:dyDescent="0.3">
      <c r="A1855">
        <v>202106</v>
      </c>
      <c r="B1855" s="1">
        <v>44348</v>
      </c>
      <c r="C1855">
        <v>2021</v>
      </c>
      <c r="D1855" t="s">
        <v>13</v>
      </c>
      <c r="E1855" t="s">
        <v>26</v>
      </c>
      <c r="F1855" t="s">
        <v>40</v>
      </c>
      <c r="G1855" t="s">
        <v>8</v>
      </c>
      <c r="H1855">
        <v>64.05</v>
      </c>
    </row>
    <row r="1856" spans="1:8" x14ac:dyDescent="0.3">
      <c r="A1856">
        <v>202107</v>
      </c>
      <c r="B1856" s="1">
        <v>44378</v>
      </c>
      <c r="C1856">
        <v>2021</v>
      </c>
      <c r="D1856" t="s">
        <v>14</v>
      </c>
      <c r="E1856" t="s">
        <v>26</v>
      </c>
      <c r="F1856" t="s">
        <v>40</v>
      </c>
      <c r="G1856" t="s">
        <v>8</v>
      </c>
      <c r="H1856">
        <v>65.66</v>
      </c>
    </row>
    <row r="1857" spans="1:8" x14ac:dyDescent="0.3">
      <c r="A1857">
        <v>202108</v>
      </c>
      <c r="B1857" s="1">
        <v>44409</v>
      </c>
      <c r="C1857">
        <v>2021</v>
      </c>
      <c r="D1857" t="s">
        <v>15</v>
      </c>
      <c r="E1857" t="s">
        <v>26</v>
      </c>
      <c r="F1857" t="s">
        <v>40</v>
      </c>
      <c r="G1857" t="s">
        <v>8</v>
      </c>
      <c r="H1857">
        <v>68.64</v>
      </c>
    </row>
    <row r="1858" spans="1:8" x14ac:dyDescent="0.3">
      <c r="A1858">
        <v>202109</v>
      </c>
      <c r="B1858" s="1">
        <v>44440</v>
      </c>
      <c r="C1858">
        <v>2021</v>
      </c>
      <c r="D1858" t="s">
        <v>16</v>
      </c>
      <c r="E1858" t="s">
        <v>26</v>
      </c>
      <c r="F1858" t="s">
        <v>40</v>
      </c>
      <c r="G1858" t="s">
        <v>8</v>
      </c>
      <c r="H1858">
        <v>57.6</v>
      </c>
    </row>
    <row r="1859" spans="1:8" x14ac:dyDescent="0.3">
      <c r="A1859">
        <v>202110</v>
      </c>
      <c r="B1859" s="1">
        <v>44470</v>
      </c>
      <c r="C1859">
        <v>2021</v>
      </c>
      <c r="D1859" t="s">
        <v>17</v>
      </c>
      <c r="E1859" t="s">
        <v>26</v>
      </c>
      <c r="F1859" t="s">
        <v>40</v>
      </c>
      <c r="G1859" t="s">
        <v>8</v>
      </c>
      <c r="H1859">
        <v>69.8</v>
      </c>
    </row>
    <row r="1860" spans="1:8" x14ac:dyDescent="0.3">
      <c r="A1860">
        <v>202111</v>
      </c>
      <c r="B1860" s="1">
        <v>44501</v>
      </c>
      <c r="C1860">
        <v>2021</v>
      </c>
      <c r="D1860" t="s">
        <v>18</v>
      </c>
      <c r="E1860" t="s">
        <v>26</v>
      </c>
      <c r="F1860" t="s">
        <v>40</v>
      </c>
      <c r="G1860" t="s">
        <v>8</v>
      </c>
      <c r="H1860">
        <v>79.16</v>
      </c>
    </row>
    <row r="1861" spans="1:8" x14ac:dyDescent="0.3">
      <c r="A1861">
        <v>202112</v>
      </c>
      <c r="B1861" s="1">
        <v>44531</v>
      </c>
      <c r="C1861">
        <v>2021</v>
      </c>
      <c r="D1861" t="s">
        <v>19</v>
      </c>
      <c r="E1861" t="s">
        <v>26</v>
      </c>
      <c r="F1861" t="s">
        <v>40</v>
      </c>
      <c r="G1861" t="s">
        <v>8</v>
      </c>
      <c r="H1861">
        <v>77.52</v>
      </c>
    </row>
    <row r="1862" spans="1:8" x14ac:dyDescent="0.3">
      <c r="A1862">
        <v>202101</v>
      </c>
      <c r="B1862" s="1">
        <v>44197</v>
      </c>
      <c r="C1862">
        <v>2021</v>
      </c>
      <c r="D1862" t="s">
        <v>6</v>
      </c>
      <c r="E1862" t="s">
        <v>26</v>
      </c>
      <c r="F1862" t="s">
        <v>40</v>
      </c>
      <c r="G1862" t="s">
        <v>8</v>
      </c>
      <c r="H1862">
        <v>119.16</v>
      </c>
    </row>
    <row r="1863" spans="1:8" x14ac:dyDescent="0.3">
      <c r="A1863">
        <v>202102</v>
      </c>
      <c r="B1863" s="1">
        <v>44228</v>
      </c>
      <c r="C1863">
        <v>2021</v>
      </c>
      <c r="D1863" t="s">
        <v>9</v>
      </c>
      <c r="E1863" t="s">
        <v>26</v>
      </c>
      <c r="F1863" t="s">
        <v>40</v>
      </c>
      <c r="G1863" t="s">
        <v>8</v>
      </c>
      <c r="H1863">
        <v>59.81</v>
      </c>
    </row>
    <row r="1864" spans="1:8" x14ac:dyDescent="0.3">
      <c r="A1864">
        <v>202103</v>
      </c>
      <c r="B1864" s="1">
        <v>44256</v>
      </c>
      <c r="C1864">
        <v>2021</v>
      </c>
      <c r="D1864" t="s">
        <v>10</v>
      </c>
      <c r="E1864" t="s">
        <v>26</v>
      </c>
      <c r="F1864" t="s">
        <v>40</v>
      </c>
      <c r="G1864" t="s">
        <v>8</v>
      </c>
      <c r="H1864">
        <v>70.650000000000006</v>
      </c>
    </row>
    <row r="1865" spans="1:8" x14ac:dyDescent="0.3">
      <c r="A1865">
        <v>202104</v>
      </c>
      <c r="B1865" s="1">
        <v>44287</v>
      </c>
      <c r="C1865">
        <v>2021</v>
      </c>
      <c r="D1865" t="s">
        <v>11</v>
      </c>
      <c r="E1865" t="s">
        <v>26</v>
      </c>
      <c r="F1865" t="s">
        <v>40</v>
      </c>
      <c r="G1865" t="s">
        <v>8</v>
      </c>
      <c r="H1865">
        <v>108.74</v>
      </c>
    </row>
    <row r="1866" spans="1:8" x14ac:dyDescent="0.3">
      <c r="A1866">
        <v>202105</v>
      </c>
      <c r="B1866" s="1">
        <v>44317</v>
      </c>
      <c r="C1866">
        <v>2021</v>
      </c>
      <c r="D1866" t="s">
        <v>12</v>
      </c>
      <c r="E1866" t="s">
        <v>26</v>
      </c>
      <c r="F1866" t="s">
        <v>40</v>
      </c>
      <c r="G1866" t="s">
        <v>8</v>
      </c>
      <c r="H1866">
        <v>69.7</v>
      </c>
    </row>
    <row r="1867" spans="1:8" x14ac:dyDescent="0.3">
      <c r="A1867">
        <v>202106</v>
      </c>
      <c r="B1867" s="1">
        <v>44348</v>
      </c>
      <c r="C1867">
        <v>2021</v>
      </c>
      <c r="D1867" t="s">
        <v>13</v>
      </c>
      <c r="E1867" t="s">
        <v>26</v>
      </c>
      <c r="F1867" t="s">
        <v>40</v>
      </c>
      <c r="G1867" t="s">
        <v>8</v>
      </c>
      <c r="H1867">
        <v>80.989999999999995</v>
      </c>
    </row>
    <row r="1868" spans="1:8" x14ac:dyDescent="0.3">
      <c r="A1868">
        <v>202107</v>
      </c>
      <c r="B1868" s="1">
        <v>44378</v>
      </c>
      <c r="C1868">
        <v>2021</v>
      </c>
      <c r="D1868" t="s">
        <v>14</v>
      </c>
      <c r="E1868" t="s">
        <v>26</v>
      </c>
      <c r="F1868" t="s">
        <v>40</v>
      </c>
      <c r="G1868" t="s">
        <v>8</v>
      </c>
      <c r="H1868">
        <v>80.849999999999994</v>
      </c>
    </row>
    <row r="1869" spans="1:8" x14ac:dyDescent="0.3">
      <c r="A1869">
        <v>202108</v>
      </c>
      <c r="B1869" s="1">
        <v>44409</v>
      </c>
      <c r="C1869">
        <v>2021</v>
      </c>
      <c r="D1869" t="s">
        <v>15</v>
      </c>
      <c r="E1869" t="s">
        <v>26</v>
      </c>
      <c r="F1869" t="s">
        <v>40</v>
      </c>
      <c r="G1869" t="s">
        <v>8</v>
      </c>
      <c r="H1869">
        <v>91.9</v>
      </c>
    </row>
    <row r="1870" spans="1:8" x14ac:dyDescent="0.3">
      <c r="A1870">
        <v>202109</v>
      </c>
      <c r="B1870" s="1">
        <v>44440</v>
      </c>
      <c r="C1870">
        <v>2021</v>
      </c>
      <c r="D1870" t="s">
        <v>16</v>
      </c>
      <c r="E1870" t="s">
        <v>26</v>
      </c>
      <c r="F1870" t="s">
        <v>40</v>
      </c>
      <c r="G1870" t="s">
        <v>8</v>
      </c>
      <c r="H1870">
        <v>74.8</v>
      </c>
    </row>
    <row r="1871" spans="1:8" x14ac:dyDescent="0.3">
      <c r="A1871">
        <v>202110</v>
      </c>
      <c r="B1871" s="1">
        <v>44470</v>
      </c>
      <c r="C1871">
        <v>2021</v>
      </c>
      <c r="D1871" t="s">
        <v>17</v>
      </c>
      <c r="E1871" t="s">
        <v>26</v>
      </c>
      <c r="F1871" t="s">
        <v>40</v>
      </c>
      <c r="G1871" t="s">
        <v>8</v>
      </c>
      <c r="H1871">
        <v>83.5</v>
      </c>
    </row>
    <row r="1872" spans="1:8" x14ac:dyDescent="0.3">
      <c r="A1872">
        <v>202111</v>
      </c>
      <c r="B1872" s="1">
        <v>44501</v>
      </c>
      <c r="C1872">
        <v>2021</v>
      </c>
      <c r="D1872" t="s">
        <v>18</v>
      </c>
      <c r="E1872" t="s">
        <v>26</v>
      </c>
      <c r="F1872" t="s">
        <v>40</v>
      </c>
      <c r="G1872" t="s">
        <v>8</v>
      </c>
      <c r="H1872">
        <v>96.86</v>
      </c>
    </row>
    <row r="1873" spans="1:8" x14ac:dyDescent="0.3">
      <c r="A1873">
        <v>202112</v>
      </c>
      <c r="B1873" s="1">
        <v>44531</v>
      </c>
      <c r="C1873">
        <v>2021</v>
      </c>
      <c r="D1873" t="s">
        <v>19</v>
      </c>
      <c r="E1873" t="s">
        <v>26</v>
      </c>
      <c r="F1873" t="s">
        <v>40</v>
      </c>
      <c r="G1873" t="s">
        <v>8</v>
      </c>
      <c r="H1873">
        <v>86.31</v>
      </c>
    </row>
    <row r="1874" spans="1:8" x14ac:dyDescent="0.3">
      <c r="A1874">
        <v>202101</v>
      </c>
      <c r="B1874" s="1">
        <v>44197</v>
      </c>
      <c r="C1874">
        <v>2021</v>
      </c>
      <c r="D1874" t="s">
        <v>6</v>
      </c>
      <c r="E1874" t="s">
        <v>27</v>
      </c>
      <c r="F1874" t="s">
        <v>40</v>
      </c>
      <c r="G1874" t="s">
        <v>28</v>
      </c>
      <c r="H1874">
        <v>148.79</v>
      </c>
    </row>
    <row r="1875" spans="1:8" x14ac:dyDescent="0.3">
      <c r="A1875">
        <v>202102</v>
      </c>
      <c r="B1875" s="1">
        <v>44228</v>
      </c>
      <c r="C1875">
        <v>2021</v>
      </c>
      <c r="D1875" t="s">
        <v>9</v>
      </c>
      <c r="E1875" t="s">
        <v>27</v>
      </c>
      <c r="F1875" t="s">
        <v>40</v>
      </c>
      <c r="G1875" t="s">
        <v>28</v>
      </c>
      <c r="H1875">
        <v>88.02</v>
      </c>
    </row>
    <row r="1876" spans="1:8" x14ac:dyDescent="0.3">
      <c r="A1876">
        <v>202103</v>
      </c>
      <c r="B1876" s="1">
        <v>44256</v>
      </c>
      <c r="C1876">
        <v>2021</v>
      </c>
      <c r="D1876" t="s">
        <v>10</v>
      </c>
      <c r="E1876" t="s">
        <v>27</v>
      </c>
      <c r="F1876" t="s">
        <v>40</v>
      </c>
      <c r="G1876" t="s">
        <v>28</v>
      </c>
      <c r="H1876">
        <v>107.3</v>
      </c>
    </row>
    <row r="1877" spans="1:8" x14ac:dyDescent="0.3">
      <c r="A1877">
        <v>202104</v>
      </c>
      <c r="B1877" s="1">
        <v>44287</v>
      </c>
      <c r="C1877">
        <v>2021</v>
      </c>
      <c r="D1877" t="s">
        <v>11</v>
      </c>
      <c r="E1877" t="s">
        <v>27</v>
      </c>
      <c r="F1877" t="s">
        <v>40</v>
      </c>
      <c r="G1877" t="s">
        <v>28</v>
      </c>
      <c r="H1877">
        <v>117.74</v>
      </c>
    </row>
    <row r="1878" spans="1:8" x14ac:dyDescent="0.3">
      <c r="A1878">
        <v>202105</v>
      </c>
      <c r="B1878" s="1">
        <v>44317</v>
      </c>
      <c r="C1878">
        <v>2021</v>
      </c>
      <c r="D1878" t="s">
        <v>12</v>
      </c>
      <c r="E1878" t="s">
        <v>27</v>
      </c>
      <c r="F1878" t="s">
        <v>40</v>
      </c>
      <c r="G1878" t="s">
        <v>28</v>
      </c>
      <c r="H1878">
        <v>101.75</v>
      </c>
    </row>
    <row r="1879" spans="1:8" x14ac:dyDescent="0.3">
      <c r="A1879">
        <v>202106</v>
      </c>
      <c r="B1879" s="1">
        <v>44348</v>
      </c>
      <c r="C1879">
        <v>2021</v>
      </c>
      <c r="D1879" t="s">
        <v>13</v>
      </c>
      <c r="E1879" t="s">
        <v>27</v>
      </c>
      <c r="F1879" t="s">
        <v>40</v>
      </c>
      <c r="G1879" t="s">
        <v>28</v>
      </c>
      <c r="H1879">
        <v>111.12</v>
      </c>
    </row>
    <row r="1880" spans="1:8" x14ac:dyDescent="0.3">
      <c r="A1880">
        <v>202107</v>
      </c>
      <c r="B1880" s="1">
        <v>44378</v>
      </c>
      <c r="C1880">
        <v>2021</v>
      </c>
      <c r="D1880" t="s">
        <v>14</v>
      </c>
      <c r="E1880" t="s">
        <v>27</v>
      </c>
      <c r="F1880" t="s">
        <v>40</v>
      </c>
      <c r="G1880" t="s">
        <v>28</v>
      </c>
      <c r="H1880">
        <v>104.69</v>
      </c>
    </row>
    <row r="1881" spans="1:8" x14ac:dyDescent="0.3">
      <c r="A1881">
        <v>202108</v>
      </c>
      <c r="B1881" s="1">
        <v>44409</v>
      </c>
      <c r="C1881">
        <v>2021</v>
      </c>
      <c r="D1881" t="s">
        <v>15</v>
      </c>
      <c r="E1881" t="s">
        <v>27</v>
      </c>
      <c r="F1881" t="s">
        <v>40</v>
      </c>
      <c r="G1881" t="s">
        <v>28</v>
      </c>
      <c r="H1881">
        <v>90.48</v>
      </c>
    </row>
    <row r="1882" spans="1:8" x14ac:dyDescent="0.3">
      <c r="A1882">
        <v>202109</v>
      </c>
      <c r="B1882" s="1">
        <v>44440</v>
      </c>
      <c r="C1882">
        <v>2021</v>
      </c>
      <c r="D1882" t="s">
        <v>16</v>
      </c>
      <c r="E1882" t="s">
        <v>27</v>
      </c>
      <c r="F1882" t="s">
        <v>40</v>
      </c>
      <c r="G1882" t="s">
        <v>28</v>
      </c>
      <c r="H1882">
        <v>86.91</v>
      </c>
    </row>
    <row r="1883" spans="1:8" x14ac:dyDescent="0.3">
      <c r="A1883">
        <v>202110</v>
      </c>
      <c r="B1883" s="1">
        <v>44470</v>
      </c>
      <c r="C1883">
        <v>2021</v>
      </c>
      <c r="D1883" t="s">
        <v>17</v>
      </c>
      <c r="E1883" t="s">
        <v>27</v>
      </c>
      <c r="F1883" t="s">
        <v>40</v>
      </c>
      <c r="G1883" t="s">
        <v>28</v>
      </c>
      <c r="H1883">
        <v>92.07</v>
      </c>
    </row>
    <row r="1884" spans="1:8" x14ac:dyDescent="0.3">
      <c r="A1884">
        <v>202111</v>
      </c>
      <c r="B1884" s="1">
        <v>44501</v>
      </c>
      <c r="C1884">
        <v>2021</v>
      </c>
      <c r="D1884" t="s">
        <v>18</v>
      </c>
      <c r="E1884" t="s">
        <v>27</v>
      </c>
      <c r="F1884" t="s">
        <v>40</v>
      </c>
      <c r="G1884" t="s">
        <v>28</v>
      </c>
      <c r="H1884">
        <v>98.52</v>
      </c>
    </row>
    <row r="1885" spans="1:8" x14ac:dyDescent="0.3">
      <c r="A1885">
        <v>202112</v>
      </c>
      <c r="B1885" s="1">
        <v>44531</v>
      </c>
      <c r="C1885">
        <v>2021</v>
      </c>
      <c r="D1885" t="s">
        <v>19</v>
      </c>
      <c r="E1885" t="s">
        <v>27</v>
      </c>
      <c r="F1885" t="s">
        <v>40</v>
      </c>
      <c r="G1885" t="s">
        <v>28</v>
      </c>
      <c r="H1885">
        <v>138.33000000000001</v>
      </c>
    </row>
    <row r="1886" spans="1:8" x14ac:dyDescent="0.3">
      <c r="A1886">
        <v>202101</v>
      </c>
      <c r="B1886" s="1">
        <v>44197</v>
      </c>
      <c r="C1886">
        <v>2021</v>
      </c>
      <c r="D1886" t="s">
        <v>6</v>
      </c>
      <c r="E1886" t="s">
        <v>27</v>
      </c>
      <c r="F1886" t="s">
        <v>40</v>
      </c>
      <c r="G1886" t="s">
        <v>28</v>
      </c>
      <c r="H1886">
        <v>86.58</v>
      </c>
    </row>
    <row r="1887" spans="1:8" x14ac:dyDescent="0.3">
      <c r="A1887">
        <v>202102</v>
      </c>
      <c r="B1887" s="1">
        <v>44228</v>
      </c>
      <c r="C1887">
        <v>2021</v>
      </c>
      <c r="D1887" t="s">
        <v>9</v>
      </c>
      <c r="E1887" t="s">
        <v>27</v>
      </c>
      <c r="F1887" t="s">
        <v>40</v>
      </c>
      <c r="G1887" t="s">
        <v>28</v>
      </c>
      <c r="H1887">
        <v>44.94</v>
      </c>
    </row>
    <row r="1888" spans="1:8" x14ac:dyDescent="0.3">
      <c r="A1888">
        <v>202103</v>
      </c>
      <c r="B1888" s="1">
        <v>44256</v>
      </c>
      <c r="C1888">
        <v>2021</v>
      </c>
      <c r="D1888" t="s">
        <v>10</v>
      </c>
      <c r="E1888" t="s">
        <v>27</v>
      </c>
      <c r="F1888" t="s">
        <v>40</v>
      </c>
      <c r="G1888" t="s">
        <v>28</v>
      </c>
      <c r="H1888">
        <v>47.58</v>
      </c>
    </row>
    <row r="1889" spans="1:8" x14ac:dyDescent="0.3">
      <c r="A1889">
        <v>202104</v>
      </c>
      <c r="B1889" s="1">
        <v>44287</v>
      </c>
      <c r="C1889">
        <v>2021</v>
      </c>
      <c r="D1889" t="s">
        <v>11</v>
      </c>
      <c r="E1889" t="s">
        <v>27</v>
      </c>
      <c r="F1889" t="s">
        <v>40</v>
      </c>
      <c r="G1889" t="s">
        <v>28</v>
      </c>
      <c r="H1889">
        <v>59.08</v>
      </c>
    </row>
    <row r="1890" spans="1:8" x14ac:dyDescent="0.3">
      <c r="A1890">
        <v>202105</v>
      </c>
      <c r="B1890" s="1">
        <v>44317</v>
      </c>
      <c r="C1890">
        <v>2021</v>
      </c>
      <c r="D1890" t="s">
        <v>12</v>
      </c>
      <c r="E1890" t="s">
        <v>27</v>
      </c>
      <c r="F1890" t="s">
        <v>40</v>
      </c>
      <c r="G1890" t="s">
        <v>28</v>
      </c>
      <c r="H1890">
        <v>44.7</v>
      </c>
    </row>
    <row r="1891" spans="1:8" x14ac:dyDescent="0.3">
      <c r="A1891">
        <v>202106</v>
      </c>
      <c r="B1891" s="1">
        <v>44348</v>
      </c>
      <c r="C1891">
        <v>2021</v>
      </c>
      <c r="D1891" t="s">
        <v>13</v>
      </c>
      <c r="E1891" t="s">
        <v>27</v>
      </c>
      <c r="F1891" t="s">
        <v>40</v>
      </c>
      <c r="G1891" t="s">
        <v>28</v>
      </c>
      <c r="H1891">
        <v>58.46</v>
      </c>
    </row>
    <row r="1892" spans="1:8" x14ac:dyDescent="0.3">
      <c r="A1892">
        <v>202107</v>
      </c>
      <c r="B1892" s="1">
        <v>44378</v>
      </c>
      <c r="C1892">
        <v>2021</v>
      </c>
      <c r="D1892" t="s">
        <v>14</v>
      </c>
      <c r="E1892" t="s">
        <v>27</v>
      </c>
      <c r="F1892" t="s">
        <v>40</v>
      </c>
      <c r="G1892" t="s">
        <v>28</v>
      </c>
      <c r="H1892">
        <v>64.39</v>
      </c>
    </row>
    <row r="1893" spans="1:8" x14ac:dyDescent="0.3">
      <c r="A1893">
        <v>202108</v>
      </c>
      <c r="B1893" s="1">
        <v>44409</v>
      </c>
      <c r="C1893">
        <v>2021</v>
      </c>
      <c r="D1893" t="s">
        <v>15</v>
      </c>
      <c r="E1893" t="s">
        <v>27</v>
      </c>
      <c r="F1893" t="s">
        <v>40</v>
      </c>
      <c r="G1893" t="s">
        <v>28</v>
      </c>
      <c r="H1893">
        <v>55.29</v>
      </c>
    </row>
    <row r="1894" spans="1:8" x14ac:dyDescent="0.3">
      <c r="A1894">
        <v>202109</v>
      </c>
      <c r="B1894" s="1">
        <v>44440</v>
      </c>
      <c r="C1894">
        <v>2021</v>
      </c>
      <c r="D1894" t="s">
        <v>16</v>
      </c>
      <c r="E1894" t="s">
        <v>27</v>
      </c>
      <c r="F1894" t="s">
        <v>40</v>
      </c>
      <c r="G1894" t="s">
        <v>28</v>
      </c>
      <c r="H1894">
        <v>59.89</v>
      </c>
    </row>
    <row r="1895" spans="1:8" x14ac:dyDescent="0.3">
      <c r="A1895">
        <v>202110</v>
      </c>
      <c r="B1895" s="1">
        <v>44470</v>
      </c>
      <c r="C1895">
        <v>2021</v>
      </c>
      <c r="D1895" t="s">
        <v>17</v>
      </c>
      <c r="E1895" t="s">
        <v>27</v>
      </c>
      <c r="F1895" t="s">
        <v>40</v>
      </c>
      <c r="G1895" t="s">
        <v>28</v>
      </c>
      <c r="H1895">
        <v>77.61</v>
      </c>
    </row>
    <row r="1896" spans="1:8" x14ac:dyDescent="0.3">
      <c r="A1896">
        <v>202111</v>
      </c>
      <c r="B1896" s="1">
        <v>44501</v>
      </c>
      <c r="C1896">
        <v>2021</v>
      </c>
      <c r="D1896" t="s">
        <v>18</v>
      </c>
      <c r="E1896" t="s">
        <v>27</v>
      </c>
      <c r="F1896" t="s">
        <v>40</v>
      </c>
      <c r="G1896" t="s">
        <v>28</v>
      </c>
      <c r="H1896">
        <v>67.150000000000006</v>
      </c>
    </row>
    <row r="1897" spans="1:8" x14ac:dyDescent="0.3">
      <c r="A1897">
        <v>202112</v>
      </c>
      <c r="B1897" s="1">
        <v>44531</v>
      </c>
      <c r="C1897">
        <v>2021</v>
      </c>
      <c r="D1897" t="s">
        <v>19</v>
      </c>
      <c r="E1897" t="s">
        <v>27</v>
      </c>
      <c r="F1897" t="s">
        <v>40</v>
      </c>
      <c r="G1897" t="s">
        <v>28</v>
      </c>
      <c r="H1897">
        <v>59.94</v>
      </c>
    </row>
    <row r="1898" spans="1:8" x14ac:dyDescent="0.3">
      <c r="A1898">
        <v>202101</v>
      </c>
      <c r="B1898" s="1">
        <v>44197</v>
      </c>
      <c r="C1898">
        <v>2021</v>
      </c>
      <c r="D1898" t="s">
        <v>6</v>
      </c>
      <c r="E1898" t="s">
        <v>27</v>
      </c>
      <c r="F1898" t="s">
        <v>40</v>
      </c>
      <c r="G1898" t="s">
        <v>28</v>
      </c>
      <c r="H1898">
        <v>136.94999999999999</v>
      </c>
    </row>
    <row r="1899" spans="1:8" x14ac:dyDescent="0.3">
      <c r="A1899">
        <v>202102</v>
      </c>
      <c r="B1899" s="1">
        <v>44228</v>
      </c>
      <c r="C1899">
        <v>2021</v>
      </c>
      <c r="D1899" t="s">
        <v>9</v>
      </c>
      <c r="E1899" t="s">
        <v>27</v>
      </c>
      <c r="F1899" t="s">
        <v>40</v>
      </c>
      <c r="G1899" t="s">
        <v>28</v>
      </c>
      <c r="H1899">
        <v>81.93</v>
      </c>
    </row>
    <row r="1900" spans="1:8" x14ac:dyDescent="0.3">
      <c r="A1900">
        <v>202103</v>
      </c>
      <c r="B1900" s="1">
        <v>44256</v>
      </c>
      <c r="C1900">
        <v>2021</v>
      </c>
      <c r="D1900" t="s">
        <v>10</v>
      </c>
      <c r="E1900" t="s">
        <v>27</v>
      </c>
      <c r="F1900" t="s">
        <v>40</v>
      </c>
      <c r="G1900" t="s">
        <v>28</v>
      </c>
      <c r="H1900">
        <v>90.91</v>
      </c>
    </row>
    <row r="1901" spans="1:8" x14ac:dyDescent="0.3">
      <c r="A1901">
        <v>202104</v>
      </c>
      <c r="B1901" s="1">
        <v>44287</v>
      </c>
      <c r="C1901">
        <v>2021</v>
      </c>
      <c r="D1901" t="s">
        <v>11</v>
      </c>
      <c r="E1901" t="s">
        <v>27</v>
      </c>
      <c r="F1901" t="s">
        <v>40</v>
      </c>
      <c r="G1901" t="s">
        <v>28</v>
      </c>
      <c r="H1901">
        <v>120.08</v>
      </c>
    </row>
    <row r="1902" spans="1:8" x14ac:dyDescent="0.3">
      <c r="A1902">
        <v>202105</v>
      </c>
      <c r="B1902" s="1">
        <v>44317</v>
      </c>
      <c r="C1902">
        <v>2021</v>
      </c>
      <c r="D1902" t="s">
        <v>12</v>
      </c>
      <c r="E1902" t="s">
        <v>27</v>
      </c>
      <c r="F1902" t="s">
        <v>40</v>
      </c>
      <c r="G1902" t="s">
        <v>28</v>
      </c>
      <c r="H1902">
        <v>107.47</v>
      </c>
    </row>
    <row r="1903" spans="1:8" x14ac:dyDescent="0.3">
      <c r="A1903">
        <v>202106</v>
      </c>
      <c r="B1903" s="1">
        <v>44348</v>
      </c>
      <c r="C1903">
        <v>2021</v>
      </c>
      <c r="D1903" t="s">
        <v>13</v>
      </c>
      <c r="E1903" t="s">
        <v>27</v>
      </c>
      <c r="F1903" t="s">
        <v>40</v>
      </c>
      <c r="G1903" t="s">
        <v>28</v>
      </c>
      <c r="H1903">
        <v>96.85</v>
      </c>
    </row>
    <row r="1904" spans="1:8" x14ac:dyDescent="0.3">
      <c r="A1904">
        <v>202107</v>
      </c>
      <c r="B1904" s="1">
        <v>44378</v>
      </c>
      <c r="C1904">
        <v>2021</v>
      </c>
      <c r="D1904" t="s">
        <v>14</v>
      </c>
      <c r="E1904" t="s">
        <v>27</v>
      </c>
      <c r="F1904" t="s">
        <v>40</v>
      </c>
      <c r="G1904" t="s">
        <v>28</v>
      </c>
      <c r="H1904">
        <v>96.76</v>
      </c>
    </row>
    <row r="1905" spans="1:8" x14ac:dyDescent="0.3">
      <c r="A1905">
        <v>202108</v>
      </c>
      <c r="B1905" s="1">
        <v>44409</v>
      </c>
      <c r="C1905">
        <v>2021</v>
      </c>
      <c r="D1905" t="s">
        <v>15</v>
      </c>
      <c r="E1905" t="s">
        <v>27</v>
      </c>
      <c r="F1905" t="s">
        <v>40</v>
      </c>
      <c r="G1905" t="s">
        <v>28</v>
      </c>
      <c r="H1905">
        <v>101.93</v>
      </c>
    </row>
    <row r="1906" spans="1:8" x14ac:dyDescent="0.3">
      <c r="A1906">
        <v>202109</v>
      </c>
      <c r="B1906" s="1">
        <v>44440</v>
      </c>
      <c r="C1906">
        <v>2021</v>
      </c>
      <c r="D1906" t="s">
        <v>16</v>
      </c>
      <c r="E1906" t="s">
        <v>27</v>
      </c>
      <c r="F1906" t="s">
        <v>40</v>
      </c>
      <c r="G1906" t="s">
        <v>28</v>
      </c>
      <c r="H1906">
        <v>87.5</v>
      </c>
    </row>
    <row r="1907" spans="1:8" x14ac:dyDescent="0.3">
      <c r="A1907">
        <v>202110</v>
      </c>
      <c r="B1907" s="1">
        <v>44470</v>
      </c>
      <c r="C1907">
        <v>2021</v>
      </c>
      <c r="D1907" t="s">
        <v>17</v>
      </c>
      <c r="E1907" t="s">
        <v>27</v>
      </c>
      <c r="F1907" t="s">
        <v>40</v>
      </c>
      <c r="G1907" t="s">
        <v>28</v>
      </c>
      <c r="H1907">
        <v>88.23</v>
      </c>
    </row>
    <row r="1908" spans="1:8" x14ac:dyDescent="0.3">
      <c r="A1908">
        <v>202111</v>
      </c>
      <c r="B1908" s="1">
        <v>44501</v>
      </c>
      <c r="C1908">
        <v>2021</v>
      </c>
      <c r="D1908" t="s">
        <v>18</v>
      </c>
      <c r="E1908" t="s">
        <v>27</v>
      </c>
      <c r="F1908" t="s">
        <v>40</v>
      </c>
      <c r="G1908" t="s">
        <v>28</v>
      </c>
      <c r="H1908">
        <v>106.25</v>
      </c>
    </row>
    <row r="1909" spans="1:8" x14ac:dyDescent="0.3">
      <c r="A1909">
        <v>202112</v>
      </c>
      <c r="B1909" s="1">
        <v>44531</v>
      </c>
      <c r="C1909">
        <v>2021</v>
      </c>
      <c r="D1909" t="s">
        <v>19</v>
      </c>
      <c r="E1909" t="s">
        <v>27</v>
      </c>
      <c r="F1909" t="s">
        <v>40</v>
      </c>
      <c r="G1909" t="s">
        <v>28</v>
      </c>
      <c r="H1909">
        <v>100.13</v>
      </c>
    </row>
    <row r="1910" spans="1:8" x14ac:dyDescent="0.3">
      <c r="A1910">
        <v>202101</v>
      </c>
      <c r="B1910" s="1">
        <v>44197</v>
      </c>
      <c r="C1910">
        <v>2021</v>
      </c>
      <c r="D1910" t="s">
        <v>6</v>
      </c>
      <c r="E1910" t="s">
        <v>27</v>
      </c>
      <c r="F1910" t="s">
        <v>40</v>
      </c>
      <c r="G1910" t="s">
        <v>28</v>
      </c>
      <c r="H1910">
        <v>129.71</v>
      </c>
    </row>
    <row r="1911" spans="1:8" x14ac:dyDescent="0.3">
      <c r="A1911">
        <v>202102</v>
      </c>
      <c r="B1911" s="1">
        <v>44228</v>
      </c>
      <c r="C1911">
        <v>2021</v>
      </c>
      <c r="D1911" t="s">
        <v>9</v>
      </c>
      <c r="E1911" t="s">
        <v>27</v>
      </c>
      <c r="F1911" t="s">
        <v>40</v>
      </c>
      <c r="G1911" t="s">
        <v>28</v>
      </c>
      <c r="H1911">
        <v>63.85</v>
      </c>
    </row>
    <row r="1912" spans="1:8" x14ac:dyDescent="0.3">
      <c r="A1912">
        <v>202103</v>
      </c>
      <c r="B1912" s="1">
        <v>44256</v>
      </c>
      <c r="C1912">
        <v>2021</v>
      </c>
      <c r="D1912" t="s">
        <v>10</v>
      </c>
      <c r="E1912" t="s">
        <v>27</v>
      </c>
      <c r="F1912" t="s">
        <v>40</v>
      </c>
      <c r="G1912" t="s">
        <v>28</v>
      </c>
      <c r="H1912">
        <v>81.510000000000005</v>
      </c>
    </row>
    <row r="1913" spans="1:8" x14ac:dyDescent="0.3">
      <c r="A1913">
        <v>202104</v>
      </c>
      <c r="B1913" s="1">
        <v>44287</v>
      </c>
      <c r="C1913">
        <v>2021</v>
      </c>
      <c r="D1913" t="s">
        <v>11</v>
      </c>
      <c r="E1913" t="s">
        <v>27</v>
      </c>
      <c r="F1913" t="s">
        <v>40</v>
      </c>
      <c r="G1913" t="s">
        <v>28</v>
      </c>
      <c r="H1913">
        <v>136.43</v>
      </c>
    </row>
    <row r="1914" spans="1:8" x14ac:dyDescent="0.3">
      <c r="A1914">
        <v>202105</v>
      </c>
      <c r="B1914" s="1">
        <v>44317</v>
      </c>
      <c r="C1914">
        <v>2021</v>
      </c>
      <c r="D1914" t="s">
        <v>12</v>
      </c>
      <c r="E1914" t="s">
        <v>27</v>
      </c>
      <c r="F1914" t="s">
        <v>40</v>
      </c>
      <c r="G1914" t="s">
        <v>28</v>
      </c>
      <c r="H1914">
        <v>87.1</v>
      </c>
    </row>
    <row r="1915" spans="1:8" x14ac:dyDescent="0.3">
      <c r="A1915">
        <v>202106</v>
      </c>
      <c r="B1915" s="1">
        <v>44348</v>
      </c>
      <c r="C1915">
        <v>2021</v>
      </c>
      <c r="D1915" t="s">
        <v>13</v>
      </c>
      <c r="E1915" t="s">
        <v>27</v>
      </c>
      <c r="F1915" t="s">
        <v>40</v>
      </c>
      <c r="G1915" t="s">
        <v>28</v>
      </c>
      <c r="H1915">
        <v>88.5</v>
      </c>
    </row>
    <row r="1916" spans="1:8" x14ac:dyDescent="0.3">
      <c r="A1916">
        <v>202107</v>
      </c>
      <c r="B1916" s="1">
        <v>44378</v>
      </c>
      <c r="C1916">
        <v>2021</v>
      </c>
      <c r="D1916" t="s">
        <v>14</v>
      </c>
      <c r="E1916" t="s">
        <v>27</v>
      </c>
      <c r="F1916" t="s">
        <v>40</v>
      </c>
      <c r="G1916" t="s">
        <v>28</v>
      </c>
      <c r="H1916">
        <v>97.98</v>
      </c>
    </row>
    <row r="1917" spans="1:8" x14ac:dyDescent="0.3">
      <c r="A1917">
        <v>202108</v>
      </c>
      <c r="B1917" s="1">
        <v>44409</v>
      </c>
      <c r="C1917">
        <v>2021</v>
      </c>
      <c r="D1917" t="s">
        <v>15</v>
      </c>
      <c r="E1917" t="s">
        <v>27</v>
      </c>
      <c r="F1917" t="s">
        <v>40</v>
      </c>
      <c r="G1917" t="s">
        <v>28</v>
      </c>
      <c r="H1917">
        <v>84.59</v>
      </c>
    </row>
    <row r="1918" spans="1:8" x14ac:dyDescent="0.3">
      <c r="A1918">
        <v>202109</v>
      </c>
      <c r="B1918" s="1">
        <v>44440</v>
      </c>
      <c r="C1918">
        <v>2021</v>
      </c>
      <c r="D1918" t="s">
        <v>16</v>
      </c>
      <c r="E1918" t="s">
        <v>27</v>
      </c>
      <c r="F1918" t="s">
        <v>40</v>
      </c>
      <c r="G1918" t="s">
        <v>28</v>
      </c>
      <c r="H1918">
        <v>76.650000000000006</v>
      </c>
    </row>
    <row r="1919" spans="1:8" x14ac:dyDescent="0.3">
      <c r="A1919">
        <v>202110</v>
      </c>
      <c r="B1919" s="1">
        <v>44470</v>
      </c>
      <c r="C1919">
        <v>2021</v>
      </c>
      <c r="D1919" t="s">
        <v>17</v>
      </c>
      <c r="E1919" t="s">
        <v>27</v>
      </c>
      <c r="F1919" t="s">
        <v>40</v>
      </c>
      <c r="G1919" t="s">
        <v>28</v>
      </c>
      <c r="H1919">
        <v>92.89</v>
      </c>
    </row>
    <row r="1920" spans="1:8" x14ac:dyDescent="0.3">
      <c r="A1920">
        <v>202111</v>
      </c>
      <c r="B1920" s="1">
        <v>44501</v>
      </c>
      <c r="C1920">
        <v>2021</v>
      </c>
      <c r="D1920" t="s">
        <v>18</v>
      </c>
      <c r="E1920" t="s">
        <v>27</v>
      </c>
      <c r="F1920" t="s">
        <v>40</v>
      </c>
      <c r="G1920" t="s">
        <v>28</v>
      </c>
      <c r="H1920">
        <v>98.74</v>
      </c>
    </row>
    <row r="1921" spans="1:8" x14ac:dyDescent="0.3">
      <c r="A1921">
        <v>202112</v>
      </c>
      <c r="B1921" s="1">
        <v>44531</v>
      </c>
      <c r="C1921">
        <v>2021</v>
      </c>
      <c r="D1921" t="s">
        <v>19</v>
      </c>
      <c r="E1921" t="s">
        <v>27</v>
      </c>
      <c r="F1921" t="s">
        <v>40</v>
      </c>
      <c r="G1921" t="s">
        <v>28</v>
      </c>
      <c r="H1921">
        <v>99.92</v>
      </c>
    </row>
    <row r="1922" spans="1:8" x14ac:dyDescent="0.3">
      <c r="A1922">
        <v>202101</v>
      </c>
      <c r="B1922" s="1">
        <v>44197</v>
      </c>
      <c r="C1922">
        <v>2021</v>
      </c>
      <c r="D1922" t="s">
        <v>6</v>
      </c>
      <c r="E1922" t="s">
        <v>27</v>
      </c>
      <c r="F1922" t="s">
        <v>40</v>
      </c>
      <c r="G1922" t="s">
        <v>28</v>
      </c>
      <c r="H1922">
        <v>730.76</v>
      </c>
    </row>
    <row r="1923" spans="1:8" x14ac:dyDescent="0.3">
      <c r="A1923">
        <v>202102</v>
      </c>
      <c r="B1923" s="1">
        <v>44228</v>
      </c>
      <c r="C1923">
        <v>2021</v>
      </c>
      <c r="D1923" t="s">
        <v>9</v>
      </c>
      <c r="E1923" t="s">
        <v>27</v>
      </c>
      <c r="F1923" t="s">
        <v>40</v>
      </c>
      <c r="G1923" t="s">
        <v>28</v>
      </c>
      <c r="H1923">
        <v>402.62</v>
      </c>
    </row>
    <row r="1924" spans="1:8" x14ac:dyDescent="0.3">
      <c r="A1924">
        <v>202103</v>
      </c>
      <c r="B1924" s="1">
        <v>44256</v>
      </c>
      <c r="C1924">
        <v>2021</v>
      </c>
      <c r="D1924" t="s">
        <v>10</v>
      </c>
      <c r="E1924" t="s">
        <v>27</v>
      </c>
      <c r="F1924" t="s">
        <v>40</v>
      </c>
      <c r="G1924" t="s">
        <v>28</v>
      </c>
      <c r="H1924">
        <v>472.8</v>
      </c>
    </row>
    <row r="1925" spans="1:8" x14ac:dyDescent="0.3">
      <c r="A1925">
        <v>202104</v>
      </c>
      <c r="B1925" s="1">
        <v>44287</v>
      </c>
      <c r="C1925">
        <v>2021</v>
      </c>
      <c r="D1925" t="s">
        <v>11</v>
      </c>
      <c r="E1925" t="s">
        <v>27</v>
      </c>
      <c r="F1925" t="s">
        <v>40</v>
      </c>
      <c r="G1925" t="s">
        <v>28</v>
      </c>
      <c r="H1925">
        <v>808.91</v>
      </c>
    </row>
    <row r="1926" spans="1:8" x14ac:dyDescent="0.3">
      <c r="A1926">
        <v>202105</v>
      </c>
      <c r="B1926" s="1">
        <v>44317</v>
      </c>
      <c r="C1926">
        <v>2021</v>
      </c>
      <c r="D1926" t="s">
        <v>12</v>
      </c>
      <c r="E1926" t="s">
        <v>27</v>
      </c>
      <c r="F1926" t="s">
        <v>40</v>
      </c>
      <c r="G1926" t="s">
        <v>28</v>
      </c>
      <c r="H1926">
        <v>530.38</v>
      </c>
    </row>
    <row r="1927" spans="1:8" x14ac:dyDescent="0.3">
      <c r="A1927">
        <v>202106</v>
      </c>
      <c r="B1927" s="1">
        <v>44348</v>
      </c>
      <c r="C1927">
        <v>2021</v>
      </c>
      <c r="D1927" t="s">
        <v>13</v>
      </c>
      <c r="E1927" t="s">
        <v>27</v>
      </c>
      <c r="F1927" t="s">
        <v>40</v>
      </c>
      <c r="G1927" t="s">
        <v>28</v>
      </c>
      <c r="H1927">
        <v>497.29</v>
      </c>
    </row>
    <row r="1928" spans="1:8" x14ac:dyDescent="0.3">
      <c r="A1928">
        <v>202107</v>
      </c>
      <c r="B1928" s="1">
        <v>44378</v>
      </c>
      <c r="C1928">
        <v>2021</v>
      </c>
      <c r="D1928" t="s">
        <v>14</v>
      </c>
      <c r="E1928" t="s">
        <v>27</v>
      </c>
      <c r="F1928" t="s">
        <v>40</v>
      </c>
      <c r="G1928" t="s">
        <v>28</v>
      </c>
      <c r="H1928">
        <v>563.51</v>
      </c>
    </row>
    <row r="1929" spans="1:8" x14ac:dyDescent="0.3">
      <c r="A1929">
        <v>202108</v>
      </c>
      <c r="B1929" s="1">
        <v>44409</v>
      </c>
      <c r="C1929">
        <v>2021</v>
      </c>
      <c r="D1929" t="s">
        <v>15</v>
      </c>
      <c r="E1929" t="s">
        <v>27</v>
      </c>
      <c r="F1929" t="s">
        <v>40</v>
      </c>
      <c r="G1929" t="s">
        <v>28</v>
      </c>
      <c r="H1929">
        <v>513.9</v>
      </c>
    </row>
    <row r="1930" spans="1:8" x14ac:dyDescent="0.3">
      <c r="A1930">
        <v>202109</v>
      </c>
      <c r="B1930" s="1">
        <v>44440</v>
      </c>
      <c r="C1930">
        <v>2021</v>
      </c>
      <c r="D1930" t="s">
        <v>16</v>
      </c>
      <c r="E1930" t="s">
        <v>27</v>
      </c>
      <c r="F1930" t="s">
        <v>40</v>
      </c>
      <c r="G1930" t="s">
        <v>28</v>
      </c>
      <c r="H1930">
        <v>445.76</v>
      </c>
    </row>
    <row r="1931" spans="1:8" x14ac:dyDescent="0.3">
      <c r="A1931">
        <v>202110</v>
      </c>
      <c r="B1931" s="1">
        <v>44470</v>
      </c>
      <c r="C1931">
        <v>2021</v>
      </c>
      <c r="D1931" t="s">
        <v>17</v>
      </c>
      <c r="E1931" t="s">
        <v>27</v>
      </c>
      <c r="F1931" t="s">
        <v>40</v>
      </c>
      <c r="G1931" t="s">
        <v>28</v>
      </c>
      <c r="H1931">
        <v>544.21</v>
      </c>
    </row>
    <row r="1932" spans="1:8" x14ac:dyDescent="0.3">
      <c r="A1932">
        <v>202111</v>
      </c>
      <c r="B1932" s="1">
        <v>44501</v>
      </c>
      <c r="C1932">
        <v>2021</v>
      </c>
      <c r="D1932" t="s">
        <v>18</v>
      </c>
      <c r="E1932" t="s">
        <v>27</v>
      </c>
      <c r="F1932" t="s">
        <v>40</v>
      </c>
      <c r="G1932" t="s">
        <v>28</v>
      </c>
      <c r="H1932">
        <v>528.95000000000005</v>
      </c>
    </row>
    <row r="1933" spans="1:8" x14ac:dyDescent="0.3">
      <c r="A1933">
        <v>202112</v>
      </c>
      <c r="B1933" s="1">
        <v>44531</v>
      </c>
      <c r="C1933">
        <v>2021</v>
      </c>
      <c r="D1933" t="s">
        <v>19</v>
      </c>
      <c r="E1933" t="s">
        <v>27</v>
      </c>
      <c r="F1933" t="s">
        <v>40</v>
      </c>
      <c r="G1933" t="s">
        <v>28</v>
      </c>
      <c r="H1933">
        <v>691.68</v>
      </c>
    </row>
    <row r="1934" spans="1:8" x14ac:dyDescent="0.3">
      <c r="A1934">
        <v>202101</v>
      </c>
      <c r="B1934" s="1">
        <v>44197</v>
      </c>
      <c r="C1934">
        <v>2021</v>
      </c>
      <c r="D1934" t="s">
        <v>6</v>
      </c>
      <c r="E1934" t="s">
        <v>29</v>
      </c>
      <c r="F1934" t="s">
        <v>40</v>
      </c>
      <c r="G1934" t="s">
        <v>28</v>
      </c>
      <c r="H1934">
        <v>719.07</v>
      </c>
    </row>
    <row r="1935" spans="1:8" x14ac:dyDescent="0.3">
      <c r="A1935">
        <v>202102</v>
      </c>
      <c r="B1935" s="1">
        <v>44228</v>
      </c>
      <c r="C1935">
        <v>2021</v>
      </c>
      <c r="D1935" t="s">
        <v>9</v>
      </c>
      <c r="E1935" t="s">
        <v>29</v>
      </c>
      <c r="F1935" t="s">
        <v>40</v>
      </c>
      <c r="G1935" t="s">
        <v>28</v>
      </c>
      <c r="H1935">
        <v>488.87</v>
      </c>
    </row>
    <row r="1936" spans="1:8" x14ac:dyDescent="0.3">
      <c r="A1936">
        <v>202103</v>
      </c>
      <c r="B1936" s="1">
        <v>44256</v>
      </c>
      <c r="C1936">
        <v>2021</v>
      </c>
      <c r="D1936" t="s">
        <v>10</v>
      </c>
      <c r="E1936" t="s">
        <v>29</v>
      </c>
      <c r="F1936" t="s">
        <v>40</v>
      </c>
      <c r="G1936" t="s">
        <v>28</v>
      </c>
      <c r="H1936">
        <v>535.54</v>
      </c>
    </row>
    <row r="1937" spans="1:8" x14ac:dyDescent="0.3">
      <c r="A1937">
        <v>202104</v>
      </c>
      <c r="B1937" s="1">
        <v>44287</v>
      </c>
      <c r="C1937">
        <v>2021</v>
      </c>
      <c r="D1937" t="s">
        <v>11</v>
      </c>
      <c r="E1937" t="s">
        <v>29</v>
      </c>
      <c r="F1937" t="s">
        <v>40</v>
      </c>
      <c r="G1937" t="s">
        <v>28</v>
      </c>
      <c r="H1937">
        <v>827.55</v>
      </c>
    </row>
    <row r="1938" spans="1:8" x14ac:dyDescent="0.3">
      <c r="A1938">
        <v>202105</v>
      </c>
      <c r="B1938" s="1">
        <v>44317</v>
      </c>
      <c r="C1938">
        <v>2021</v>
      </c>
      <c r="D1938" t="s">
        <v>12</v>
      </c>
      <c r="E1938" t="s">
        <v>29</v>
      </c>
      <c r="F1938" t="s">
        <v>40</v>
      </c>
      <c r="G1938" t="s">
        <v>28</v>
      </c>
      <c r="H1938">
        <v>639.45000000000005</v>
      </c>
    </row>
    <row r="1939" spans="1:8" x14ac:dyDescent="0.3">
      <c r="A1939">
        <v>202106</v>
      </c>
      <c r="B1939" s="1">
        <v>44348</v>
      </c>
      <c r="C1939">
        <v>2021</v>
      </c>
      <c r="D1939" t="s">
        <v>13</v>
      </c>
      <c r="E1939" t="s">
        <v>29</v>
      </c>
      <c r="F1939" t="s">
        <v>40</v>
      </c>
      <c r="G1939" t="s">
        <v>28</v>
      </c>
      <c r="H1939">
        <v>695.13</v>
      </c>
    </row>
    <row r="1940" spans="1:8" x14ac:dyDescent="0.3">
      <c r="A1940">
        <v>202107</v>
      </c>
      <c r="B1940" s="1">
        <v>44378</v>
      </c>
      <c r="C1940">
        <v>2021</v>
      </c>
      <c r="D1940" t="s">
        <v>14</v>
      </c>
      <c r="E1940" t="s">
        <v>29</v>
      </c>
      <c r="F1940" t="s">
        <v>40</v>
      </c>
      <c r="G1940" t="s">
        <v>28</v>
      </c>
      <c r="H1940">
        <v>645.1</v>
      </c>
    </row>
    <row r="1941" spans="1:8" x14ac:dyDescent="0.3">
      <c r="A1941">
        <v>202108</v>
      </c>
      <c r="B1941" s="1">
        <v>44409</v>
      </c>
      <c r="C1941">
        <v>2021</v>
      </c>
      <c r="D1941" t="s">
        <v>15</v>
      </c>
      <c r="E1941" t="s">
        <v>29</v>
      </c>
      <c r="F1941" t="s">
        <v>40</v>
      </c>
      <c r="G1941" t="s">
        <v>28</v>
      </c>
      <c r="H1941">
        <v>602.73</v>
      </c>
    </row>
    <row r="1942" spans="1:8" x14ac:dyDescent="0.3">
      <c r="A1942">
        <v>202109</v>
      </c>
      <c r="B1942" s="1">
        <v>44440</v>
      </c>
      <c r="C1942">
        <v>2021</v>
      </c>
      <c r="D1942" t="s">
        <v>16</v>
      </c>
      <c r="E1942" t="s">
        <v>29</v>
      </c>
      <c r="F1942" t="s">
        <v>40</v>
      </c>
      <c r="G1942" t="s">
        <v>28</v>
      </c>
      <c r="H1942">
        <v>540.5</v>
      </c>
    </row>
    <row r="1943" spans="1:8" x14ac:dyDescent="0.3">
      <c r="A1943">
        <v>202110</v>
      </c>
      <c r="B1943" s="1">
        <v>44470</v>
      </c>
      <c r="C1943">
        <v>2021</v>
      </c>
      <c r="D1943" t="s">
        <v>17</v>
      </c>
      <c r="E1943" t="s">
        <v>29</v>
      </c>
      <c r="F1943" t="s">
        <v>40</v>
      </c>
      <c r="G1943" t="s">
        <v>28</v>
      </c>
      <c r="H1943">
        <v>634.47</v>
      </c>
    </row>
    <row r="1944" spans="1:8" x14ac:dyDescent="0.3">
      <c r="A1944">
        <v>202111</v>
      </c>
      <c r="B1944" s="1">
        <v>44501</v>
      </c>
      <c r="C1944">
        <v>2021</v>
      </c>
      <c r="D1944" t="s">
        <v>18</v>
      </c>
      <c r="E1944" t="s">
        <v>29</v>
      </c>
      <c r="F1944" t="s">
        <v>40</v>
      </c>
      <c r="G1944" t="s">
        <v>28</v>
      </c>
      <c r="H1944">
        <v>709.82</v>
      </c>
    </row>
    <row r="1945" spans="1:8" x14ac:dyDescent="0.3">
      <c r="A1945">
        <v>202112</v>
      </c>
      <c r="B1945" s="1">
        <v>44531</v>
      </c>
      <c r="C1945">
        <v>2021</v>
      </c>
      <c r="D1945" t="s">
        <v>19</v>
      </c>
      <c r="E1945" t="s">
        <v>29</v>
      </c>
      <c r="F1945" t="s">
        <v>40</v>
      </c>
      <c r="G1945" t="s">
        <v>28</v>
      </c>
      <c r="H1945">
        <v>559.16</v>
      </c>
    </row>
    <row r="1946" spans="1:8" x14ac:dyDescent="0.3">
      <c r="A1946">
        <v>202101</v>
      </c>
      <c r="B1946" s="1">
        <v>44197</v>
      </c>
      <c r="C1946">
        <v>2021</v>
      </c>
      <c r="D1946" t="s">
        <v>6</v>
      </c>
      <c r="E1946" t="s">
        <v>29</v>
      </c>
      <c r="F1946" t="s">
        <v>40</v>
      </c>
      <c r="G1946" t="s">
        <v>28</v>
      </c>
      <c r="H1946">
        <v>241.84</v>
      </c>
    </row>
    <row r="1947" spans="1:8" x14ac:dyDescent="0.3">
      <c r="A1947">
        <v>202102</v>
      </c>
      <c r="B1947" s="1">
        <v>44228</v>
      </c>
      <c r="C1947">
        <v>2021</v>
      </c>
      <c r="D1947" t="s">
        <v>9</v>
      </c>
      <c r="E1947" t="s">
        <v>29</v>
      </c>
      <c r="F1947" t="s">
        <v>40</v>
      </c>
      <c r="G1947" t="s">
        <v>28</v>
      </c>
      <c r="H1947">
        <v>278.94</v>
      </c>
    </row>
    <row r="1948" spans="1:8" x14ac:dyDescent="0.3">
      <c r="A1948">
        <v>202103</v>
      </c>
      <c r="B1948" s="1">
        <v>44256</v>
      </c>
      <c r="C1948">
        <v>2021</v>
      </c>
      <c r="D1948" t="s">
        <v>10</v>
      </c>
      <c r="E1948" t="s">
        <v>29</v>
      </c>
      <c r="F1948" t="s">
        <v>40</v>
      </c>
      <c r="G1948" t="s">
        <v>28</v>
      </c>
      <c r="H1948">
        <v>211.58</v>
      </c>
    </row>
    <row r="1949" spans="1:8" x14ac:dyDescent="0.3">
      <c r="A1949">
        <v>202104</v>
      </c>
      <c r="B1949" s="1">
        <v>44287</v>
      </c>
      <c r="C1949">
        <v>2021</v>
      </c>
      <c r="D1949" t="s">
        <v>11</v>
      </c>
      <c r="E1949" t="s">
        <v>29</v>
      </c>
      <c r="F1949" t="s">
        <v>40</v>
      </c>
      <c r="G1949" t="s">
        <v>28</v>
      </c>
      <c r="H1949">
        <v>290.39</v>
      </c>
    </row>
    <row r="1950" spans="1:8" x14ac:dyDescent="0.3">
      <c r="A1950">
        <v>202105</v>
      </c>
      <c r="B1950" s="1">
        <v>44317</v>
      </c>
      <c r="C1950">
        <v>2021</v>
      </c>
      <c r="D1950" t="s">
        <v>12</v>
      </c>
      <c r="E1950" t="s">
        <v>29</v>
      </c>
      <c r="F1950" t="s">
        <v>40</v>
      </c>
      <c r="G1950" t="s">
        <v>28</v>
      </c>
      <c r="H1950">
        <v>195.03</v>
      </c>
    </row>
    <row r="1951" spans="1:8" x14ac:dyDescent="0.3">
      <c r="A1951">
        <v>202106</v>
      </c>
      <c r="B1951" s="1">
        <v>44348</v>
      </c>
      <c r="C1951">
        <v>2021</v>
      </c>
      <c r="D1951" t="s">
        <v>13</v>
      </c>
      <c r="E1951" t="s">
        <v>29</v>
      </c>
      <c r="F1951" t="s">
        <v>40</v>
      </c>
      <c r="G1951" t="s">
        <v>28</v>
      </c>
      <c r="H1951">
        <v>179.12</v>
      </c>
    </row>
    <row r="1952" spans="1:8" x14ac:dyDescent="0.3">
      <c r="A1952">
        <v>202107</v>
      </c>
      <c r="B1952" s="1">
        <v>44378</v>
      </c>
      <c r="C1952">
        <v>2021</v>
      </c>
      <c r="D1952" t="s">
        <v>14</v>
      </c>
      <c r="E1952" t="s">
        <v>29</v>
      </c>
      <c r="F1952" t="s">
        <v>40</v>
      </c>
      <c r="G1952" t="s">
        <v>28</v>
      </c>
      <c r="H1952">
        <v>192.42</v>
      </c>
    </row>
    <row r="1953" spans="1:8" x14ac:dyDescent="0.3">
      <c r="A1953">
        <v>202108</v>
      </c>
      <c r="B1953" s="1">
        <v>44409</v>
      </c>
      <c r="C1953">
        <v>2021</v>
      </c>
      <c r="D1953" t="s">
        <v>15</v>
      </c>
      <c r="E1953" t="s">
        <v>29</v>
      </c>
      <c r="F1953" t="s">
        <v>40</v>
      </c>
      <c r="G1953" t="s">
        <v>28</v>
      </c>
      <c r="H1953">
        <v>195.16</v>
      </c>
    </row>
    <row r="1954" spans="1:8" x14ac:dyDescent="0.3">
      <c r="A1954">
        <v>202109</v>
      </c>
      <c r="B1954" s="1">
        <v>44440</v>
      </c>
      <c r="C1954">
        <v>2021</v>
      </c>
      <c r="D1954" t="s">
        <v>16</v>
      </c>
      <c r="E1954" t="s">
        <v>29</v>
      </c>
      <c r="F1954" t="s">
        <v>40</v>
      </c>
      <c r="G1954" t="s">
        <v>28</v>
      </c>
      <c r="H1954">
        <v>179.26</v>
      </c>
    </row>
    <row r="1955" spans="1:8" x14ac:dyDescent="0.3">
      <c r="A1955">
        <v>202110</v>
      </c>
      <c r="B1955" s="1">
        <v>44470</v>
      </c>
      <c r="C1955">
        <v>2021</v>
      </c>
      <c r="D1955" t="s">
        <v>17</v>
      </c>
      <c r="E1955" t="s">
        <v>29</v>
      </c>
      <c r="F1955" t="s">
        <v>40</v>
      </c>
      <c r="G1955" t="s">
        <v>28</v>
      </c>
      <c r="H1955">
        <v>218.3</v>
      </c>
    </row>
    <row r="1956" spans="1:8" x14ac:dyDescent="0.3">
      <c r="A1956">
        <v>202111</v>
      </c>
      <c r="B1956" s="1">
        <v>44501</v>
      </c>
      <c r="C1956">
        <v>2021</v>
      </c>
      <c r="D1956" t="s">
        <v>18</v>
      </c>
      <c r="E1956" t="s">
        <v>29</v>
      </c>
      <c r="F1956" t="s">
        <v>40</v>
      </c>
      <c r="G1956" t="s">
        <v>28</v>
      </c>
      <c r="H1956">
        <v>232.77</v>
      </c>
    </row>
    <row r="1957" spans="1:8" x14ac:dyDescent="0.3">
      <c r="A1957">
        <v>202112</v>
      </c>
      <c r="B1957" s="1">
        <v>44531</v>
      </c>
      <c r="C1957">
        <v>2021</v>
      </c>
      <c r="D1957" t="s">
        <v>19</v>
      </c>
      <c r="E1957" t="s">
        <v>29</v>
      </c>
      <c r="F1957" t="s">
        <v>40</v>
      </c>
      <c r="G1957" t="s">
        <v>28</v>
      </c>
      <c r="H1957">
        <v>227.94</v>
      </c>
    </row>
    <row r="1958" spans="1:8" x14ac:dyDescent="0.3">
      <c r="A1958">
        <v>202101</v>
      </c>
      <c r="B1958" s="1">
        <v>44197</v>
      </c>
      <c r="C1958">
        <v>2021</v>
      </c>
      <c r="D1958" t="s">
        <v>6</v>
      </c>
      <c r="E1958" t="s">
        <v>30</v>
      </c>
      <c r="F1958" t="s">
        <v>40</v>
      </c>
      <c r="G1958" t="s">
        <v>28</v>
      </c>
      <c r="H1958">
        <v>204.43</v>
      </c>
    </row>
    <row r="1959" spans="1:8" x14ac:dyDescent="0.3">
      <c r="A1959">
        <v>202102</v>
      </c>
      <c r="B1959" s="1">
        <v>44228</v>
      </c>
      <c r="C1959">
        <v>2021</v>
      </c>
      <c r="D1959" t="s">
        <v>9</v>
      </c>
      <c r="E1959" t="s">
        <v>30</v>
      </c>
      <c r="F1959" t="s">
        <v>40</v>
      </c>
      <c r="G1959" t="s">
        <v>28</v>
      </c>
      <c r="H1959">
        <v>148.63</v>
      </c>
    </row>
    <row r="1960" spans="1:8" x14ac:dyDescent="0.3">
      <c r="A1960">
        <v>202103</v>
      </c>
      <c r="B1960" s="1">
        <v>44256</v>
      </c>
      <c r="C1960">
        <v>2021</v>
      </c>
      <c r="D1960" t="s">
        <v>10</v>
      </c>
      <c r="E1960" t="s">
        <v>30</v>
      </c>
      <c r="F1960" t="s">
        <v>40</v>
      </c>
      <c r="G1960" t="s">
        <v>28</v>
      </c>
      <c r="H1960">
        <v>184.19</v>
      </c>
    </row>
    <row r="1961" spans="1:8" x14ac:dyDescent="0.3">
      <c r="A1961">
        <v>202104</v>
      </c>
      <c r="B1961" s="1">
        <v>44287</v>
      </c>
      <c r="C1961">
        <v>2021</v>
      </c>
      <c r="D1961" t="s">
        <v>11</v>
      </c>
      <c r="E1961" t="s">
        <v>30</v>
      </c>
      <c r="F1961" t="s">
        <v>40</v>
      </c>
      <c r="G1961" t="s">
        <v>28</v>
      </c>
      <c r="H1961">
        <v>258.13</v>
      </c>
    </row>
    <row r="1962" spans="1:8" x14ac:dyDescent="0.3">
      <c r="A1962">
        <v>202105</v>
      </c>
      <c r="B1962" s="1">
        <v>44317</v>
      </c>
      <c r="C1962">
        <v>2021</v>
      </c>
      <c r="D1962" t="s">
        <v>12</v>
      </c>
      <c r="E1962" t="s">
        <v>30</v>
      </c>
      <c r="F1962" t="s">
        <v>40</v>
      </c>
      <c r="G1962" t="s">
        <v>28</v>
      </c>
      <c r="H1962">
        <v>173.41</v>
      </c>
    </row>
    <row r="1963" spans="1:8" x14ac:dyDescent="0.3">
      <c r="A1963">
        <v>202106</v>
      </c>
      <c r="B1963" s="1">
        <v>44348</v>
      </c>
      <c r="C1963">
        <v>2021</v>
      </c>
      <c r="D1963" t="s">
        <v>13</v>
      </c>
      <c r="E1963" t="s">
        <v>30</v>
      </c>
      <c r="F1963" t="s">
        <v>40</v>
      </c>
      <c r="G1963" t="s">
        <v>28</v>
      </c>
      <c r="H1963">
        <v>279.79000000000002</v>
      </c>
    </row>
    <row r="1964" spans="1:8" x14ac:dyDescent="0.3">
      <c r="A1964">
        <v>202107</v>
      </c>
      <c r="B1964" s="1">
        <v>44378</v>
      </c>
      <c r="C1964">
        <v>2021</v>
      </c>
      <c r="D1964" t="s">
        <v>14</v>
      </c>
      <c r="E1964" t="s">
        <v>30</v>
      </c>
      <c r="F1964" t="s">
        <v>40</v>
      </c>
      <c r="G1964" t="s">
        <v>28</v>
      </c>
      <c r="H1964">
        <v>174.59</v>
      </c>
    </row>
    <row r="1965" spans="1:8" x14ac:dyDescent="0.3">
      <c r="A1965">
        <v>202108</v>
      </c>
      <c r="B1965" s="1">
        <v>44409</v>
      </c>
      <c r="C1965">
        <v>2021</v>
      </c>
      <c r="D1965" t="s">
        <v>15</v>
      </c>
      <c r="E1965" t="s">
        <v>30</v>
      </c>
      <c r="F1965" t="s">
        <v>40</v>
      </c>
      <c r="G1965" t="s">
        <v>28</v>
      </c>
      <c r="H1965">
        <v>232.99</v>
      </c>
    </row>
    <row r="1966" spans="1:8" x14ac:dyDescent="0.3">
      <c r="A1966">
        <v>202109</v>
      </c>
      <c r="B1966" s="1">
        <v>44440</v>
      </c>
      <c r="C1966">
        <v>2021</v>
      </c>
      <c r="D1966" t="s">
        <v>16</v>
      </c>
      <c r="E1966" t="s">
        <v>30</v>
      </c>
      <c r="F1966" t="s">
        <v>40</v>
      </c>
      <c r="G1966" t="s">
        <v>28</v>
      </c>
      <c r="H1966">
        <v>216.6</v>
      </c>
    </row>
    <row r="1967" spans="1:8" x14ac:dyDescent="0.3">
      <c r="A1967">
        <v>202110</v>
      </c>
      <c r="B1967" s="1">
        <v>44470</v>
      </c>
      <c r="C1967">
        <v>2021</v>
      </c>
      <c r="D1967" t="s">
        <v>17</v>
      </c>
      <c r="E1967" t="s">
        <v>30</v>
      </c>
      <c r="F1967" t="s">
        <v>40</v>
      </c>
      <c r="G1967" t="s">
        <v>28</v>
      </c>
      <c r="H1967">
        <v>221.78</v>
      </c>
    </row>
    <row r="1968" spans="1:8" x14ac:dyDescent="0.3">
      <c r="A1968">
        <v>202111</v>
      </c>
      <c r="B1968" s="1">
        <v>44501</v>
      </c>
      <c r="C1968">
        <v>2021</v>
      </c>
      <c r="D1968" t="s">
        <v>18</v>
      </c>
      <c r="E1968" t="s">
        <v>30</v>
      </c>
      <c r="F1968" t="s">
        <v>40</v>
      </c>
      <c r="G1968" t="s">
        <v>28</v>
      </c>
      <c r="H1968">
        <v>210.99</v>
      </c>
    </row>
    <row r="1969" spans="1:8" x14ac:dyDescent="0.3">
      <c r="A1969">
        <v>202112</v>
      </c>
      <c r="B1969" s="1">
        <v>44531</v>
      </c>
      <c r="C1969">
        <v>2021</v>
      </c>
      <c r="D1969" t="s">
        <v>19</v>
      </c>
      <c r="E1969" t="s">
        <v>30</v>
      </c>
      <c r="F1969" t="s">
        <v>40</v>
      </c>
      <c r="G1969" t="s">
        <v>28</v>
      </c>
      <c r="H1969">
        <v>198.45</v>
      </c>
    </row>
    <row r="1970" spans="1:8" x14ac:dyDescent="0.3">
      <c r="A1970">
        <v>202101</v>
      </c>
      <c r="B1970" s="1">
        <v>44197</v>
      </c>
      <c r="C1970">
        <v>2021</v>
      </c>
      <c r="D1970" t="s">
        <v>6</v>
      </c>
      <c r="E1970" t="s">
        <v>30</v>
      </c>
      <c r="F1970" t="s">
        <v>40</v>
      </c>
      <c r="G1970" t="s">
        <v>28</v>
      </c>
      <c r="H1970">
        <v>1494.11</v>
      </c>
    </row>
    <row r="1971" spans="1:8" x14ac:dyDescent="0.3">
      <c r="A1971">
        <v>202102</v>
      </c>
      <c r="B1971" s="1">
        <v>44228</v>
      </c>
      <c r="C1971">
        <v>2021</v>
      </c>
      <c r="D1971" t="s">
        <v>9</v>
      </c>
      <c r="E1971" t="s">
        <v>30</v>
      </c>
      <c r="F1971" t="s">
        <v>40</v>
      </c>
      <c r="G1971" t="s">
        <v>28</v>
      </c>
      <c r="H1971">
        <v>868.97</v>
      </c>
    </row>
    <row r="1972" spans="1:8" x14ac:dyDescent="0.3">
      <c r="A1972">
        <v>202103</v>
      </c>
      <c r="B1972" s="1">
        <v>44256</v>
      </c>
      <c r="C1972">
        <v>2021</v>
      </c>
      <c r="D1972" t="s">
        <v>10</v>
      </c>
      <c r="E1972" t="s">
        <v>30</v>
      </c>
      <c r="F1972" t="s">
        <v>40</v>
      </c>
      <c r="G1972" t="s">
        <v>28</v>
      </c>
      <c r="H1972">
        <v>1111.56</v>
      </c>
    </row>
    <row r="1973" spans="1:8" x14ac:dyDescent="0.3">
      <c r="A1973">
        <v>202104</v>
      </c>
      <c r="B1973" s="1">
        <v>44287</v>
      </c>
      <c r="C1973">
        <v>2021</v>
      </c>
      <c r="D1973" t="s">
        <v>11</v>
      </c>
      <c r="E1973" t="s">
        <v>30</v>
      </c>
      <c r="F1973" t="s">
        <v>40</v>
      </c>
      <c r="G1973" t="s">
        <v>28</v>
      </c>
      <c r="H1973">
        <v>1729.25</v>
      </c>
    </row>
    <row r="1974" spans="1:8" x14ac:dyDescent="0.3">
      <c r="A1974">
        <v>202105</v>
      </c>
      <c r="B1974" s="1">
        <v>44317</v>
      </c>
      <c r="C1974">
        <v>2021</v>
      </c>
      <c r="D1974" t="s">
        <v>12</v>
      </c>
      <c r="E1974" t="s">
        <v>30</v>
      </c>
      <c r="F1974" t="s">
        <v>40</v>
      </c>
      <c r="G1974" t="s">
        <v>28</v>
      </c>
      <c r="H1974">
        <v>1168.03</v>
      </c>
    </row>
    <row r="1975" spans="1:8" x14ac:dyDescent="0.3">
      <c r="A1975">
        <v>202106</v>
      </c>
      <c r="B1975" s="1">
        <v>44348</v>
      </c>
      <c r="C1975">
        <v>2021</v>
      </c>
      <c r="D1975" t="s">
        <v>13</v>
      </c>
      <c r="E1975" t="s">
        <v>30</v>
      </c>
      <c r="F1975" t="s">
        <v>40</v>
      </c>
      <c r="G1975" t="s">
        <v>28</v>
      </c>
      <c r="H1975">
        <v>1104.68</v>
      </c>
    </row>
    <row r="1976" spans="1:8" x14ac:dyDescent="0.3">
      <c r="A1976">
        <v>202107</v>
      </c>
      <c r="B1976" s="1">
        <v>44378</v>
      </c>
      <c r="C1976">
        <v>2021</v>
      </c>
      <c r="D1976" t="s">
        <v>14</v>
      </c>
      <c r="E1976" t="s">
        <v>30</v>
      </c>
      <c r="F1976" t="s">
        <v>40</v>
      </c>
      <c r="G1976" t="s">
        <v>28</v>
      </c>
      <c r="H1976">
        <v>1207.67</v>
      </c>
    </row>
    <row r="1977" spans="1:8" x14ac:dyDescent="0.3">
      <c r="A1977">
        <v>202108</v>
      </c>
      <c r="B1977" s="1">
        <v>44409</v>
      </c>
      <c r="C1977">
        <v>2021</v>
      </c>
      <c r="D1977" t="s">
        <v>15</v>
      </c>
      <c r="E1977" t="s">
        <v>30</v>
      </c>
      <c r="F1977" t="s">
        <v>40</v>
      </c>
      <c r="G1977" t="s">
        <v>28</v>
      </c>
      <c r="H1977">
        <v>1246.33</v>
      </c>
    </row>
    <row r="1978" spans="1:8" x14ac:dyDescent="0.3">
      <c r="A1978">
        <v>202109</v>
      </c>
      <c r="B1978" s="1">
        <v>44440</v>
      </c>
      <c r="C1978">
        <v>2021</v>
      </c>
      <c r="D1978" t="s">
        <v>16</v>
      </c>
      <c r="E1978" t="s">
        <v>30</v>
      </c>
      <c r="F1978" t="s">
        <v>40</v>
      </c>
      <c r="G1978" t="s">
        <v>28</v>
      </c>
      <c r="H1978">
        <v>1098.02</v>
      </c>
    </row>
    <row r="1979" spans="1:8" x14ac:dyDescent="0.3">
      <c r="A1979">
        <v>202110</v>
      </c>
      <c r="B1979" s="1">
        <v>44470</v>
      </c>
      <c r="C1979">
        <v>2021</v>
      </c>
      <c r="D1979" t="s">
        <v>17</v>
      </c>
      <c r="E1979" t="s">
        <v>30</v>
      </c>
      <c r="F1979" t="s">
        <v>40</v>
      </c>
      <c r="G1979" t="s">
        <v>28</v>
      </c>
      <c r="H1979">
        <v>1165.23</v>
      </c>
    </row>
    <row r="1980" spans="1:8" x14ac:dyDescent="0.3">
      <c r="A1980">
        <v>202111</v>
      </c>
      <c r="B1980" s="1">
        <v>44501</v>
      </c>
      <c r="C1980">
        <v>2021</v>
      </c>
      <c r="D1980" t="s">
        <v>18</v>
      </c>
      <c r="E1980" t="s">
        <v>30</v>
      </c>
      <c r="F1980" t="s">
        <v>40</v>
      </c>
      <c r="G1980" t="s">
        <v>28</v>
      </c>
      <c r="H1980">
        <v>1567.06</v>
      </c>
    </row>
    <row r="1981" spans="1:8" x14ac:dyDescent="0.3">
      <c r="A1981">
        <v>202112</v>
      </c>
      <c r="B1981" s="1">
        <v>44531</v>
      </c>
      <c r="C1981">
        <v>2021</v>
      </c>
      <c r="D1981" t="s">
        <v>19</v>
      </c>
      <c r="E1981" t="s">
        <v>30</v>
      </c>
      <c r="F1981" t="s">
        <v>40</v>
      </c>
      <c r="G1981" t="s">
        <v>28</v>
      </c>
      <c r="H1981">
        <v>926.96</v>
      </c>
    </row>
    <row r="1982" spans="1:8" x14ac:dyDescent="0.3">
      <c r="A1982">
        <v>202101</v>
      </c>
      <c r="B1982" s="1">
        <v>44197</v>
      </c>
      <c r="C1982">
        <v>2021</v>
      </c>
      <c r="D1982" t="s">
        <v>6</v>
      </c>
      <c r="E1982" t="s">
        <v>30</v>
      </c>
      <c r="F1982" t="s">
        <v>40</v>
      </c>
      <c r="G1982" t="s">
        <v>28</v>
      </c>
      <c r="H1982">
        <v>1363.36</v>
      </c>
    </row>
    <row r="1983" spans="1:8" x14ac:dyDescent="0.3">
      <c r="A1983">
        <v>202102</v>
      </c>
      <c r="B1983" s="1">
        <v>44228</v>
      </c>
      <c r="C1983">
        <v>2021</v>
      </c>
      <c r="D1983" t="s">
        <v>9</v>
      </c>
      <c r="E1983" t="s">
        <v>30</v>
      </c>
      <c r="F1983" t="s">
        <v>40</v>
      </c>
      <c r="G1983" t="s">
        <v>28</v>
      </c>
      <c r="H1983">
        <v>854.11</v>
      </c>
    </row>
    <row r="1984" spans="1:8" x14ac:dyDescent="0.3">
      <c r="A1984">
        <v>202103</v>
      </c>
      <c r="B1984" s="1">
        <v>44256</v>
      </c>
      <c r="C1984">
        <v>2021</v>
      </c>
      <c r="D1984" t="s">
        <v>10</v>
      </c>
      <c r="E1984" t="s">
        <v>30</v>
      </c>
      <c r="F1984" t="s">
        <v>40</v>
      </c>
      <c r="G1984" t="s">
        <v>28</v>
      </c>
      <c r="H1984">
        <v>1152.02</v>
      </c>
    </row>
    <row r="1985" spans="1:8" x14ac:dyDescent="0.3">
      <c r="A1985">
        <v>202104</v>
      </c>
      <c r="B1985" s="1">
        <v>44287</v>
      </c>
      <c r="C1985">
        <v>2021</v>
      </c>
      <c r="D1985" t="s">
        <v>11</v>
      </c>
      <c r="E1985" t="s">
        <v>30</v>
      </c>
      <c r="F1985" t="s">
        <v>40</v>
      </c>
      <c r="G1985" t="s">
        <v>28</v>
      </c>
      <c r="H1985">
        <v>2248.1799999999998</v>
      </c>
    </row>
    <row r="1986" spans="1:8" x14ac:dyDescent="0.3">
      <c r="A1986">
        <v>202105</v>
      </c>
      <c r="B1986" s="1">
        <v>44317</v>
      </c>
      <c r="C1986">
        <v>2021</v>
      </c>
      <c r="D1986" t="s">
        <v>12</v>
      </c>
      <c r="E1986" t="s">
        <v>30</v>
      </c>
      <c r="F1986" t="s">
        <v>40</v>
      </c>
      <c r="G1986" t="s">
        <v>28</v>
      </c>
      <c r="H1986">
        <v>1216.3699999999999</v>
      </c>
    </row>
    <row r="1987" spans="1:8" x14ac:dyDescent="0.3">
      <c r="A1987">
        <v>202106</v>
      </c>
      <c r="B1987" s="1">
        <v>44348</v>
      </c>
      <c r="C1987">
        <v>2021</v>
      </c>
      <c r="D1987" t="s">
        <v>13</v>
      </c>
      <c r="E1987" t="s">
        <v>30</v>
      </c>
      <c r="F1987" t="s">
        <v>40</v>
      </c>
      <c r="G1987" t="s">
        <v>28</v>
      </c>
      <c r="H1987">
        <v>1112.6600000000001</v>
      </c>
    </row>
    <row r="1988" spans="1:8" x14ac:dyDescent="0.3">
      <c r="A1988">
        <v>202107</v>
      </c>
      <c r="B1988" s="1">
        <v>44378</v>
      </c>
      <c r="C1988">
        <v>2021</v>
      </c>
      <c r="D1988" t="s">
        <v>14</v>
      </c>
      <c r="E1988" t="s">
        <v>30</v>
      </c>
      <c r="F1988" t="s">
        <v>40</v>
      </c>
      <c r="G1988" t="s">
        <v>28</v>
      </c>
      <c r="H1988">
        <v>1133.73</v>
      </c>
    </row>
    <row r="1989" spans="1:8" x14ac:dyDescent="0.3">
      <c r="A1989">
        <v>202108</v>
      </c>
      <c r="B1989" s="1">
        <v>44409</v>
      </c>
      <c r="C1989">
        <v>2021</v>
      </c>
      <c r="D1989" t="s">
        <v>15</v>
      </c>
      <c r="E1989" t="s">
        <v>30</v>
      </c>
      <c r="F1989" t="s">
        <v>40</v>
      </c>
      <c r="G1989" t="s">
        <v>28</v>
      </c>
      <c r="H1989">
        <v>1404.58</v>
      </c>
    </row>
    <row r="1990" spans="1:8" x14ac:dyDescent="0.3">
      <c r="A1990">
        <v>202109</v>
      </c>
      <c r="B1990" s="1">
        <v>44440</v>
      </c>
      <c r="C1990">
        <v>2021</v>
      </c>
      <c r="D1990" t="s">
        <v>16</v>
      </c>
      <c r="E1990" t="s">
        <v>30</v>
      </c>
      <c r="F1990" t="s">
        <v>40</v>
      </c>
      <c r="G1990" t="s">
        <v>28</v>
      </c>
      <c r="H1990">
        <v>1054.7</v>
      </c>
    </row>
    <row r="1991" spans="1:8" x14ac:dyDescent="0.3">
      <c r="A1991">
        <v>202110</v>
      </c>
      <c r="B1991" s="1">
        <v>44470</v>
      </c>
      <c r="C1991">
        <v>2021</v>
      </c>
      <c r="D1991" t="s">
        <v>17</v>
      </c>
      <c r="E1991" t="s">
        <v>30</v>
      </c>
      <c r="F1991" t="s">
        <v>40</v>
      </c>
      <c r="G1991" t="s">
        <v>28</v>
      </c>
      <c r="H1991">
        <v>1571.18</v>
      </c>
    </row>
    <row r="1992" spans="1:8" x14ac:dyDescent="0.3">
      <c r="A1992">
        <v>202111</v>
      </c>
      <c r="B1992" s="1">
        <v>44501</v>
      </c>
      <c r="C1992">
        <v>2021</v>
      </c>
      <c r="D1992" t="s">
        <v>18</v>
      </c>
      <c r="E1992" t="s">
        <v>30</v>
      </c>
      <c r="F1992" t="s">
        <v>40</v>
      </c>
      <c r="G1992" t="s">
        <v>28</v>
      </c>
      <c r="H1992">
        <v>1440.19</v>
      </c>
    </row>
    <row r="1993" spans="1:8" x14ac:dyDescent="0.3">
      <c r="A1993">
        <v>202112</v>
      </c>
      <c r="B1993" s="1">
        <v>44531</v>
      </c>
      <c r="C1993">
        <v>2021</v>
      </c>
      <c r="D1993" t="s">
        <v>19</v>
      </c>
      <c r="E1993" t="s">
        <v>30</v>
      </c>
      <c r="F1993" t="s">
        <v>40</v>
      </c>
      <c r="G1993" t="s">
        <v>28</v>
      </c>
      <c r="H1993">
        <v>1088.3699999999999</v>
      </c>
    </row>
    <row r="1994" spans="1:8" x14ac:dyDescent="0.3">
      <c r="A1994">
        <v>202101</v>
      </c>
      <c r="B1994" s="1">
        <v>44197</v>
      </c>
      <c r="C1994">
        <v>2021</v>
      </c>
      <c r="D1994" t="s">
        <v>6</v>
      </c>
      <c r="E1994" t="s">
        <v>30</v>
      </c>
      <c r="F1994" t="s">
        <v>40</v>
      </c>
      <c r="G1994" t="s">
        <v>28</v>
      </c>
      <c r="H1994">
        <v>2326.16</v>
      </c>
    </row>
    <row r="1995" spans="1:8" x14ac:dyDescent="0.3">
      <c r="A1995">
        <v>202102</v>
      </c>
      <c r="B1995" s="1">
        <v>44228</v>
      </c>
      <c r="C1995">
        <v>2021</v>
      </c>
      <c r="D1995" t="s">
        <v>9</v>
      </c>
      <c r="E1995" t="s">
        <v>30</v>
      </c>
      <c r="F1995" t="s">
        <v>40</v>
      </c>
      <c r="G1995" t="s">
        <v>28</v>
      </c>
      <c r="H1995">
        <v>1531.98</v>
      </c>
    </row>
    <row r="1996" spans="1:8" x14ac:dyDescent="0.3">
      <c r="A1996">
        <v>202103</v>
      </c>
      <c r="B1996" s="1">
        <v>44256</v>
      </c>
      <c r="C1996">
        <v>2021</v>
      </c>
      <c r="D1996" t="s">
        <v>10</v>
      </c>
      <c r="E1996" t="s">
        <v>30</v>
      </c>
      <c r="F1996" t="s">
        <v>40</v>
      </c>
      <c r="G1996" t="s">
        <v>28</v>
      </c>
      <c r="H1996">
        <v>1542.6</v>
      </c>
    </row>
    <row r="1997" spans="1:8" x14ac:dyDescent="0.3">
      <c r="A1997">
        <v>202104</v>
      </c>
      <c r="B1997" s="1">
        <v>44287</v>
      </c>
      <c r="C1997">
        <v>2021</v>
      </c>
      <c r="D1997" t="s">
        <v>11</v>
      </c>
      <c r="E1997" t="s">
        <v>30</v>
      </c>
      <c r="F1997" t="s">
        <v>40</v>
      </c>
      <c r="G1997" t="s">
        <v>28</v>
      </c>
      <c r="H1997">
        <v>3114.88</v>
      </c>
    </row>
    <row r="1998" spans="1:8" x14ac:dyDescent="0.3">
      <c r="A1998">
        <v>202105</v>
      </c>
      <c r="B1998" s="1">
        <v>44317</v>
      </c>
      <c r="C1998">
        <v>2021</v>
      </c>
      <c r="D1998" t="s">
        <v>12</v>
      </c>
      <c r="E1998" t="s">
        <v>30</v>
      </c>
      <c r="F1998" t="s">
        <v>40</v>
      </c>
      <c r="G1998" t="s">
        <v>28</v>
      </c>
      <c r="H1998">
        <v>2557.62</v>
      </c>
    </row>
    <row r="1999" spans="1:8" x14ac:dyDescent="0.3">
      <c r="A1999">
        <v>202106</v>
      </c>
      <c r="B1999" s="1">
        <v>44348</v>
      </c>
      <c r="C1999">
        <v>2021</v>
      </c>
      <c r="D1999" t="s">
        <v>13</v>
      </c>
      <c r="E1999" t="s">
        <v>30</v>
      </c>
      <c r="F1999" t="s">
        <v>40</v>
      </c>
      <c r="G1999" t="s">
        <v>28</v>
      </c>
      <c r="H1999">
        <v>1491.12</v>
      </c>
    </row>
    <row r="2000" spans="1:8" x14ac:dyDescent="0.3">
      <c r="A2000">
        <v>202107</v>
      </c>
      <c r="B2000" s="1">
        <v>44378</v>
      </c>
      <c r="C2000">
        <v>2021</v>
      </c>
      <c r="D2000" t="s">
        <v>14</v>
      </c>
      <c r="E2000" t="s">
        <v>30</v>
      </c>
      <c r="F2000" t="s">
        <v>40</v>
      </c>
      <c r="G2000" t="s">
        <v>28</v>
      </c>
      <c r="H2000">
        <v>2195.94</v>
      </c>
    </row>
    <row r="2001" spans="1:8" x14ac:dyDescent="0.3">
      <c r="A2001">
        <v>202108</v>
      </c>
      <c r="B2001" s="1">
        <v>44409</v>
      </c>
      <c r="C2001">
        <v>2021</v>
      </c>
      <c r="D2001" t="s">
        <v>15</v>
      </c>
      <c r="E2001" t="s">
        <v>30</v>
      </c>
      <c r="F2001" t="s">
        <v>40</v>
      </c>
      <c r="G2001" t="s">
        <v>28</v>
      </c>
      <c r="H2001">
        <v>2990.92</v>
      </c>
    </row>
    <row r="2002" spans="1:8" x14ac:dyDescent="0.3">
      <c r="A2002">
        <v>202109</v>
      </c>
      <c r="B2002" s="1">
        <v>44440</v>
      </c>
      <c r="C2002">
        <v>2021</v>
      </c>
      <c r="D2002" t="s">
        <v>16</v>
      </c>
      <c r="E2002" t="s">
        <v>30</v>
      </c>
      <c r="F2002" t="s">
        <v>40</v>
      </c>
      <c r="G2002" t="s">
        <v>28</v>
      </c>
      <c r="H2002">
        <v>1870.91</v>
      </c>
    </row>
    <row r="2003" spans="1:8" x14ac:dyDescent="0.3">
      <c r="A2003">
        <v>202110</v>
      </c>
      <c r="B2003" s="1">
        <v>44470</v>
      </c>
      <c r="C2003">
        <v>2021</v>
      </c>
      <c r="D2003" t="s">
        <v>17</v>
      </c>
      <c r="E2003" t="s">
        <v>30</v>
      </c>
      <c r="F2003" t="s">
        <v>40</v>
      </c>
      <c r="G2003" t="s">
        <v>28</v>
      </c>
      <c r="H2003">
        <v>1891.07</v>
      </c>
    </row>
    <row r="2004" spans="1:8" x14ac:dyDescent="0.3">
      <c r="A2004">
        <v>202111</v>
      </c>
      <c r="B2004" s="1">
        <v>44501</v>
      </c>
      <c r="C2004">
        <v>2021</v>
      </c>
      <c r="D2004" t="s">
        <v>18</v>
      </c>
      <c r="E2004" t="s">
        <v>30</v>
      </c>
      <c r="F2004" t="s">
        <v>40</v>
      </c>
      <c r="G2004" t="s">
        <v>28</v>
      </c>
      <c r="H2004">
        <v>3080.76</v>
      </c>
    </row>
    <row r="2005" spans="1:8" x14ac:dyDescent="0.3">
      <c r="A2005">
        <v>202112</v>
      </c>
      <c r="B2005" s="1">
        <v>44531</v>
      </c>
      <c r="C2005">
        <v>2021</v>
      </c>
      <c r="D2005" t="s">
        <v>19</v>
      </c>
      <c r="E2005" t="s">
        <v>30</v>
      </c>
      <c r="F2005" t="s">
        <v>40</v>
      </c>
      <c r="G2005" t="s">
        <v>28</v>
      </c>
      <c r="H2005">
        <v>2007.21</v>
      </c>
    </row>
    <row r="2006" spans="1:8" x14ac:dyDescent="0.3">
      <c r="A2006">
        <v>202101</v>
      </c>
      <c r="B2006" s="1">
        <v>44197</v>
      </c>
      <c r="C2006">
        <v>2021</v>
      </c>
      <c r="D2006" t="s">
        <v>6</v>
      </c>
      <c r="E2006" t="s">
        <v>31</v>
      </c>
      <c r="F2006" t="s">
        <v>40</v>
      </c>
      <c r="G2006" t="s">
        <v>28</v>
      </c>
      <c r="H2006">
        <v>66.88</v>
      </c>
    </row>
    <row r="2007" spans="1:8" x14ac:dyDescent="0.3">
      <c r="A2007">
        <v>202102</v>
      </c>
      <c r="B2007" s="1">
        <v>44228</v>
      </c>
      <c r="C2007">
        <v>2021</v>
      </c>
      <c r="D2007" t="s">
        <v>9</v>
      </c>
      <c r="E2007" t="s">
        <v>31</v>
      </c>
      <c r="F2007" t="s">
        <v>40</v>
      </c>
      <c r="G2007" t="s">
        <v>28</v>
      </c>
      <c r="H2007">
        <v>38.74</v>
      </c>
    </row>
    <row r="2008" spans="1:8" x14ac:dyDescent="0.3">
      <c r="A2008">
        <v>202103</v>
      </c>
      <c r="B2008" s="1">
        <v>44256</v>
      </c>
      <c r="C2008">
        <v>2021</v>
      </c>
      <c r="D2008" t="s">
        <v>10</v>
      </c>
      <c r="E2008" t="s">
        <v>31</v>
      </c>
      <c r="F2008" t="s">
        <v>40</v>
      </c>
      <c r="G2008" t="s">
        <v>28</v>
      </c>
      <c r="H2008">
        <v>48.99</v>
      </c>
    </row>
    <row r="2009" spans="1:8" x14ac:dyDescent="0.3">
      <c r="A2009">
        <v>202104</v>
      </c>
      <c r="B2009" s="1">
        <v>44287</v>
      </c>
      <c r="C2009">
        <v>2021</v>
      </c>
      <c r="D2009" t="s">
        <v>11</v>
      </c>
      <c r="E2009" t="s">
        <v>31</v>
      </c>
      <c r="F2009" t="s">
        <v>40</v>
      </c>
      <c r="G2009" t="s">
        <v>28</v>
      </c>
      <c r="H2009">
        <v>53.91</v>
      </c>
    </row>
    <row r="2010" spans="1:8" x14ac:dyDescent="0.3">
      <c r="A2010">
        <v>202105</v>
      </c>
      <c r="B2010" s="1">
        <v>44317</v>
      </c>
      <c r="C2010">
        <v>2021</v>
      </c>
      <c r="D2010" t="s">
        <v>12</v>
      </c>
      <c r="E2010" t="s">
        <v>31</v>
      </c>
      <c r="F2010" t="s">
        <v>40</v>
      </c>
      <c r="G2010" t="s">
        <v>28</v>
      </c>
      <c r="H2010">
        <v>53.79</v>
      </c>
    </row>
    <row r="2011" spans="1:8" x14ac:dyDescent="0.3">
      <c r="A2011">
        <v>202106</v>
      </c>
      <c r="B2011" s="1">
        <v>44348</v>
      </c>
      <c r="C2011">
        <v>2021</v>
      </c>
      <c r="D2011" t="s">
        <v>13</v>
      </c>
      <c r="E2011" t="s">
        <v>31</v>
      </c>
      <c r="F2011" t="s">
        <v>40</v>
      </c>
      <c r="G2011" t="s">
        <v>28</v>
      </c>
      <c r="H2011">
        <v>44.68</v>
      </c>
    </row>
    <row r="2012" spans="1:8" x14ac:dyDescent="0.3">
      <c r="A2012">
        <v>202107</v>
      </c>
      <c r="B2012" s="1">
        <v>44378</v>
      </c>
      <c r="C2012">
        <v>2021</v>
      </c>
      <c r="D2012" t="s">
        <v>14</v>
      </c>
      <c r="E2012" t="s">
        <v>31</v>
      </c>
      <c r="F2012" t="s">
        <v>40</v>
      </c>
      <c r="G2012" t="s">
        <v>28</v>
      </c>
      <c r="H2012">
        <v>45.47</v>
      </c>
    </row>
    <row r="2013" spans="1:8" x14ac:dyDescent="0.3">
      <c r="A2013">
        <v>202108</v>
      </c>
      <c r="B2013" s="1">
        <v>44409</v>
      </c>
      <c r="C2013">
        <v>2021</v>
      </c>
      <c r="D2013" t="s">
        <v>15</v>
      </c>
      <c r="E2013" t="s">
        <v>31</v>
      </c>
      <c r="F2013" t="s">
        <v>40</v>
      </c>
      <c r="G2013" t="s">
        <v>28</v>
      </c>
      <c r="H2013">
        <v>48.59</v>
      </c>
    </row>
    <row r="2014" spans="1:8" x14ac:dyDescent="0.3">
      <c r="A2014">
        <v>202109</v>
      </c>
      <c r="B2014" s="1">
        <v>44440</v>
      </c>
      <c r="C2014">
        <v>2021</v>
      </c>
      <c r="D2014" t="s">
        <v>16</v>
      </c>
      <c r="E2014" t="s">
        <v>31</v>
      </c>
      <c r="F2014" t="s">
        <v>40</v>
      </c>
      <c r="G2014" t="s">
        <v>28</v>
      </c>
      <c r="H2014">
        <v>45.45</v>
      </c>
    </row>
    <row r="2015" spans="1:8" x14ac:dyDescent="0.3">
      <c r="A2015">
        <v>202110</v>
      </c>
      <c r="B2015" s="1">
        <v>44470</v>
      </c>
      <c r="C2015">
        <v>2021</v>
      </c>
      <c r="D2015" t="s">
        <v>17</v>
      </c>
      <c r="E2015" t="s">
        <v>31</v>
      </c>
      <c r="F2015" t="s">
        <v>40</v>
      </c>
      <c r="G2015" t="s">
        <v>28</v>
      </c>
      <c r="H2015">
        <v>56.82</v>
      </c>
    </row>
    <row r="2016" spans="1:8" x14ac:dyDescent="0.3">
      <c r="A2016">
        <v>202111</v>
      </c>
      <c r="B2016" s="1">
        <v>44501</v>
      </c>
      <c r="C2016">
        <v>2021</v>
      </c>
      <c r="D2016" t="s">
        <v>18</v>
      </c>
      <c r="E2016" t="s">
        <v>31</v>
      </c>
      <c r="F2016" t="s">
        <v>40</v>
      </c>
      <c r="G2016" t="s">
        <v>28</v>
      </c>
      <c r="H2016">
        <v>52.32</v>
      </c>
    </row>
    <row r="2017" spans="1:8" x14ac:dyDescent="0.3">
      <c r="A2017">
        <v>202112</v>
      </c>
      <c r="B2017" s="1">
        <v>44531</v>
      </c>
      <c r="C2017">
        <v>2021</v>
      </c>
      <c r="D2017" t="s">
        <v>19</v>
      </c>
      <c r="E2017" t="s">
        <v>31</v>
      </c>
      <c r="F2017" t="s">
        <v>40</v>
      </c>
      <c r="G2017" t="s">
        <v>28</v>
      </c>
      <c r="H2017">
        <v>43.41</v>
      </c>
    </row>
    <row r="2018" spans="1:8" x14ac:dyDescent="0.3">
      <c r="A2018">
        <v>202101</v>
      </c>
      <c r="B2018" s="1">
        <v>44197</v>
      </c>
      <c r="C2018">
        <v>2021</v>
      </c>
      <c r="D2018" t="s">
        <v>6</v>
      </c>
      <c r="E2018" t="s">
        <v>31</v>
      </c>
      <c r="F2018" t="s">
        <v>40</v>
      </c>
      <c r="G2018" t="s">
        <v>28</v>
      </c>
      <c r="H2018">
        <v>143.88</v>
      </c>
    </row>
    <row r="2019" spans="1:8" x14ac:dyDescent="0.3">
      <c r="A2019">
        <v>202102</v>
      </c>
      <c r="B2019" s="1">
        <v>44228</v>
      </c>
      <c r="C2019">
        <v>2021</v>
      </c>
      <c r="D2019" t="s">
        <v>9</v>
      </c>
      <c r="E2019" t="s">
        <v>31</v>
      </c>
      <c r="F2019" t="s">
        <v>40</v>
      </c>
      <c r="G2019" t="s">
        <v>28</v>
      </c>
      <c r="H2019">
        <v>100.02</v>
      </c>
    </row>
    <row r="2020" spans="1:8" x14ac:dyDescent="0.3">
      <c r="A2020">
        <v>202103</v>
      </c>
      <c r="B2020" s="1">
        <v>44256</v>
      </c>
      <c r="C2020">
        <v>2021</v>
      </c>
      <c r="D2020" t="s">
        <v>10</v>
      </c>
      <c r="E2020" t="s">
        <v>31</v>
      </c>
      <c r="F2020" t="s">
        <v>40</v>
      </c>
      <c r="G2020" t="s">
        <v>28</v>
      </c>
      <c r="H2020">
        <v>111.34</v>
      </c>
    </row>
    <row r="2021" spans="1:8" x14ac:dyDescent="0.3">
      <c r="A2021">
        <v>202104</v>
      </c>
      <c r="B2021" s="1">
        <v>44287</v>
      </c>
      <c r="C2021">
        <v>2021</v>
      </c>
      <c r="D2021" t="s">
        <v>11</v>
      </c>
      <c r="E2021" t="s">
        <v>31</v>
      </c>
      <c r="F2021" t="s">
        <v>40</v>
      </c>
      <c r="G2021" t="s">
        <v>28</v>
      </c>
      <c r="H2021">
        <v>196.45</v>
      </c>
    </row>
    <row r="2022" spans="1:8" x14ac:dyDescent="0.3">
      <c r="A2022">
        <v>202105</v>
      </c>
      <c r="B2022" s="1">
        <v>44317</v>
      </c>
      <c r="C2022">
        <v>2021</v>
      </c>
      <c r="D2022" t="s">
        <v>12</v>
      </c>
      <c r="E2022" t="s">
        <v>31</v>
      </c>
      <c r="F2022" t="s">
        <v>40</v>
      </c>
      <c r="G2022" t="s">
        <v>28</v>
      </c>
      <c r="H2022">
        <v>129.31</v>
      </c>
    </row>
    <row r="2023" spans="1:8" x14ac:dyDescent="0.3">
      <c r="A2023">
        <v>202106</v>
      </c>
      <c r="B2023" s="1">
        <v>44348</v>
      </c>
      <c r="C2023">
        <v>2021</v>
      </c>
      <c r="D2023" t="s">
        <v>13</v>
      </c>
      <c r="E2023" t="s">
        <v>31</v>
      </c>
      <c r="F2023" t="s">
        <v>40</v>
      </c>
      <c r="G2023" t="s">
        <v>28</v>
      </c>
      <c r="H2023">
        <v>110.2</v>
      </c>
    </row>
    <row r="2024" spans="1:8" x14ac:dyDescent="0.3">
      <c r="A2024">
        <v>202107</v>
      </c>
      <c r="B2024" s="1">
        <v>44378</v>
      </c>
      <c r="C2024">
        <v>2021</v>
      </c>
      <c r="D2024" t="s">
        <v>14</v>
      </c>
      <c r="E2024" t="s">
        <v>31</v>
      </c>
      <c r="F2024" t="s">
        <v>40</v>
      </c>
      <c r="G2024" t="s">
        <v>28</v>
      </c>
      <c r="H2024">
        <v>122.31</v>
      </c>
    </row>
    <row r="2025" spans="1:8" x14ac:dyDescent="0.3">
      <c r="A2025">
        <v>202108</v>
      </c>
      <c r="B2025" s="1">
        <v>44409</v>
      </c>
      <c r="C2025">
        <v>2021</v>
      </c>
      <c r="D2025" t="s">
        <v>15</v>
      </c>
      <c r="E2025" t="s">
        <v>31</v>
      </c>
      <c r="F2025" t="s">
        <v>40</v>
      </c>
      <c r="G2025" t="s">
        <v>28</v>
      </c>
      <c r="H2025">
        <v>155.53</v>
      </c>
    </row>
    <row r="2026" spans="1:8" x14ac:dyDescent="0.3">
      <c r="A2026">
        <v>202109</v>
      </c>
      <c r="B2026" s="1">
        <v>44440</v>
      </c>
      <c r="C2026">
        <v>2021</v>
      </c>
      <c r="D2026" t="s">
        <v>16</v>
      </c>
      <c r="E2026" t="s">
        <v>31</v>
      </c>
      <c r="F2026" t="s">
        <v>40</v>
      </c>
      <c r="G2026" t="s">
        <v>28</v>
      </c>
      <c r="H2026">
        <v>107.63</v>
      </c>
    </row>
    <row r="2027" spans="1:8" x14ac:dyDescent="0.3">
      <c r="A2027">
        <v>202110</v>
      </c>
      <c r="B2027" s="1">
        <v>44470</v>
      </c>
      <c r="C2027">
        <v>2021</v>
      </c>
      <c r="D2027" t="s">
        <v>17</v>
      </c>
      <c r="E2027" t="s">
        <v>31</v>
      </c>
      <c r="F2027" t="s">
        <v>40</v>
      </c>
      <c r="G2027" t="s">
        <v>28</v>
      </c>
      <c r="H2027">
        <v>139.54</v>
      </c>
    </row>
    <row r="2028" spans="1:8" x14ac:dyDescent="0.3">
      <c r="A2028">
        <v>202111</v>
      </c>
      <c r="B2028" s="1">
        <v>44501</v>
      </c>
      <c r="C2028">
        <v>2021</v>
      </c>
      <c r="D2028" t="s">
        <v>18</v>
      </c>
      <c r="E2028" t="s">
        <v>31</v>
      </c>
      <c r="F2028" t="s">
        <v>40</v>
      </c>
      <c r="G2028" t="s">
        <v>28</v>
      </c>
      <c r="H2028">
        <v>151.81</v>
      </c>
    </row>
    <row r="2029" spans="1:8" x14ac:dyDescent="0.3">
      <c r="A2029">
        <v>202112</v>
      </c>
      <c r="B2029" s="1">
        <v>44531</v>
      </c>
      <c r="C2029">
        <v>2021</v>
      </c>
      <c r="D2029" t="s">
        <v>19</v>
      </c>
      <c r="E2029" t="s">
        <v>31</v>
      </c>
      <c r="F2029" t="s">
        <v>40</v>
      </c>
      <c r="G2029" t="s">
        <v>28</v>
      </c>
      <c r="H2029">
        <v>129.65</v>
      </c>
    </row>
    <row r="2030" spans="1:8" x14ac:dyDescent="0.3">
      <c r="A2030">
        <v>202101</v>
      </c>
      <c r="B2030" s="1">
        <v>44197</v>
      </c>
      <c r="C2030">
        <v>2021</v>
      </c>
      <c r="D2030" t="s">
        <v>6</v>
      </c>
      <c r="E2030" t="s">
        <v>31</v>
      </c>
      <c r="F2030" t="s">
        <v>40</v>
      </c>
      <c r="G2030" t="s">
        <v>28</v>
      </c>
      <c r="H2030">
        <v>86.14</v>
      </c>
    </row>
    <row r="2031" spans="1:8" x14ac:dyDescent="0.3">
      <c r="A2031">
        <v>202102</v>
      </c>
      <c r="B2031" s="1">
        <v>44228</v>
      </c>
      <c r="C2031">
        <v>2021</v>
      </c>
      <c r="D2031" t="s">
        <v>9</v>
      </c>
      <c r="E2031" t="s">
        <v>31</v>
      </c>
      <c r="F2031" t="s">
        <v>40</v>
      </c>
      <c r="G2031" t="s">
        <v>28</v>
      </c>
      <c r="H2031">
        <v>44.22</v>
      </c>
    </row>
    <row r="2032" spans="1:8" x14ac:dyDescent="0.3">
      <c r="A2032">
        <v>202103</v>
      </c>
      <c r="B2032" s="1">
        <v>44256</v>
      </c>
      <c r="C2032">
        <v>2021</v>
      </c>
      <c r="D2032" t="s">
        <v>10</v>
      </c>
      <c r="E2032" t="s">
        <v>31</v>
      </c>
      <c r="F2032" t="s">
        <v>40</v>
      </c>
      <c r="G2032" t="s">
        <v>28</v>
      </c>
      <c r="H2032">
        <v>61.12</v>
      </c>
    </row>
    <row r="2033" spans="1:8" x14ac:dyDescent="0.3">
      <c r="A2033">
        <v>202104</v>
      </c>
      <c r="B2033" s="1">
        <v>44287</v>
      </c>
      <c r="C2033">
        <v>2021</v>
      </c>
      <c r="D2033" t="s">
        <v>11</v>
      </c>
      <c r="E2033" t="s">
        <v>31</v>
      </c>
      <c r="F2033" t="s">
        <v>40</v>
      </c>
      <c r="G2033" t="s">
        <v>28</v>
      </c>
      <c r="H2033">
        <v>60.26</v>
      </c>
    </row>
    <row r="2034" spans="1:8" x14ac:dyDescent="0.3">
      <c r="A2034">
        <v>202105</v>
      </c>
      <c r="B2034" s="1">
        <v>44317</v>
      </c>
      <c r="C2034">
        <v>2021</v>
      </c>
      <c r="D2034" t="s">
        <v>12</v>
      </c>
      <c r="E2034" t="s">
        <v>31</v>
      </c>
      <c r="F2034" t="s">
        <v>40</v>
      </c>
      <c r="G2034" t="s">
        <v>28</v>
      </c>
      <c r="H2034">
        <v>49.86</v>
      </c>
    </row>
    <row r="2035" spans="1:8" x14ac:dyDescent="0.3">
      <c r="A2035">
        <v>202106</v>
      </c>
      <c r="B2035" s="1">
        <v>44348</v>
      </c>
      <c r="C2035">
        <v>2021</v>
      </c>
      <c r="D2035" t="s">
        <v>13</v>
      </c>
      <c r="E2035" t="s">
        <v>31</v>
      </c>
      <c r="F2035" t="s">
        <v>40</v>
      </c>
      <c r="G2035" t="s">
        <v>28</v>
      </c>
      <c r="H2035">
        <v>57.07</v>
      </c>
    </row>
    <row r="2036" spans="1:8" x14ac:dyDescent="0.3">
      <c r="A2036">
        <v>202107</v>
      </c>
      <c r="B2036" s="1">
        <v>44378</v>
      </c>
      <c r="C2036">
        <v>2021</v>
      </c>
      <c r="D2036" t="s">
        <v>14</v>
      </c>
      <c r="E2036" t="s">
        <v>31</v>
      </c>
      <c r="F2036" t="s">
        <v>40</v>
      </c>
      <c r="G2036" t="s">
        <v>28</v>
      </c>
      <c r="H2036">
        <v>54.32</v>
      </c>
    </row>
    <row r="2037" spans="1:8" x14ac:dyDescent="0.3">
      <c r="A2037">
        <v>202108</v>
      </c>
      <c r="B2037" s="1">
        <v>44409</v>
      </c>
      <c r="C2037">
        <v>2021</v>
      </c>
      <c r="D2037" t="s">
        <v>15</v>
      </c>
      <c r="E2037" t="s">
        <v>31</v>
      </c>
      <c r="F2037" t="s">
        <v>40</v>
      </c>
      <c r="G2037" t="s">
        <v>28</v>
      </c>
      <c r="H2037">
        <v>67.290000000000006</v>
      </c>
    </row>
    <row r="2038" spans="1:8" x14ac:dyDescent="0.3">
      <c r="A2038">
        <v>202109</v>
      </c>
      <c r="B2038" s="1">
        <v>44440</v>
      </c>
      <c r="C2038">
        <v>2021</v>
      </c>
      <c r="D2038" t="s">
        <v>16</v>
      </c>
      <c r="E2038" t="s">
        <v>31</v>
      </c>
      <c r="F2038" t="s">
        <v>40</v>
      </c>
      <c r="G2038" t="s">
        <v>28</v>
      </c>
      <c r="H2038">
        <v>53.91</v>
      </c>
    </row>
    <row r="2039" spans="1:8" x14ac:dyDescent="0.3">
      <c r="A2039">
        <v>202110</v>
      </c>
      <c r="B2039" s="1">
        <v>44470</v>
      </c>
      <c r="C2039">
        <v>2021</v>
      </c>
      <c r="D2039" t="s">
        <v>17</v>
      </c>
      <c r="E2039" t="s">
        <v>31</v>
      </c>
      <c r="F2039" t="s">
        <v>40</v>
      </c>
      <c r="G2039" t="s">
        <v>28</v>
      </c>
      <c r="H2039">
        <v>54.96</v>
      </c>
    </row>
    <row r="2040" spans="1:8" x14ac:dyDescent="0.3">
      <c r="A2040">
        <v>202111</v>
      </c>
      <c r="B2040" s="1">
        <v>44501</v>
      </c>
      <c r="C2040">
        <v>2021</v>
      </c>
      <c r="D2040" t="s">
        <v>18</v>
      </c>
      <c r="E2040" t="s">
        <v>31</v>
      </c>
      <c r="F2040" t="s">
        <v>40</v>
      </c>
      <c r="G2040" t="s">
        <v>28</v>
      </c>
      <c r="H2040">
        <v>64.87</v>
      </c>
    </row>
    <row r="2041" spans="1:8" x14ac:dyDescent="0.3">
      <c r="A2041">
        <v>202112</v>
      </c>
      <c r="B2041" s="1">
        <v>44531</v>
      </c>
      <c r="C2041">
        <v>2021</v>
      </c>
      <c r="D2041" t="s">
        <v>19</v>
      </c>
      <c r="E2041" t="s">
        <v>31</v>
      </c>
      <c r="F2041" t="s">
        <v>40</v>
      </c>
      <c r="G2041" t="s">
        <v>28</v>
      </c>
      <c r="H2041">
        <v>56.85</v>
      </c>
    </row>
    <row r="2042" spans="1:8" x14ac:dyDescent="0.3">
      <c r="A2042">
        <v>202101</v>
      </c>
      <c r="B2042" s="1">
        <v>44197</v>
      </c>
      <c r="C2042">
        <v>2021</v>
      </c>
      <c r="D2042" t="s">
        <v>6</v>
      </c>
      <c r="E2042" t="s">
        <v>31</v>
      </c>
      <c r="F2042" t="s">
        <v>40</v>
      </c>
      <c r="G2042" t="s">
        <v>28</v>
      </c>
      <c r="H2042">
        <v>116.65</v>
      </c>
    </row>
    <row r="2043" spans="1:8" x14ac:dyDescent="0.3">
      <c r="A2043">
        <v>202102</v>
      </c>
      <c r="B2043" s="1">
        <v>44228</v>
      </c>
      <c r="C2043">
        <v>2021</v>
      </c>
      <c r="D2043" t="s">
        <v>9</v>
      </c>
      <c r="E2043" t="s">
        <v>31</v>
      </c>
      <c r="F2043" t="s">
        <v>40</v>
      </c>
      <c r="G2043" t="s">
        <v>28</v>
      </c>
      <c r="H2043">
        <v>58.62</v>
      </c>
    </row>
    <row r="2044" spans="1:8" x14ac:dyDescent="0.3">
      <c r="A2044">
        <v>202103</v>
      </c>
      <c r="B2044" s="1">
        <v>44256</v>
      </c>
      <c r="C2044">
        <v>2021</v>
      </c>
      <c r="D2044" t="s">
        <v>10</v>
      </c>
      <c r="E2044" t="s">
        <v>31</v>
      </c>
      <c r="F2044" t="s">
        <v>40</v>
      </c>
      <c r="G2044" t="s">
        <v>28</v>
      </c>
      <c r="H2044">
        <v>76.91</v>
      </c>
    </row>
    <row r="2045" spans="1:8" x14ac:dyDescent="0.3">
      <c r="A2045">
        <v>202104</v>
      </c>
      <c r="B2045" s="1">
        <v>44287</v>
      </c>
      <c r="C2045">
        <v>2021</v>
      </c>
      <c r="D2045" t="s">
        <v>11</v>
      </c>
      <c r="E2045" t="s">
        <v>31</v>
      </c>
      <c r="F2045" t="s">
        <v>40</v>
      </c>
      <c r="G2045" t="s">
        <v>28</v>
      </c>
      <c r="H2045">
        <v>100.74</v>
      </c>
    </row>
    <row r="2046" spans="1:8" x14ac:dyDescent="0.3">
      <c r="A2046">
        <v>202105</v>
      </c>
      <c r="B2046" s="1">
        <v>44317</v>
      </c>
      <c r="C2046">
        <v>2021</v>
      </c>
      <c r="D2046" t="s">
        <v>12</v>
      </c>
      <c r="E2046" t="s">
        <v>31</v>
      </c>
      <c r="F2046" t="s">
        <v>40</v>
      </c>
      <c r="G2046" t="s">
        <v>28</v>
      </c>
      <c r="H2046">
        <v>73.900000000000006</v>
      </c>
    </row>
    <row r="2047" spans="1:8" x14ac:dyDescent="0.3">
      <c r="A2047">
        <v>202106</v>
      </c>
      <c r="B2047" s="1">
        <v>44348</v>
      </c>
      <c r="C2047">
        <v>2021</v>
      </c>
      <c r="D2047" t="s">
        <v>13</v>
      </c>
      <c r="E2047" t="s">
        <v>31</v>
      </c>
      <c r="F2047" t="s">
        <v>40</v>
      </c>
      <c r="G2047" t="s">
        <v>28</v>
      </c>
      <c r="H2047">
        <v>84.91</v>
      </c>
    </row>
    <row r="2048" spans="1:8" x14ac:dyDescent="0.3">
      <c r="A2048">
        <v>202107</v>
      </c>
      <c r="B2048" s="1">
        <v>44378</v>
      </c>
      <c r="C2048">
        <v>2021</v>
      </c>
      <c r="D2048" t="s">
        <v>14</v>
      </c>
      <c r="E2048" t="s">
        <v>31</v>
      </c>
      <c r="F2048" t="s">
        <v>40</v>
      </c>
      <c r="G2048" t="s">
        <v>28</v>
      </c>
      <c r="H2048">
        <v>89.93</v>
      </c>
    </row>
    <row r="2049" spans="1:8" x14ac:dyDescent="0.3">
      <c r="A2049">
        <v>202108</v>
      </c>
      <c r="B2049" s="1">
        <v>44409</v>
      </c>
      <c r="C2049">
        <v>2021</v>
      </c>
      <c r="D2049" t="s">
        <v>15</v>
      </c>
      <c r="E2049" t="s">
        <v>31</v>
      </c>
      <c r="F2049" t="s">
        <v>40</v>
      </c>
      <c r="G2049" t="s">
        <v>28</v>
      </c>
      <c r="H2049">
        <v>79.849999999999994</v>
      </c>
    </row>
    <row r="2050" spans="1:8" x14ac:dyDescent="0.3">
      <c r="A2050">
        <v>202109</v>
      </c>
      <c r="B2050" s="1">
        <v>44440</v>
      </c>
      <c r="C2050">
        <v>2021</v>
      </c>
      <c r="D2050" t="s">
        <v>16</v>
      </c>
      <c r="E2050" t="s">
        <v>31</v>
      </c>
      <c r="F2050" t="s">
        <v>40</v>
      </c>
      <c r="G2050" t="s">
        <v>28</v>
      </c>
      <c r="H2050">
        <v>82.84</v>
      </c>
    </row>
    <row r="2051" spans="1:8" x14ac:dyDescent="0.3">
      <c r="A2051">
        <v>202110</v>
      </c>
      <c r="B2051" s="1">
        <v>44470</v>
      </c>
      <c r="C2051">
        <v>2021</v>
      </c>
      <c r="D2051" t="s">
        <v>17</v>
      </c>
      <c r="E2051" t="s">
        <v>31</v>
      </c>
      <c r="F2051" t="s">
        <v>40</v>
      </c>
      <c r="G2051" t="s">
        <v>28</v>
      </c>
      <c r="H2051">
        <v>98.59</v>
      </c>
    </row>
    <row r="2052" spans="1:8" x14ac:dyDescent="0.3">
      <c r="A2052">
        <v>202111</v>
      </c>
      <c r="B2052" s="1">
        <v>44501</v>
      </c>
      <c r="C2052">
        <v>2021</v>
      </c>
      <c r="D2052" t="s">
        <v>18</v>
      </c>
      <c r="E2052" t="s">
        <v>31</v>
      </c>
      <c r="F2052" t="s">
        <v>40</v>
      </c>
      <c r="G2052" t="s">
        <v>28</v>
      </c>
      <c r="H2052">
        <v>95.89</v>
      </c>
    </row>
    <row r="2053" spans="1:8" x14ac:dyDescent="0.3">
      <c r="A2053">
        <v>202112</v>
      </c>
      <c r="B2053" s="1">
        <v>44531</v>
      </c>
      <c r="C2053">
        <v>2021</v>
      </c>
      <c r="D2053" t="s">
        <v>19</v>
      </c>
      <c r="E2053" t="s">
        <v>31</v>
      </c>
      <c r="F2053" t="s">
        <v>40</v>
      </c>
      <c r="G2053" t="s">
        <v>28</v>
      </c>
      <c r="H2053">
        <v>93.07</v>
      </c>
    </row>
    <row r="2054" spans="1:8" x14ac:dyDescent="0.3">
      <c r="A2054">
        <v>202101</v>
      </c>
      <c r="B2054" s="1">
        <v>44197</v>
      </c>
      <c r="C2054">
        <v>2021</v>
      </c>
      <c r="D2054" t="s">
        <v>6</v>
      </c>
      <c r="E2054" t="s">
        <v>31</v>
      </c>
      <c r="F2054" t="s">
        <v>40</v>
      </c>
      <c r="G2054" t="s">
        <v>28</v>
      </c>
      <c r="H2054">
        <v>70.77</v>
      </c>
    </row>
    <row r="2055" spans="1:8" x14ac:dyDescent="0.3">
      <c r="A2055">
        <v>202102</v>
      </c>
      <c r="B2055" s="1">
        <v>44228</v>
      </c>
      <c r="C2055">
        <v>2021</v>
      </c>
      <c r="D2055" t="s">
        <v>9</v>
      </c>
      <c r="E2055" t="s">
        <v>31</v>
      </c>
      <c r="F2055" t="s">
        <v>40</v>
      </c>
      <c r="G2055" t="s">
        <v>28</v>
      </c>
      <c r="H2055">
        <v>38.049999999999997</v>
      </c>
    </row>
    <row r="2056" spans="1:8" x14ac:dyDescent="0.3">
      <c r="A2056">
        <v>202103</v>
      </c>
      <c r="B2056" s="1">
        <v>44256</v>
      </c>
      <c r="C2056">
        <v>2021</v>
      </c>
      <c r="D2056" t="s">
        <v>10</v>
      </c>
      <c r="E2056" t="s">
        <v>31</v>
      </c>
      <c r="F2056" t="s">
        <v>40</v>
      </c>
      <c r="G2056" t="s">
        <v>28</v>
      </c>
      <c r="H2056">
        <v>43.38</v>
      </c>
    </row>
    <row r="2057" spans="1:8" x14ac:dyDescent="0.3">
      <c r="A2057">
        <v>202104</v>
      </c>
      <c r="B2057" s="1">
        <v>44287</v>
      </c>
      <c r="C2057">
        <v>2021</v>
      </c>
      <c r="D2057" t="s">
        <v>11</v>
      </c>
      <c r="E2057" t="s">
        <v>31</v>
      </c>
      <c r="F2057" t="s">
        <v>40</v>
      </c>
      <c r="G2057" t="s">
        <v>28</v>
      </c>
      <c r="H2057">
        <v>77.13</v>
      </c>
    </row>
    <row r="2058" spans="1:8" x14ac:dyDescent="0.3">
      <c r="A2058">
        <v>202105</v>
      </c>
      <c r="B2058" s="1">
        <v>44317</v>
      </c>
      <c r="C2058">
        <v>2021</v>
      </c>
      <c r="D2058" t="s">
        <v>12</v>
      </c>
      <c r="E2058" t="s">
        <v>31</v>
      </c>
      <c r="F2058" t="s">
        <v>40</v>
      </c>
      <c r="G2058" t="s">
        <v>28</v>
      </c>
      <c r="H2058">
        <v>52.32</v>
      </c>
    </row>
    <row r="2059" spans="1:8" x14ac:dyDescent="0.3">
      <c r="A2059">
        <v>202106</v>
      </c>
      <c r="B2059" s="1">
        <v>44348</v>
      </c>
      <c r="C2059">
        <v>2021</v>
      </c>
      <c r="D2059" t="s">
        <v>13</v>
      </c>
      <c r="E2059" t="s">
        <v>31</v>
      </c>
      <c r="F2059" t="s">
        <v>40</v>
      </c>
      <c r="G2059" t="s">
        <v>28</v>
      </c>
      <c r="H2059">
        <v>43.86</v>
      </c>
    </row>
    <row r="2060" spans="1:8" x14ac:dyDescent="0.3">
      <c r="A2060">
        <v>202107</v>
      </c>
      <c r="B2060" s="1">
        <v>44378</v>
      </c>
      <c r="C2060">
        <v>2021</v>
      </c>
      <c r="D2060" t="s">
        <v>14</v>
      </c>
      <c r="E2060" t="s">
        <v>31</v>
      </c>
      <c r="F2060" t="s">
        <v>40</v>
      </c>
      <c r="G2060" t="s">
        <v>28</v>
      </c>
      <c r="H2060">
        <v>49.98</v>
      </c>
    </row>
    <row r="2061" spans="1:8" x14ac:dyDescent="0.3">
      <c r="A2061">
        <v>202108</v>
      </c>
      <c r="B2061" s="1">
        <v>44409</v>
      </c>
      <c r="C2061">
        <v>2021</v>
      </c>
      <c r="D2061" t="s">
        <v>15</v>
      </c>
      <c r="E2061" t="s">
        <v>31</v>
      </c>
      <c r="F2061" t="s">
        <v>40</v>
      </c>
      <c r="G2061" t="s">
        <v>28</v>
      </c>
      <c r="H2061">
        <v>64.03</v>
      </c>
    </row>
    <row r="2062" spans="1:8" x14ac:dyDescent="0.3">
      <c r="A2062">
        <v>202109</v>
      </c>
      <c r="B2062" s="1">
        <v>44440</v>
      </c>
      <c r="C2062">
        <v>2021</v>
      </c>
      <c r="D2062" t="s">
        <v>16</v>
      </c>
      <c r="E2062" t="s">
        <v>31</v>
      </c>
      <c r="F2062" t="s">
        <v>40</v>
      </c>
      <c r="G2062" t="s">
        <v>28</v>
      </c>
      <c r="H2062">
        <v>46.51</v>
      </c>
    </row>
    <row r="2063" spans="1:8" x14ac:dyDescent="0.3">
      <c r="A2063">
        <v>202110</v>
      </c>
      <c r="B2063" s="1">
        <v>44470</v>
      </c>
      <c r="C2063">
        <v>2021</v>
      </c>
      <c r="D2063" t="s">
        <v>17</v>
      </c>
      <c r="E2063" t="s">
        <v>31</v>
      </c>
      <c r="F2063" t="s">
        <v>40</v>
      </c>
      <c r="G2063" t="s">
        <v>28</v>
      </c>
      <c r="H2063">
        <v>55.84</v>
      </c>
    </row>
    <row r="2064" spans="1:8" x14ac:dyDescent="0.3">
      <c r="A2064">
        <v>202111</v>
      </c>
      <c r="B2064" s="1">
        <v>44501</v>
      </c>
      <c r="C2064">
        <v>2021</v>
      </c>
      <c r="D2064" t="s">
        <v>18</v>
      </c>
      <c r="E2064" t="s">
        <v>31</v>
      </c>
      <c r="F2064" t="s">
        <v>40</v>
      </c>
      <c r="G2064" t="s">
        <v>28</v>
      </c>
      <c r="H2064">
        <v>68.34</v>
      </c>
    </row>
    <row r="2065" spans="1:8" x14ac:dyDescent="0.3">
      <c r="A2065">
        <v>202112</v>
      </c>
      <c r="B2065" s="1">
        <v>44531</v>
      </c>
      <c r="C2065">
        <v>2021</v>
      </c>
      <c r="D2065" t="s">
        <v>19</v>
      </c>
      <c r="E2065" t="s">
        <v>31</v>
      </c>
      <c r="F2065" t="s">
        <v>40</v>
      </c>
      <c r="G2065" t="s">
        <v>28</v>
      </c>
      <c r="H2065">
        <v>42.36</v>
      </c>
    </row>
    <row r="2066" spans="1:8" x14ac:dyDescent="0.3">
      <c r="A2066">
        <v>202101</v>
      </c>
      <c r="B2066" s="1">
        <v>44197</v>
      </c>
      <c r="C2066">
        <v>2021</v>
      </c>
      <c r="D2066" t="s">
        <v>6</v>
      </c>
      <c r="E2066" t="s">
        <v>31</v>
      </c>
      <c r="F2066" t="s">
        <v>40</v>
      </c>
      <c r="G2066" t="s">
        <v>28</v>
      </c>
      <c r="H2066">
        <v>324.56</v>
      </c>
    </row>
    <row r="2067" spans="1:8" x14ac:dyDescent="0.3">
      <c r="A2067">
        <v>202102</v>
      </c>
      <c r="B2067" s="1">
        <v>44228</v>
      </c>
      <c r="C2067">
        <v>2021</v>
      </c>
      <c r="D2067" t="s">
        <v>9</v>
      </c>
      <c r="E2067" t="s">
        <v>31</v>
      </c>
      <c r="F2067" t="s">
        <v>40</v>
      </c>
      <c r="G2067" t="s">
        <v>28</v>
      </c>
      <c r="H2067">
        <v>211.57</v>
      </c>
    </row>
    <row r="2068" spans="1:8" x14ac:dyDescent="0.3">
      <c r="A2068">
        <v>202103</v>
      </c>
      <c r="B2068" s="1">
        <v>44256</v>
      </c>
      <c r="C2068">
        <v>2021</v>
      </c>
      <c r="D2068" t="s">
        <v>10</v>
      </c>
      <c r="E2068" t="s">
        <v>31</v>
      </c>
      <c r="F2068" t="s">
        <v>40</v>
      </c>
      <c r="G2068" t="s">
        <v>28</v>
      </c>
      <c r="H2068">
        <v>235.43</v>
      </c>
    </row>
    <row r="2069" spans="1:8" x14ac:dyDescent="0.3">
      <c r="A2069">
        <v>202104</v>
      </c>
      <c r="B2069" s="1">
        <v>44287</v>
      </c>
      <c r="C2069">
        <v>2021</v>
      </c>
      <c r="D2069" t="s">
        <v>11</v>
      </c>
      <c r="E2069" t="s">
        <v>31</v>
      </c>
      <c r="F2069" t="s">
        <v>40</v>
      </c>
      <c r="G2069" t="s">
        <v>28</v>
      </c>
      <c r="H2069">
        <v>312.55</v>
      </c>
    </row>
    <row r="2070" spans="1:8" x14ac:dyDescent="0.3">
      <c r="A2070">
        <v>202105</v>
      </c>
      <c r="B2070" s="1">
        <v>44317</v>
      </c>
      <c r="C2070">
        <v>2021</v>
      </c>
      <c r="D2070" t="s">
        <v>12</v>
      </c>
      <c r="E2070" t="s">
        <v>31</v>
      </c>
      <c r="F2070" t="s">
        <v>40</v>
      </c>
      <c r="G2070" t="s">
        <v>28</v>
      </c>
      <c r="H2070">
        <v>248.01</v>
      </c>
    </row>
    <row r="2071" spans="1:8" x14ac:dyDescent="0.3">
      <c r="A2071">
        <v>202106</v>
      </c>
      <c r="B2071" s="1">
        <v>44348</v>
      </c>
      <c r="C2071">
        <v>2021</v>
      </c>
      <c r="D2071" t="s">
        <v>13</v>
      </c>
      <c r="E2071" t="s">
        <v>31</v>
      </c>
      <c r="F2071" t="s">
        <v>40</v>
      </c>
      <c r="G2071" t="s">
        <v>28</v>
      </c>
      <c r="H2071">
        <v>275.56</v>
      </c>
    </row>
    <row r="2072" spans="1:8" x14ac:dyDescent="0.3">
      <c r="A2072">
        <v>202107</v>
      </c>
      <c r="B2072" s="1">
        <v>44378</v>
      </c>
      <c r="C2072">
        <v>2021</v>
      </c>
      <c r="D2072" t="s">
        <v>14</v>
      </c>
      <c r="E2072" t="s">
        <v>31</v>
      </c>
      <c r="F2072" t="s">
        <v>40</v>
      </c>
      <c r="G2072" t="s">
        <v>28</v>
      </c>
      <c r="H2072">
        <v>270.51</v>
      </c>
    </row>
    <row r="2073" spans="1:8" x14ac:dyDescent="0.3">
      <c r="A2073">
        <v>202108</v>
      </c>
      <c r="B2073" s="1">
        <v>44409</v>
      </c>
      <c r="C2073">
        <v>2021</v>
      </c>
      <c r="D2073" t="s">
        <v>15</v>
      </c>
      <c r="E2073" t="s">
        <v>31</v>
      </c>
      <c r="F2073" t="s">
        <v>40</v>
      </c>
      <c r="G2073" t="s">
        <v>28</v>
      </c>
      <c r="H2073">
        <v>260.8</v>
      </c>
    </row>
    <row r="2074" spans="1:8" x14ac:dyDescent="0.3">
      <c r="A2074">
        <v>202109</v>
      </c>
      <c r="B2074" s="1">
        <v>44440</v>
      </c>
      <c r="C2074">
        <v>2021</v>
      </c>
      <c r="D2074" t="s">
        <v>16</v>
      </c>
      <c r="E2074" t="s">
        <v>31</v>
      </c>
      <c r="F2074" t="s">
        <v>40</v>
      </c>
      <c r="G2074" t="s">
        <v>28</v>
      </c>
      <c r="H2074">
        <v>274.32</v>
      </c>
    </row>
    <row r="2075" spans="1:8" x14ac:dyDescent="0.3">
      <c r="A2075">
        <v>202110</v>
      </c>
      <c r="B2075" s="1">
        <v>44470</v>
      </c>
      <c r="C2075">
        <v>2021</v>
      </c>
      <c r="D2075" t="s">
        <v>17</v>
      </c>
      <c r="E2075" t="s">
        <v>31</v>
      </c>
      <c r="F2075" t="s">
        <v>40</v>
      </c>
      <c r="G2075" t="s">
        <v>28</v>
      </c>
      <c r="H2075">
        <v>291.95999999999998</v>
      </c>
    </row>
    <row r="2076" spans="1:8" x14ac:dyDescent="0.3">
      <c r="A2076">
        <v>202111</v>
      </c>
      <c r="B2076" s="1">
        <v>44501</v>
      </c>
      <c r="C2076">
        <v>2021</v>
      </c>
      <c r="D2076" t="s">
        <v>18</v>
      </c>
      <c r="E2076" t="s">
        <v>31</v>
      </c>
      <c r="F2076" t="s">
        <v>40</v>
      </c>
      <c r="G2076" t="s">
        <v>28</v>
      </c>
      <c r="H2076">
        <v>268.81</v>
      </c>
    </row>
    <row r="2077" spans="1:8" x14ac:dyDescent="0.3">
      <c r="A2077">
        <v>202112</v>
      </c>
      <c r="B2077" s="1">
        <v>44531</v>
      </c>
      <c r="C2077">
        <v>2021</v>
      </c>
      <c r="D2077" t="s">
        <v>19</v>
      </c>
      <c r="E2077" t="s">
        <v>31</v>
      </c>
      <c r="F2077" t="s">
        <v>40</v>
      </c>
      <c r="G2077" t="s">
        <v>28</v>
      </c>
      <c r="H2077">
        <v>272</v>
      </c>
    </row>
    <row r="2078" spans="1:8" x14ac:dyDescent="0.3">
      <c r="A2078">
        <v>202101</v>
      </c>
      <c r="B2078" s="1">
        <v>44197</v>
      </c>
      <c r="C2078">
        <v>2021</v>
      </c>
      <c r="D2078" t="s">
        <v>6</v>
      </c>
      <c r="E2078" t="s">
        <v>32</v>
      </c>
      <c r="F2078" t="s">
        <v>40</v>
      </c>
      <c r="G2078" t="s">
        <v>33</v>
      </c>
      <c r="H2078">
        <v>160.91</v>
      </c>
    </row>
    <row r="2079" spans="1:8" x14ac:dyDescent="0.3">
      <c r="A2079">
        <v>202102</v>
      </c>
      <c r="B2079" s="1">
        <v>44228</v>
      </c>
      <c r="C2079">
        <v>2021</v>
      </c>
      <c r="D2079" t="s">
        <v>9</v>
      </c>
      <c r="E2079" t="s">
        <v>32</v>
      </c>
      <c r="F2079" t="s">
        <v>40</v>
      </c>
      <c r="G2079" t="s">
        <v>33</v>
      </c>
      <c r="H2079">
        <v>112.99</v>
      </c>
    </row>
    <row r="2080" spans="1:8" x14ac:dyDescent="0.3">
      <c r="A2080">
        <v>202103</v>
      </c>
      <c r="B2080" s="1">
        <v>44256</v>
      </c>
      <c r="C2080">
        <v>2021</v>
      </c>
      <c r="D2080" t="s">
        <v>10</v>
      </c>
      <c r="E2080" t="s">
        <v>32</v>
      </c>
      <c r="F2080" t="s">
        <v>40</v>
      </c>
      <c r="G2080" t="s">
        <v>33</v>
      </c>
      <c r="H2080">
        <v>128.22999999999999</v>
      </c>
    </row>
    <row r="2081" spans="1:8" x14ac:dyDescent="0.3">
      <c r="A2081">
        <v>202104</v>
      </c>
      <c r="B2081" s="1">
        <v>44287</v>
      </c>
      <c r="C2081">
        <v>2021</v>
      </c>
      <c r="D2081" t="s">
        <v>11</v>
      </c>
      <c r="E2081" t="s">
        <v>32</v>
      </c>
      <c r="F2081" t="s">
        <v>40</v>
      </c>
      <c r="G2081" t="s">
        <v>33</v>
      </c>
      <c r="H2081">
        <v>206.47</v>
      </c>
    </row>
    <row r="2082" spans="1:8" x14ac:dyDescent="0.3">
      <c r="A2082">
        <v>202105</v>
      </c>
      <c r="B2082" s="1">
        <v>44317</v>
      </c>
      <c r="C2082">
        <v>2021</v>
      </c>
      <c r="D2082" t="s">
        <v>12</v>
      </c>
      <c r="E2082" t="s">
        <v>32</v>
      </c>
      <c r="F2082" t="s">
        <v>40</v>
      </c>
      <c r="G2082" t="s">
        <v>33</v>
      </c>
      <c r="H2082">
        <v>137.59</v>
      </c>
    </row>
    <row r="2083" spans="1:8" x14ac:dyDescent="0.3">
      <c r="A2083">
        <v>202106</v>
      </c>
      <c r="B2083" s="1">
        <v>44348</v>
      </c>
      <c r="C2083">
        <v>2021</v>
      </c>
      <c r="D2083" t="s">
        <v>13</v>
      </c>
      <c r="E2083" t="s">
        <v>32</v>
      </c>
      <c r="F2083" t="s">
        <v>40</v>
      </c>
      <c r="G2083" t="s">
        <v>33</v>
      </c>
      <c r="H2083">
        <v>132.22</v>
      </c>
    </row>
    <row r="2084" spans="1:8" x14ac:dyDescent="0.3">
      <c r="A2084">
        <v>202107</v>
      </c>
      <c r="B2084" s="1">
        <v>44378</v>
      </c>
      <c r="C2084">
        <v>2021</v>
      </c>
      <c r="D2084" t="s">
        <v>14</v>
      </c>
      <c r="E2084" t="s">
        <v>32</v>
      </c>
      <c r="F2084" t="s">
        <v>40</v>
      </c>
      <c r="G2084" t="s">
        <v>33</v>
      </c>
      <c r="H2084">
        <v>134.25</v>
      </c>
    </row>
    <row r="2085" spans="1:8" x14ac:dyDescent="0.3">
      <c r="A2085">
        <v>202108</v>
      </c>
      <c r="B2085" s="1">
        <v>44409</v>
      </c>
      <c r="C2085">
        <v>2021</v>
      </c>
      <c r="D2085" t="s">
        <v>15</v>
      </c>
      <c r="E2085" t="s">
        <v>32</v>
      </c>
      <c r="F2085" t="s">
        <v>40</v>
      </c>
      <c r="G2085" t="s">
        <v>33</v>
      </c>
      <c r="H2085">
        <v>145.97</v>
      </c>
    </row>
    <row r="2086" spans="1:8" x14ac:dyDescent="0.3">
      <c r="A2086">
        <v>202109</v>
      </c>
      <c r="B2086" s="1">
        <v>44440</v>
      </c>
      <c r="C2086">
        <v>2021</v>
      </c>
      <c r="D2086" t="s">
        <v>16</v>
      </c>
      <c r="E2086" t="s">
        <v>32</v>
      </c>
      <c r="F2086" t="s">
        <v>40</v>
      </c>
      <c r="G2086" t="s">
        <v>33</v>
      </c>
      <c r="H2086">
        <v>145.83000000000001</v>
      </c>
    </row>
    <row r="2087" spans="1:8" x14ac:dyDescent="0.3">
      <c r="A2087">
        <v>202110</v>
      </c>
      <c r="B2087" s="1">
        <v>44470</v>
      </c>
      <c r="C2087">
        <v>2021</v>
      </c>
      <c r="D2087" t="s">
        <v>17</v>
      </c>
      <c r="E2087" t="s">
        <v>32</v>
      </c>
      <c r="F2087" t="s">
        <v>40</v>
      </c>
      <c r="G2087" t="s">
        <v>33</v>
      </c>
      <c r="H2087">
        <v>178.59</v>
      </c>
    </row>
    <row r="2088" spans="1:8" x14ac:dyDescent="0.3">
      <c r="A2088">
        <v>202111</v>
      </c>
      <c r="B2088" s="1">
        <v>44501</v>
      </c>
      <c r="C2088">
        <v>2021</v>
      </c>
      <c r="D2088" t="s">
        <v>18</v>
      </c>
      <c r="E2088" t="s">
        <v>32</v>
      </c>
      <c r="F2088" t="s">
        <v>40</v>
      </c>
      <c r="G2088" t="s">
        <v>33</v>
      </c>
      <c r="H2088">
        <v>138.91</v>
      </c>
    </row>
    <row r="2089" spans="1:8" x14ac:dyDescent="0.3">
      <c r="A2089">
        <v>202112</v>
      </c>
      <c r="B2089" s="1">
        <v>44531</v>
      </c>
      <c r="C2089">
        <v>2021</v>
      </c>
      <c r="D2089" t="s">
        <v>19</v>
      </c>
      <c r="E2089" t="s">
        <v>32</v>
      </c>
      <c r="F2089" t="s">
        <v>40</v>
      </c>
      <c r="G2089" t="s">
        <v>33</v>
      </c>
      <c r="H2089">
        <v>132.66</v>
      </c>
    </row>
    <row r="2090" spans="1:8" x14ac:dyDescent="0.3">
      <c r="A2090">
        <v>202101</v>
      </c>
      <c r="B2090" s="1">
        <v>44197</v>
      </c>
      <c r="C2090">
        <v>2021</v>
      </c>
      <c r="D2090" t="s">
        <v>6</v>
      </c>
      <c r="E2090" t="s">
        <v>32</v>
      </c>
      <c r="F2090" t="s">
        <v>40</v>
      </c>
      <c r="G2090" t="s">
        <v>33</v>
      </c>
      <c r="H2090">
        <v>177.66</v>
      </c>
    </row>
    <row r="2091" spans="1:8" x14ac:dyDescent="0.3">
      <c r="A2091">
        <v>202102</v>
      </c>
      <c r="B2091" s="1">
        <v>44228</v>
      </c>
      <c r="C2091">
        <v>2021</v>
      </c>
      <c r="D2091" t="s">
        <v>9</v>
      </c>
      <c r="E2091" t="s">
        <v>32</v>
      </c>
      <c r="F2091" t="s">
        <v>40</v>
      </c>
      <c r="G2091" t="s">
        <v>33</v>
      </c>
      <c r="H2091">
        <v>87.71</v>
      </c>
    </row>
    <row r="2092" spans="1:8" x14ac:dyDescent="0.3">
      <c r="A2092">
        <v>202103</v>
      </c>
      <c r="B2092" s="1">
        <v>44256</v>
      </c>
      <c r="C2092">
        <v>2021</v>
      </c>
      <c r="D2092" t="s">
        <v>10</v>
      </c>
      <c r="E2092" t="s">
        <v>32</v>
      </c>
      <c r="F2092" t="s">
        <v>40</v>
      </c>
      <c r="G2092" t="s">
        <v>33</v>
      </c>
      <c r="H2092">
        <v>151.53</v>
      </c>
    </row>
    <row r="2093" spans="1:8" x14ac:dyDescent="0.3">
      <c r="A2093">
        <v>202104</v>
      </c>
      <c r="B2093" s="1">
        <v>44287</v>
      </c>
      <c r="C2093">
        <v>2021</v>
      </c>
      <c r="D2093" t="s">
        <v>11</v>
      </c>
      <c r="E2093" t="s">
        <v>32</v>
      </c>
      <c r="F2093" t="s">
        <v>40</v>
      </c>
      <c r="G2093" t="s">
        <v>33</v>
      </c>
      <c r="H2093">
        <v>138.57</v>
      </c>
    </row>
    <row r="2094" spans="1:8" x14ac:dyDescent="0.3">
      <c r="A2094">
        <v>202105</v>
      </c>
      <c r="B2094" s="1">
        <v>44317</v>
      </c>
      <c r="C2094">
        <v>2021</v>
      </c>
      <c r="D2094" t="s">
        <v>12</v>
      </c>
      <c r="E2094" t="s">
        <v>32</v>
      </c>
      <c r="F2094" t="s">
        <v>40</v>
      </c>
      <c r="G2094" t="s">
        <v>33</v>
      </c>
      <c r="H2094">
        <v>106.04</v>
      </c>
    </row>
    <row r="2095" spans="1:8" x14ac:dyDescent="0.3">
      <c r="A2095">
        <v>202106</v>
      </c>
      <c r="B2095" s="1">
        <v>44348</v>
      </c>
      <c r="C2095">
        <v>2021</v>
      </c>
      <c r="D2095" t="s">
        <v>13</v>
      </c>
      <c r="E2095" t="s">
        <v>32</v>
      </c>
      <c r="F2095" t="s">
        <v>40</v>
      </c>
      <c r="G2095" t="s">
        <v>33</v>
      </c>
      <c r="H2095">
        <v>97.9</v>
      </c>
    </row>
    <row r="2096" spans="1:8" x14ac:dyDescent="0.3">
      <c r="A2096">
        <v>202107</v>
      </c>
      <c r="B2096" s="1">
        <v>44378</v>
      </c>
      <c r="C2096">
        <v>2021</v>
      </c>
      <c r="D2096" t="s">
        <v>14</v>
      </c>
      <c r="E2096" t="s">
        <v>32</v>
      </c>
      <c r="F2096" t="s">
        <v>40</v>
      </c>
      <c r="G2096" t="s">
        <v>33</v>
      </c>
      <c r="H2096">
        <v>126.02</v>
      </c>
    </row>
    <row r="2097" spans="1:8" x14ac:dyDescent="0.3">
      <c r="A2097">
        <v>202108</v>
      </c>
      <c r="B2097" s="1">
        <v>44409</v>
      </c>
      <c r="C2097">
        <v>2021</v>
      </c>
      <c r="D2097" t="s">
        <v>15</v>
      </c>
      <c r="E2097" t="s">
        <v>32</v>
      </c>
      <c r="F2097" t="s">
        <v>40</v>
      </c>
      <c r="G2097" t="s">
        <v>33</v>
      </c>
      <c r="H2097">
        <v>119.2</v>
      </c>
    </row>
    <row r="2098" spans="1:8" x14ac:dyDescent="0.3">
      <c r="A2098">
        <v>202109</v>
      </c>
      <c r="B2098" s="1">
        <v>44440</v>
      </c>
      <c r="C2098">
        <v>2021</v>
      </c>
      <c r="D2098" t="s">
        <v>16</v>
      </c>
      <c r="E2098" t="s">
        <v>32</v>
      </c>
      <c r="F2098" t="s">
        <v>40</v>
      </c>
      <c r="G2098" t="s">
        <v>33</v>
      </c>
      <c r="H2098">
        <v>99.97</v>
      </c>
    </row>
    <row r="2099" spans="1:8" x14ac:dyDescent="0.3">
      <c r="A2099">
        <v>202110</v>
      </c>
      <c r="B2099" s="1">
        <v>44470</v>
      </c>
      <c r="C2099">
        <v>2021</v>
      </c>
      <c r="D2099" t="s">
        <v>17</v>
      </c>
      <c r="E2099" t="s">
        <v>32</v>
      </c>
      <c r="F2099" t="s">
        <v>40</v>
      </c>
      <c r="G2099" t="s">
        <v>33</v>
      </c>
      <c r="H2099">
        <v>128.33000000000001</v>
      </c>
    </row>
    <row r="2100" spans="1:8" x14ac:dyDescent="0.3">
      <c r="A2100">
        <v>202111</v>
      </c>
      <c r="B2100" s="1">
        <v>44501</v>
      </c>
      <c r="C2100">
        <v>2021</v>
      </c>
      <c r="D2100" t="s">
        <v>18</v>
      </c>
      <c r="E2100" t="s">
        <v>32</v>
      </c>
      <c r="F2100" t="s">
        <v>40</v>
      </c>
      <c r="G2100" t="s">
        <v>33</v>
      </c>
      <c r="H2100">
        <v>124.08</v>
      </c>
    </row>
    <row r="2101" spans="1:8" x14ac:dyDescent="0.3">
      <c r="A2101">
        <v>202112</v>
      </c>
      <c r="B2101" s="1">
        <v>44531</v>
      </c>
      <c r="C2101">
        <v>2021</v>
      </c>
      <c r="D2101" t="s">
        <v>19</v>
      </c>
      <c r="E2101" t="s">
        <v>32</v>
      </c>
      <c r="F2101" t="s">
        <v>40</v>
      </c>
      <c r="G2101" t="s">
        <v>33</v>
      </c>
      <c r="H2101">
        <v>132.76</v>
      </c>
    </row>
    <row r="2102" spans="1:8" x14ac:dyDescent="0.3">
      <c r="A2102">
        <v>202101</v>
      </c>
      <c r="B2102" s="1">
        <v>44197</v>
      </c>
      <c r="C2102">
        <v>2021</v>
      </c>
      <c r="D2102" t="s">
        <v>6</v>
      </c>
      <c r="E2102" t="s">
        <v>32</v>
      </c>
      <c r="F2102" t="s">
        <v>40</v>
      </c>
      <c r="G2102" t="s">
        <v>33</v>
      </c>
      <c r="H2102">
        <v>54.76</v>
      </c>
    </row>
    <row r="2103" spans="1:8" x14ac:dyDescent="0.3">
      <c r="A2103">
        <v>202102</v>
      </c>
      <c r="B2103" s="1">
        <v>44228</v>
      </c>
      <c r="C2103">
        <v>2021</v>
      </c>
      <c r="D2103" t="s">
        <v>9</v>
      </c>
      <c r="E2103" t="s">
        <v>32</v>
      </c>
      <c r="F2103" t="s">
        <v>40</v>
      </c>
      <c r="G2103" t="s">
        <v>33</v>
      </c>
      <c r="H2103">
        <v>40.33</v>
      </c>
    </row>
    <row r="2104" spans="1:8" x14ac:dyDescent="0.3">
      <c r="A2104">
        <v>202103</v>
      </c>
      <c r="B2104" s="1">
        <v>44256</v>
      </c>
      <c r="C2104">
        <v>2021</v>
      </c>
      <c r="D2104" t="s">
        <v>10</v>
      </c>
      <c r="E2104" t="s">
        <v>32</v>
      </c>
      <c r="F2104" t="s">
        <v>40</v>
      </c>
      <c r="G2104" t="s">
        <v>33</v>
      </c>
      <c r="H2104">
        <v>38.6</v>
      </c>
    </row>
    <row r="2105" spans="1:8" x14ac:dyDescent="0.3">
      <c r="A2105">
        <v>202104</v>
      </c>
      <c r="B2105" s="1">
        <v>44287</v>
      </c>
      <c r="C2105">
        <v>2021</v>
      </c>
      <c r="D2105" t="s">
        <v>11</v>
      </c>
      <c r="E2105" t="s">
        <v>32</v>
      </c>
      <c r="F2105" t="s">
        <v>40</v>
      </c>
      <c r="G2105" t="s">
        <v>33</v>
      </c>
      <c r="H2105">
        <v>46.44</v>
      </c>
    </row>
    <row r="2106" spans="1:8" x14ac:dyDescent="0.3">
      <c r="A2106">
        <v>202105</v>
      </c>
      <c r="B2106" s="1">
        <v>44317</v>
      </c>
      <c r="C2106">
        <v>2021</v>
      </c>
      <c r="D2106" t="s">
        <v>12</v>
      </c>
      <c r="E2106" t="s">
        <v>32</v>
      </c>
      <c r="F2106" t="s">
        <v>40</v>
      </c>
      <c r="G2106" t="s">
        <v>33</v>
      </c>
      <c r="H2106">
        <v>35.17</v>
      </c>
    </row>
    <row r="2107" spans="1:8" x14ac:dyDescent="0.3">
      <c r="A2107">
        <v>202106</v>
      </c>
      <c r="B2107" s="1">
        <v>44348</v>
      </c>
      <c r="C2107">
        <v>2021</v>
      </c>
      <c r="D2107" t="s">
        <v>13</v>
      </c>
      <c r="E2107" t="s">
        <v>32</v>
      </c>
      <c r="F2107" t="s">
        <v>40</v>
      </c>
      <c r="G2107" t="s">
        <v>33</v>
      </c>
      <c r="H2107">
        <v>34.130000000000003</v>
      </c>
    </row>
    <row r="2108" spans="1:8" x14ac:dyDescent="0.3">
      <c r="A2108">
        <v>202107</v>
      </c>
      <c r="B2108" s="1">
        <v>44378</v>
      </c>
      <c r="C2108">
        <v>2021</v>
      </c>
      <c r="D2108" t="s">
        <v>14</v>
      </c>
      <c r="E2108" t="s">
        <v>32</v>
      </c>
      <c r="F2108" t="s">
        <v>40</v>
      </c>
      <c r="G2108" t="s">
        <v>33</v>
      </c>
      <c r="H2108">
        <v>45.62</v>
      </c>
    </row>
    <row r="2109" spans="1:8" x14ac:dyDescent="0.3">
      <c r="A2109">
        <v>202108</v>
      </c>
      <c r="B2109" s="1">
        <v>44409</v>
      </c>
      <c r="C2109">
        <v>2021</v>
      </c>
      <c r="D2109" t="s">
        <v>15</v>
      </c>
      <c r="E2109" t="s">
        <v>32</v>
      </c>
      <c r="F2109" t="s">
        <v>40</v>
      </c>
      <c r="G2109" t="s">
        <v>33</v>
      </c>
      <c r="H2109">
        <v>42.3</v>
      </c>
    </row>
    <row r="2110" spans="1:8" x14ac:dyDescent="0.3">
      <c r="A2110">
        <v>202109</v>
      </c>
      <c r="B2110" s="1">
        <v>44440</v>
      </c>
      <c r="C2110">
        <v>2021</v>
      </c>
      <c r="D2110" t="s">
        <v>16</v>
      </c>
      <c r="E2110" t="s">
        <v>32</v>
      </c>
      <c r="F2110" t="s">
        <v>40</v>
      </c>
      <c r="G2110" t="s">
        <v>33</v>
      </c>
      <c r="H2110">
        <v>48.49</v>
      </c>
    </row>
    <row r="2111" spans="1:8" x14ac:dyDescent="0.3">
      <c r="A2111">
        <v>202110</v>
      </c>
      <c r="B2111" s="1">
        <v>44470</v>
      </c>
      <c r="C2111">
        <v>2021</v>
      </c>
      <c r="D2111" t="s">
        <v>17</v>
      </c>
      <c r="E2111" t="s">
        <v>32</v>
      </c>
      <c r="F2111" t="s">
        <v>40</v>
      </c>
      <c r="G2111" t="s">
        <v>33</v>
      </c>
      <c r="H2111">
        <v>37.25</v>
      </c>
    </row>
    <row r="2112" spans="1:8" x14ac:dyDescent="0.3">
      <c r="A2112">
        <v>202111</v>
      </c>
      <c r="B2112" s="1">
        <v>44501</v>
      </c>
      <c r="C2112">
        <v>2021</v>
      </c>
      <c r="D2112" t="s">
        <v>18</v>
      </c>
      <c r="E2112" t="s">
        <v>32</v>
      </c>
      <c r="F2112" t="s">
        <v>40</v>
      </c>
      <c r="G2112" t="s">
        <v>33</v>
      </c>
      <c r="H2112">
        <v>40.450000000000003</v>
      </c>
    </row>
    <row r="2113" spans="1:8" x14ac:dyDescent="0.3">
      <c r="A2113">
        <v>202112</v>
      </c>
      <c r="B2113" s="1">
        <v>44531</v>
      </c>
      <c r="C2113">
        <v>2021</v>
      </c>
      <c r="D2113" t="s">
        <v>19</v>
      </c>
      <c r="E2113" t="s">
        <v>32</v>
      </c>
      <c r="F2113" t="s">
        <v>40</v>
      </c>
      <c r="G2113" t="s">
        <v>33</v>
      </c>
      <c r="H2113">
        <v>60.73</v>
      </c>
    </row>
    <row r="2114" spans="1:8" x14ac:dyDescent="0.3">
      <c r="A2114">
        <v>202101</v>
      </c>
      <c r="B2114" s="1">
        <v>44197</v>
      </c>
      <c r="C2114">
        <v>2021</v>
      </c>
      <c r="D2114" t="s">
        <v>6</v>
      </c>
      <c r="E2114" t="s">
        <v>32</v>
      </c>
      <c r="F2114" t="s">
        <v>40</v>
      </c>
      <c r="G2114" t="s">
        <v>33</v>
      </c>
      <c r="H2114">
        <v>256.7</v>
      </c>
    </row>
    <row r="2115" spans="1:8" x14ac:dyDescent="0.3">
      <c r="A2115">
        <v>202102</v>
      </c>
      <c r="B2115" s="1">
        <v>44228</v>
      </c>
      <c r="C2115">
        <v>2021</v>
      </c>
      <c r="D2115" t="s">
        <v>9</v>
      </c>
      <c r="E2115" t="s">
        <v>32</v>
      </c>
      <c r="F2115" t="s">
        <v>40</v>
      </c>
      <c r="G2115" t="s">
        <v>33</v>
      </c>
      <c r="H2115">
        <v>161.91</v>
      </c>
    </row>
    <row r="2116" spans="1:8" x14ac:dyDescent="0.3">
      <c r="A2116">
        <v>202103</v>
      </c>
      <c r="B2116" s="1">
        <v>44256</v>
      </c>
      <c r="C2116">
        <v>2021</v>
      </c>
      <c r="D2116" t="s">
        <v>10</v>
      </c>
      <c r="E2116" t="s">
        <v>32</v>
      </c>
      <c r="F2116" t="s">
        <v>40</v>
      </c>
      <c r="G2116" t="s">
        <v>33</v>
      </c>
      <c r="H2116">
        <v>185.63</v>
      </c>
    </row>
    <row r="2117" spans="1:8" x14ac:dyDescent="0.3">
      <c r="A2117">
        <v>202104</v>
      </c>
      <c r="B2117" s="1">
        <v>44287</v>
      </c>
      <c r="C2117">
        <v>2021</v>
      </c>
      <c r="D2117" t="s">
        <v>11</v>
      </c>
      <c r="E2117" t="s">
        <v>32</v>
      </c>
      <c r="F2117" t="s">
        <v>40</v>
      </c>
      <c r="G2117" t="s">
        <v>33</v>
      </c>
      <c r="H2117">
        <v>268.83999999999997</v>
      </c>
    </row>
    <row r="2118" spans="1:8" x14ac:dyDescent="0.3">
      <c r="A2118">
        <v>202105</v>
      </c>
      <c r="B2118" s="1">
        <v>44317</v>
      </c>
      <c r="C2118">
        <v>2021</v>
      </c>
      <c r="D2118" t="s">
        <v>12</v>
      </c>
      <c r="E2118" t="s">
        <v>32</v>
      </c>
      <c r="F2118" t="s">
        <v>40</v>
      </c>
      <c r="G2118" t="s">
        <v>33</v>
      </c>
      <c r="H2118">
        <v>194.08</v>
      </c>
    </row>
    <row r="2119" spans="1:8" x14ac:dyDescent="0.3">
      <c r="A2119">
        <v>202106</v>
      </c>
      <c r="B2119" s="1">
        <v>44348</v>
      </c>
      <c r="C2119">
        <v>2021</v>
      </c>
      <c r="D2119" t="s">
        <v>13</v>
      </c>
      <c r="E2119" t="s">
        <v>32</v>
      </c>
      <c r="F2119" t="s">
        <v>40</v>
      </c>
      <c r="G2119" t="s">
        <v>33</v>
      </c>
      <c r="H2119">
        <v>210.43</v>
      </c>
    </row>
    <row r="2120" spans="1:8" x14ac:dyDescent="0.3">
      <c r="A2120">
        <v>202107</v>
      </c>
      <c r="B2120" s="1">
        <v>44378</v>
      </c>
      <c r="C2120">
        <v>2021</v>
      </c>
      <c r="D2120" t="s">
        <v>14</v>
      </c>
      <c r="E2120" t="s">
        <v>32</v>
      </c>
      <c r="F2120" t="s">
        <v>40</v>
      </c>
      <c r="G2120" t="s">
        <v>33</v>
      </c>
      <c r="H2120">
        <v>221</v>
      </c>
    </row>
    <row r="2121" spans="1:8" x14ac:dyDescent="0.3">
      <c r="A2121">
        <v>202108</v>
      </c>
      <c r="B2121" s="1">
        <v>44409</v>
      </c>
      <c r="C2121">
        <v>2021</v>
      </c>
      <c r="D2121" t="s">
        <v>15</v>
      </c>
      <c r="E2121" t="s">
        <v>32</v>
      </c>
      <c r="F2121" t="s">
        <v>40</v>
      </c>
      <c r="G2121" t="s">
        <v>33</v>
      </c>
      <c r="H2121">
        <v>217.8</v>
      </c>
    </row>
    <row r="2122" spans="1:8" x14ac:dyDescent="0.3">
      <c r="A2122">
        <v>202109</v>
      </c>
      <c r="B2122" s="1">
        <v>44440</v>
      </c>
      <c r="C2122">
        <v>2021</v>
      </c>
      <c r="D2122" t="s">
        <v>16</v>
      </c>
      <c r="E2122" t="s">
        <v>32</v>
      </c>
      <c r="F2122" t="s">
        <v>40</v>
      </c>
      <c r="G2122" t="s">
        <v>33</v>
      </c>
      <c r="H2122">
        <v>206.97</v>
      </c>
    </row>
    <row r="2123" spans="1:8" x14ac:dyDescent="0.3">
      <c r="A2123">
        <v>202110</v>
      </c>
      <c r="B2123" s="1">
        <v>44470</v>
      </c>
      <c r="C2123">
        <v>2021</v>
      </c>
      <c r="D2123" t="s">
        <v>17</v>
      </c>
      <c r="E2123" t="s">
        <v>32</v>
      </c>
      <c r="F2123" t="s">
        <v>40</v>
      </c>
      <c r="G2123" t="s">
        <v>33</v>
      </c>
      <c r="H2123">
        <v>208.62</v>
      </c>
    </row>
    <row r="2124" spans="1:8" x14ac:dyDescent="0.3">
      <c r="A2124">
        <v>202111</v>
      </c>
      <c r="B2124" s="1">
        <v>44501</v>
      </c>
      <c r="C2124">
        <v>2021</v>
      </c>
      <c r="D2124" t="s">
        <v>18</v>
      </c>
      <c r="E2124" t="s">
        <v>32</v>
      </c>
      <c r="F2124" t="s">
        <v>40</v>
      </c>
      <c r="G2124" t="s">
        <v>33</v>
      </c>
      <c r="H2124">
        <v>252.02</v>
      </c>
    </row>
    <row r="2125" spans="1:8" x14ac:dyDescent="0.3">
      <c r="A2125">
        <v>202112</v>
      </c>
      <c r="B2125" s="1">
        <v>44531</v>
      </c>
      <c r="C2125">
        <v>2021</v>
      </c>
      <c r="D2125" t="s">
        <v>19</v>
      </c>
      <c r="E2125" t="s">
        <v>32</v>
      </c>
      <c r="F2125" t="s">
        <v>40</v>
      </c>
      <c r="G2125" t="s">
        <v>33</v>
      </c>
      <c r="H2125">
        <v>217.36</v>
      </c>
    </row>
    <row r="2126" spans="1:8" x14ac:dyDescent="0.3">
      <c r="A2126">
        <v>202101</v>
      </c>
      <c r="B2126" s="1">
        <v>44197</v>
      </c>
      <c r="C2126">
        <v>2021</v>
      </c>
      <c r="D2126" t="s">
        <v>6</v>
      </c>
      <c r="E2126" t="s">
        <v>34</v>
      </c>
      <c r="F2126" t="s">
        <v>40</v>
      </c>
      <c r="G2126" t="s">
        <v>33</v>
      </c>
      <c r="H2126">
        <v>262.44</v>
      </c>
    </row>
    <row r="2127" spans="1:8" x14ac:dyDescent="0.3">
      <c r="A2127">
        <v>202102</v>
      </c>
      <c r="B2127" s="1">
        <v>44228</v>
      </c>
      <c r="C2127">
        <v>2021</v>
      </c>
      <c r="D2127" t="s">
        <v>9</v>
      </c>
      <c r="E2127" t="s">
        <v>34</v>
      </c>
      <c r="F2127" t="s">
        <v>40</v>
      </c>
      <c r="G2127" t="s">
        <v>33</v>
      </c>
      <c r="H2127">
        <v>131.09</v>
      </c>
    </row>
    <row r="2128" spans="1:8" x14ac:dyDescent="0.3">
      <c r="A2128">
        <v>202103</v>
      </c>
      <c r="B2128" s="1">
        <v>44256</v>
      </c>
      <c r="C2128">
        <v>2021</v>
      </c>
      <c r="D2128" t="s">
        <v>10</v>
      </c>
      <c r="E2128" t="s">
        <v>34</v>
      </c>
      <c r="F2128" t="s">
        <v>40</v>
      </c>
      <c r="G2128" t="s">
        <v>33</v>
      </c>
      <c r="H2128">
        <v>151.86000000000001</v>
      </c>
    </row>
    <row r="2129" spans="1:8" x14ac:dyDescent="0.3">
      <c r="A2129">
        <v>202104</v>
      </c>
      <c r="B2129" s="1">
        <v>44287</v>
      </c>
      <c r="C2129">
        <v>2021</v>
      </c>
      <c r="D2129" t="s">
        <v>11</v>
      </c>
      <c r="E2129" t="s">
        <v>34</v>
      </c>
      <c r="F2129" t="s">
        <v>40</v>
      </c>
      <c r="G2129" t="s">
        <v>33</v>
      </c>
      <c r="H2129">
        <v>265.75</v>
      </c>
    </row>
    <row r="2130" spans="1:8" x14ac:dyDescent="0.3">
      <c r="A2130">
        <v>202105</v>
      </c>
      <c r="B2130" s="1">
        <v>44317</v>
      </c>
      <c r="C2130">
        <v>2021</v>
      </c>
      <c r="D2130" t="s">
        <v>12</v>
      </c>
      <c r="E2130" t="s">
        <v>34</v>
      </c>
      <c r="F2130" t="s">
        <v>40</v>
      </c>
      <c r="G2130" t="s">
        <v>33</v>
      </c>
      <c r="H2130">
        <v>194.16</v>
      </c>
    </row>
    <row r="2131" spans="1:8" x14ac:dyDescent="0.3">
      <c r="A2131">
        <v>202106</v>
      </c>
      <c r="B2131" s="1">
        <v>44348</v>
      </c>
      <c r="C2131">
        <v>2021</v>
      </c>
      <c r="D2131" t="s">
        <v>13</v>
      </c>
      <c r="E2131" t="s">
        <v>34</v>
      </c>
      <c r="F2131" t="s">
        <v>40</v>
      </c>
      <c r="G2131" t="s">
        <v>33</v>
      </c>
      <c r="H2131">
        <v>200.63</v>
      </c>
    </row>
    <row r="2132" spans="1:8" x14ac:dyDescent="0.3">
      <c r="A2132">
        <v>202107</v>
      </c>
      <c r="B2132" s="1">
        <v>44378</v>
      </c>
      <c r="C2132">
        <v>2021</v>
      </c>
      <c r="D2132" t="s">
        <v>14</v>
      </c>
      <c r="E2132" t="s">
        <v>34</v>
      </c>
      <c r="F2132" t="s">
        <v>40</v>
      </c>
      <c r="G2132" t="s">
        <v>33</v>
      </c>
      <c r="H2132">
        <v>186.16</v>
      </c>
    </row>
    <row r="2133" spans="1:8" x14ac:dyDescent="0.3">
      <c r="A2133">
        <v>202108</v>
      </c>
      <c r="B2133" s="1">
        <v>44409</v>
      </c>
      <c r="C2133">
        <v>2021</v>
      </c>
      <c r="D2133" t="s">
        <v>15</v>
      </c>
      <c r="E2133" t="s">
        <v>34</v>
      </c>
      <c r="F2133" t="s">
        <v>40</v>
      </c>
      <c r="G2133" t="s">
        <v>33</v>
      </c>
      <c r="H2133">
        <v>169.57</v>
      </c>
    </row>
    <row r="2134" spans="1:8" x14ac:dyDescent="0.3">
      <c r="A2134">
        <v>202109</v>
      </c>
      <c r="B2134" s="1">
        <v>44440</v>
      </c>
      <c r="C2134">
        <v>2021</v>
      </c>
      <c r="D2134" t="s">
        <v>16</v>
      </c>
      <c r="E2134" t="s">
        <v>34</v>
      </c>
      <c r="F2134" t="s">
        <v>40</v>
      </c>
      <c r="G2134" t="s">
        <v>33</v>
      </c>
      <c r="H2134">
        <v>155.83000000000001</v>
      </c>
    </row>
    <row r="2135" spans="1:8" x14ac:dyDescent="0.3">
      <c r="A2135">
        <v>202110</v>
      </c>
      <c r="B2135" s="1">
        <v>44470</v>
      </c>
      <c r="C2135">
        <v>2021</v>
      </c>
      <c r="D2135" t="s">
        <v>17</v>
      </c>
      <c r="E2135" t="s">
        <v>34</v>
      </c>
      <c r="F2135" t="s">
        <v>40</v>
      </c>
      <c r="G2135" t="s">
        <v>33</v>
      </c>
      <c r="H2135">
        <v>187.33</v>
      </c>
    </row>
    <row r="2136" spans="1:8" x14ac:dyDescent="0.3">
      <c r="A2136">
        <v>202111</v>
      </c>
      <c r="B2136" s="1">
        <v>44501</v>
      </c>
      <c r="C2136">
        <v>2021</v>
      </c>
      <c r="D2136" t="s">
        <v>18</v>
      </c>
      <c r="E2136" t="s">
        <v>34</v>
      </c>
      <c r="F2136" t="s">
        <v>40</v>
      </c>
      <c r="G2136" t="s">
        <v>33</v>
      </c>
      <c r="H2136">
        <v>207.38</v>
      </c>
    </row>
    <row r="2137" spans="1:8" x14ac:dyDescent="0.3">
      <c r="A2137">
        <v>202112</v>
      </c>
      <c r="B2137" s="1">
        <v>44531</v>
      </c>
      <c r="C2137">
        <v>2021</v>
      </c>
      <c r="D2137" t="s">
        <v>19</v>
      </c>
      <c r="E2137" t="s">
        <v>34</v>
      </c>
      <c r="F2137" t="s">
        <v>40</v>
      </c>
      <c r="G2137" t="s">
        <v>33</v>
      </c>
      <c r="H2137">
        <v>202.36</v>
      </c>
    </row>
    <row r="2138" spans="1:8" x14ac:dyDescent="0.3">
      <c r="A2138">
        <v>202101</v>
      </c>
      <c r="B2138" s="1">
        <v>44197</v>
      </c>
      <c r="C2138">
        <v>2021</v>
      </c>
      <c r="D2138" t="s">
        <v>6</v>
      </c>
      <c r="E2138" t="s">
        <v>34</v>
      </c>
      <c r="F2138" t="s">
        <v>40</v>
      </c>
      <c r="G2138" t="s">
        <v>33</v>
      </c>
      <c r="H2138">
        <v>150.72</v>
      </c>
    </row>
    <row r="2139" spans="1:8" x14ac:dyDescent="0.3">
      <c r="A2139">
        <v>202102</v>
      </c>
      <c r="B2139" s="1">
        <v>44228</v>
      </c>
      <c r="C2139">
        <v>2021</v>
      </c>
      <c r="D2139" t="s">
        <v>9</v>
      </c>
      <c r="E2139" t="s">
        <v>34</v>
      </c>
      <c r="F2139" t="s">
        <v>40</v>
      </c>
      <c r="G2139" t="s">
        <v>33</v>
      </c>
      <c r="H2139">
        <v>118.09</v>
      </c>
    </row>
    <row r="2140" spans="1:8" x14ac:dyDescent="0.3">
      <c r="A2140">
        <v>202103</v>
      </c>
      <c r="B2140" s="1">
        <v>44256</v>
      </c>
      <c r="C2140">
        <v>2021</v>
      </c>
      <c r="D2140" t="s">
        <v>10</v>
      </c>
      <c r="E2140" t="s">
        <v>34</v>
      </c>
      <c r="F2140" t="s">
        <v>40</v>
      </c>
      <c r="G2140" t="s">
        <v>33</v>
      </c>
      <c r="H2140">
        <v>126.26</v>
      </c>
    </row>
    <row r="2141" spans="1:8" x14ac:dyDescent="0.3">
      <c r="A2141">
        <v>202104</v>
      </c>
      <c r="B2141" s="1">
        <v>44287</v>
      </c>
      <c r="C2141">
        <v>2021</v>
      </c>
      <c r="D2141" t="s">
        <v>11</v>
      </c>
      <c r="E2141" t="s">
        <v>34</v>
      </c>
      <c r="F2141" t="s">
        <v>40</v>
      </c>
      <c r="G2141" t="s">
        <v>33</v>
      </c>
      <c r="H2141">
        <v>154.55000000000001</v>
      </c>
    </row>
    <row r="2142" spans="1:8" x14ac:dyDescent="0.3">
      <c r="A2142">
        <v>202105</v>
      </c>
      <c r="B2142" s="1">
        <v>44317</v>
      </c>
      <c r="C2142">
        <v>2021</v>
      </c>
      <c r="D2142" t="s">
        <v>12</v>
      </c>
      <c r="E2142" t="s">
        <v>34</v>
      </c>
      <c r="F2142" t="s">
        <v>40</v>
      </c>
      <c r="G2142" t="s">
        <v>33</v>
      </c>
      <c r="H2142">
        <v>132.25</v>
      </c>
    </row>
    <row r="2143" spans="1:8" x14ac:dyDescent="0.3">
      <c r="A2143">
        <v>202106</v>
      </c>
      <c r="B2143" s="1">
        <v>44348</v>
      </c>
      <c r="C2143">
        <v>2021</v>
      </c>
      <c r="D2143" t="s">
        <v>13</v>
      </c>
      <c r="E2143" t="s">
        <v>34</v>
      </c>
      <c r="F2143" t="s">
        <v>40</v>
      </c>
      <c r="G2143" t="s">
        <v>33</v>
      </c>
      <c r="H2143">
        <v>130</v>
      </c>
    </row>
    <row r="2144" spans="1:8" x14ac:dyDescent="0.3">
      <c r="A2144">
        <v>202107</v>
      </c>
      <c r="B2144" s="1">
        <v>44378</v>
      </c>
      <c r="C2144">
        <v>2021</v>
      </c>
      <c r="D2144" t="s">
        <v>14</v>
      </c>
      <c r="E2144" t="s">
        <v>34</v>
      </c>
      <c r="F2144" t="s">
        <v>40</v>
      </c>
      <c r="G2144" t="s">
        <v>33</v>
      </c>
      <c r="H2144">
        <v>110.04</v>
      </c>
    </row>
    <row r="2145" spans="1:8" x14ac:dyDescent="0.3">
      <c r="A2145">
        <v>202108</v>
      </c>
      <c r="B2145" s="1">
        <v>44409</v>
      </c>
      <c r="C2145">
        <v>2021</v>
      </c>
      <c r="D2145" t="s">
        <v>15</v>
      </c>
      <c r="E2145" t="s">
        <v>34</v>
      </c>
      <c r="F2145" t="s">
        <v>40</v>
      </c>
      <c r="G2145" t="s">
        <v>33</v>
      </c>
      <c r="H2145">
        <v>147.31</v>
      </c>
    </row>
    <row r="2146" spans="1:8" x14ac:dyDescent="0.3">
      <c r="A2146">
        <v>202109</v>
      </c>
      <c r="B2146" s="1">
        <v>44440</v>
      </c>
      <c r="C2146">
        <v>2021</v>
      </c>
      <c r="D2146" t="s">
        <v>16</v>
      </c>
      <c r="E2146" t="s">
        <v>34</v>
      </c>
      <c r="F2146" t="s">
        <v>40</v>
      </c>
      <c r="G2146" t="s">
        <v>33</v>
      </c>
      <c r="H2146">
        <v>111</v>
      </c>
    </row>
    <row r="2147" spans="1:8" x14ac:dyDescent="0.3">
      <c r="A2147">
        <v>202110</v>
      </c>
      <c r="B2147" s="1">
        <v>44470</v>
      </c>
      <c r="C2147">
        <v>2021</v>
      </c>
      <c r="D2147" t="s">
        <v>17</v>
      </c>
      <c r="E2147" t="s">
        <v>34</v>
      </c>
      <c r="F2147" t="s">
        <v>40</v>
      </c>
      <c r="G2147" t="s">
        <v>33</v>
      </c>
      <c r="H2147">
        <v>122.58</v>
      </c>
    </row>
    <row r="2148" spans="1:8" x14ac:dyDescent="0.3">
      <c r="A2148">
        <v>202111</v>
      </c>
      <c r="B2148" s="1">
        <v>44501</v>
      </c>
      <c r="C2148">
        <v>2021</v>
      </c>
      <c r="D2148" t="s">
        <v>18</v>
      </c>
      <c r="E2148" t="s">
        <v>34</v>
      </c>
      <c r="F2148" t="s">
        <v>40</v>
      </c>
      <c r="G2148" t="s">
        <v>33</v>
      </c>
      <c r="H2148">
        <v>134.44999999999999</v>
      </c>
    </row>
    <row r="2149" spans="1:8" x14ac:dyDescent="0.3">
      <c r="A2149">
        <v>202112</v>
      </c>
      <c r="B2149" s="1">
        <v>44531</v>
      </c>
      <c r="C2149">
        <v>2021</v>
      </c>
      <c r="D2149" t="s">
        <v>19</v>
      </c>
      <c r="E2149" t="s">
        <v>34</v>
      </c>
      <c r="F2149" t="s">
        <v>40</v>
      </c>
      <c r="G2149" t="s">
        <v>33</v>
      </c>
      <c r="H2149">
        <v>166.64</v>
      </c>
    </row>
    <row r="2150" spans="1:8" x14ac:dyDescent="0.3">
      <c r="A2150">
        <v>202101</v>
      </c>
      <c r="B2150" s="1">
        <v>44197</v>
      </c>
      <c r="C2150">
        <v>2021</v>
      </c>
      <c r="D2150" t="s">
        <v>6</v>
      </c>
      <c r="E2150" t="s">
        <v>34</v>
      </c>
      <c r="F2150" t="s">
        <v>40</v>
      </c>
      <c r="G2150" t="s">
        <v>33</v>
      </c>
      <c r="H2150">
        <v>146.05000000000001</v>
      </c>
    </row>
    <row r="2151" spans="1:8" x14ac:dyDescent="0.3">
      <c r="A2151">
        <v>202102</v>
      </c>
      <c r="B2151" s="1">
        <v>44228</v>
      </c>
      <c r="C2151">
        <v>2021</v>
      </c>
      <c r="D2151" t="s">
        <v>9</v>
      </c>
      <c r="E2151" t="s">
        <v>34</v>
      </c>
      <c r="F2151" t="s">
        <v>40</v>
      </c>
      <c r="G2151" t="s">
        <v>33</v>
      </c>
      <c r="H2151">
        <v>86.56</v>
      </c>
    </row>
    <row r="2152" spans="1:8" x14ac:dyDescent="0.3">
      <c r="A2152">
        <v>202103</v>
      </c>
      <c r="B2152" s="1">
        <v>44256</v>
      </c>
      <c r="C2152">
        <v>2021</v>
      </c>
      <c r="D2152" t="s">
        <v>10</v>
      </c>
      <c r="E2152" t="s">
        <v>34</v>
      </c>
      <c r="F2152" t="s">
        <v>40</v>
      </c>
      <c r="G2152" t="s">
        <v>33</v>
      </c>
      <c r="H2152">
        <v>87.15</v>
      </c>
    </row>
    <row r="2153" spans="1:8" x14ac:dyDescent="0.3">
      <c r="A2153">
        <v>202104</v>
      </c>
      <c r="B2153" s="1">
        <v>44287</v>
      </c>
      <c r="C2153">
        <v>2021</v>
      </c>
      <c r="D2153" t="s">
        <v>11</v>
      </c>
      <c r="E2153" t="s">
        <v>34</v>
      </c>
      <c r="F2153" t="s">
        <v>40</v>
      </c>
      <c r="G2153" t="s">
        <v>33</v>
      </c>
      <c r="H2153">
        <v>130.44999999999999</v>
      </c>
    </row>
    <row r="2154" spans="1:8" x14ac:dyDescent="0.3">
      <c r="A2154">
        <v>202105</v>
      </c>
      <c r="B2154" s="1">
        <v>44317</v>
      </c>
      <c r="C2154">
        <v>2021</v>
      </c>
      <c r="D2154" t="s">
        <v>12</v>
      </c>
      <c r="E2154" t="s">
        <v>34</v>
      </c>
      <c r="F2154" t="s">
        <v>40</v>
      </c>
      <c r="G2154" t="s">
        <v>33</v>
      </c>
      <c r="H2154">
        <v>92.22</v>
      </c>
    </row>
    <row r="2155" spans="1:8" x14ac:dyDescent="0.3">
      <c r="A2155">
        <v>202106</v>
      </c>
      <c r="B2155" s="1">
        <v>44348</v>
      </c>
      <c r="C2155">
        <v>2021</v>
      </c>
      <c r="D2155" t="s">
        <v>13</v>
      </c>
      <c r="E2155" t="s">
        <v>34</v>
      </c>
      <c r="F2155" t="s">
        <v>40</v>
      </c>
      <c r="G2155" t="s">
        <v>33</v>
      </c>
      <c r="H2155">
        <v>94.43</v>
      </c>
    </row>
    <row r="2156" spans="1:8" x14ac:dyDescent="0.3">
      <c r="A2156">
        <v>202107</v>
      </c>
      <c r="B2156" s="1">
        <v>44378</v>
      </c>
      <c r="C2156">
        <v>2021</v>
      </c>
      <c r="D2156" t="s">
        <v>14</v>
      </c>
      <c r="E2156" t="s">
        <v>34</v>
      </c>
      <c r="F2156" t="s">
        <v>40</v>
      </c>
      <c r="G2156" t="s">
        <v>33</v>
      </c>
      <c r="H2156">
        <v>101.25</v>
      </c>
    </row>
    <row r="2157" spans="1:8" x14ac:dyDescent="0.3">
      <c r="A2157">
        <v>202108</v>
      </c>
      <c r="B2157" s="1">
        <v>44409</v>
      </c>
      <c r="C2157">
        <v>2021</v>
      </c>
      <c r="D2157" t="s">
        <v>15</v>
      </c>
      <c r="E2157" t="s">
        <v>34</v>
      </c>
      <c r="F2157" t="s">
        <v>40</v>
      </c>
      <c r="G2157" t="s">
        <v>33</v>
      </c>
      <c r="H2157">
        <v>83.9</v>
      </c>
    </row>
    <row r="2158" spans="1:8" x14ac:dyDescent="0.3">
      <c r="A2158">
        <v>202109</v>
      </c>
      <c r="B2158" s="1">
        <v>44440</v>
      </c>
      <c r="C2158">
        <v>2021</v>
      </c>
      <c r="D2158" t="s">
        <v>16</v>
      </c>
      <c r="E2158" t="s">
        <v>34</v>
      </c>
      <c r="F2158" t="s">
        <v>40</v>
      </c>
      <c r="G2158" t="s">
        <v>33</v>
      </c>
      <c r="H2158">
        <v>97</v>
      </c>
    </row>
    <row r="2159" spans="1:8" x14ac:dyDescent="0.3">
      <c r="A2159">
        <v>202110</v>
      </c>
      <c r="B2159" s="1">
        <v>44470</v>
      </c>
      <c r="C2159">
        <v>2021</v>
      </c>
      <c r="D2159" t="s">
        <v>17</v>
      </c>
      <c r="E2159" t="s">
        <v>34</v>
      </c>
      <c r="F2159" t="s">
        <v>40</v>
      </c>
      <c r="G2159" t="s">
        <v>33</v>
      </c>
      <c r="H2159">
        <v>100.18</v>
      </c>
    </row>
    <row r="2160" spans="1:8" x14ac:dyDescent="0.3">
      <c r="A2160">
        <v>202111</v>
      </c>
      <c r="B2160" s="1">
        <v>44501</v>
      </c>
      <c r="C2160">
        <v>2021</v>
      </c>
      <c r="D2160" t="s">
        <v>18</v>
      </c>
      <c r="E2160" t="s">
        <v>34</v>
      </c>
      <c r="F2160" t="s">
        <v>40</v>
      </c>
      <c r="G2160" t="s">
        <v>33</v>
      </c>
      <c r="H2160">
        <v>132.75</v>
      </c>
    </row>
    <row r="2161" spans="1:8" x14ac:dyDescent="0.3">
      <c r="A2161">
        <v>202112</v>
      </c>
      <c r="B2161" s="1">
        <v>44531</v>
      </c>
      <c r="C2161">
        <v>2021</v>
      </c>
      <c r="D2161" t="s">
        <v>19</v>
      </c>
      <c r="E2161" t="s">
        <v>34</v>
      </c>
      <c r="F2161" t="s">
        <v>40</v>
      </c>
      <c r="G2161" t="s">
        <v>33</v>
      </c>
      <c r="H2161">
        <v>115.18</v>
      </c>
    </row>
    <row r="2162" spans="1:8" x14ac:dyDescent="0.3">
      <c r="A2162">
        <v>202101</v>
      </c>
      <c r="B2162" s="1">
        <v>44197</v>
      </c>
      <c r="C2162">
        <v>2021</v>
      </c>
      <c r="D2162" t="s">
        <v>6</v>
      </c>
      <c r="E2162" t="s">
        <v>34</v>
      </c>
      <c r="F2162" t="s">
        <v>40</v>
      </c>
      <c r="G2162" t="s">
        <v>33</v>
      </c>
      <c r="H2162">
        <v>70.290000000000006</v>
      </c>
    </row>
    <row r="2163" spans="1:8" x14ac:dyDescent="0.3">
      <c r="A2163">
        <v>202102</v>
      </c>
      <c r="B2163" s="1">
        <v>44228</v>
      </c>
      <c r="C2163">
        <v>2021</v>
      </c>
      <c r="D2163" t="s">
        <v>9</v>
      </c>
      <c r="E2163" t="s">
        <v>34</v>
      </c>
      <c r="F2163" t="s">
        <v>40</v>
      </c>
      <c r="G2163" t="s">
        <v>33</v>
      </c>
      <c r="H2163">
        <v>52.55</v>
      </c>
    </row>
    <row r="2164" spans="1:8" x14ac:dyDescent="0.3">
      <c r="A2164">
        <v>202103</v>
      </c>
      <c r="B2164" s="1">
        <v>44256</v>
      </c>
      <c r="C2164">
        <v>2021</v>
      </c>
      <c r="D2164" t="s">
        <v>10</v>
      </c>
      <c r="E2164" t="s">
        <v>34</v>
      </c>
      <c r="F2164" t="s">
        <v>40</v>
      </c>
      <c r="G2164" t="s">
        <v>33</v>
      </c>
      <c r="H2164">
        <v>50.88</v>
      </c>
    </row>
    <row r="2165" spans="1:8" x14ac:dyDescent="0.3">
      <c r="A2165">
        <v>202104</v>
      </c>
      <c r="B2165" s="1">
        <v>44287</v>
      </c>
      <c r="C2165">
        <v>2021</v>
      </c>
      <c r="D2165" t="s">
        <v>11</v>
      </c>
      <c r="E2165" t="s">
        <v>34</v>
      </c>
      <c r="F2165" t="s">
        <v>40</v>
      </c>
      <c r="G2165" t="s">
        <v>33</v>
      </c>
      <c r="H2165">
        <v>80.540000000000006</v>
      </c>
    </row>
    <row r="2166" spans="1:8" x14ac:dyDescent="0.3">
      <c r="A2166">
        <v>202105</v>
      </c>
      <c r="B2166" s="1">
        <v>44317</v>
      </c>
      <c r="C2166">
        <v>2021</v>
      </c>
      <c r="D2166" t="s">
        <v>12</v>
      </c>
      <c r="E2166" t="s">
        <v>34</v>
      </c>
      <c r="F2166" t="s">
        <v>40</v>
      </c>
      <c r="G2166" t="s">
        <v>33</v>
      </c>
      <c r="H2166">
        <v>64.010000000000005</v>
      </c>
    </row>
    <row r="2167" spans="1:8" x14ac:dyDescent="0.3">
      <c r="A2167">
        <v>202106</v>
      </c>
      <c r="B2167" s="1">
        <v>44348</v>
      </c>
      <c r="C2167">
        <v>2021</v>
      </c>
      <c r="D2167" t="s">
        <v>13</v>
      </c>
      <c r="E2167" t="s">
        <v>34</v>
      </c>
      <c r="F2167" t="s">
        <v>40</v>
      </c>
      <c r="G2167" t="s">
        <v>33</v>
      </c>
      <c r="H2167">
        <v>42.86</v>
      </c>
    </row>
    <row r="2168" spans="1:8" x14ac:dyDescent="0.3">
      <c r="A2168">
        <v>202107</v>
      </c>
      <c r="B2168" s="1">
        <v>44378</v>
      </c>
      <c r="C2168">
        <v>2021</v>
      </c>
      <c r="D2168" t="s">
        <v>14</v>
      </c>
      <c r="E2168" t="s">
        <v>34</v>
      </c>
      <c r="F2168" t="s">
        <v>40</v>
      </c>
      <c r="G2168" t="s">
        <v>33</v>
      </c>
      <c r="H2168">
        <v>58.31</v>
      </c>
    </row>
    <row r="2169" spans="1:8" x14ac:dyDescent="0.3">
      <c r="A2169">
        <v>202108</v>
      </c>
      <c r="B2169" s="1">
        <v>44409</v>
      </c>
      <c r="C2169">
        <v>2021</v>
      </c>
      <c r="D2169" t="s">
        <v>15</v>
      </c>
      <c r="E2169" t="s">
        <v>34</v>
      </c>
      <c r="F2169" t="s">
        <v>40</v>
      </c>
      <c r="G2169" t="s">
        <v>33</v>
      </c>
      <c r="H2169">
        <v>47.04</v>
      </c>
    </row>
    <row r="2170" spans="1:8" x14ac:dyDescent="0.3">
      <c r="A2170">
        <v>202109</v>
      </c>
      <c r="B2170" s="1">
        <v>44440</v>
      </c>
      <c r="C2170">
        <v>2021</v>
      </c>
      <c r="D2170" t="s">
        <v>16</v>
      </c>
      <c r="E2170" t="s">
        <v>34</v>
      </c>
      <c r="F2170" t="s">
        <v>40</v>
      </c>
      <c r="G2170" t="s">
        <v>33</v>
      </c>
      <c r="H2170">
        <v>45.58</v>
      </c>
    </row>
    <row r="2171" spans="1:8" x14ac:dyDescent="0.3">
      <c r="A2171">
        <v>202110</v>
      </c>
      <c r="B2171" s="1">
        <v>44470</v>
      </c>
      <c r="C2171">
        <v>2021</v>
      </c>
      <c r="D2171" t="s">
        <v>17</v>
      </c>
      <c r="E2171" t="s">
        <v>34</v>
      </c>
      <c r="F2171" t="s">
        <v>40</v>
      </c>
      <c r="G2171" t="s">
        <v>33</v>
      </c>
      <c r="H2171">
        <v>56.98</v>
      </c>
    </row>
    <row r="2172" spans="1:8" x14ac:dyDescent="0.3">
      <c r="A2172">
        <v>202111</v>
      </c>
      <c r="B2172" s="1">
        <v>44501</v>
      </c>
      <c r="C2172">
        <v>2021</v>
      </c>
      <c r="D2172" t="s">
        <v>18</v>
      </c>
      <c r="E2172" t="s">
        <v>34</v>
      </c>
      <c r="F2172" t="s">
        <v>40</v>
      </c>
      <c r="G2172" t="s">
        <v>33</v>
      </c>
      <c r="H2172">
        <v>53.76</v>
      </c>
    </row>
    <row r="2173" spans="1:8" x14ac:dyDescent="0.3">
      <c r="A2173">
        <v>202112</v>
      </c>
      <c r="B2173" s="1">
        <v>44531</v>
      </c>
      <c r="C2173">
        <v>2021</v>
      </c>
      <c r="D2173" t="s">
        <v>19</v>
      </c>
      <c r="E2173" t="s">
        <v>34</v>
      </c>
      <c r="F2173" t="s">
        <v>40</v>
      </c>
      <c r="G2173" t="s">
        <v>33</v>
      </c>
      <c r="H2173">
        <v>55.88</v>
      </c>
    </row>
    <row r="2174" spans="1:8" x14ac:dyDescent="0.3">
      <c r="A2174">
        <v>202101</v>
      </c>
      <c r="B2174" s="1">
        <v>44197</v>
      </c>
      <c r="C2174">
        <v>2021</v>
      </c>
      <c r="D2174" t="s">
        <v>6</v>
      </c>
      <c r="E2174" t="s">
        <v>34</v>
      </c>
      <c r="F2174" t="s">
        <v>40</v>
      </c>
      <c r="G2174" t="s">
        <v>33</v>
      </c>
      <c r="H2174">
        <v>584.91</v>
      </c>
    </row>
    <row r="2175" spans="1:8" x14ac:dyDescent="0.3">
      <c r="A2175">
        <v>202102</v>
      </c>
      <c r="B2175" s="1">
        <v>44228</v>
      </c>
      <c r="C2175">
        <v>2021</v>
      </c>
      <c r="D2175" t="s">
        <v>9</v>
      </c>
      <c r="E2175" t="s">
        <v>34</v>
      </c>
      <c r="F2175" t="s">
        <v>40</v>
      </c>
      <c r="G2175" t="s">
        <v>33</v>
      </c>
      <c r="H2175">
        <v>406.14</v>
      </c>
    </row>
    <row r="2176" spans="1:8" x14ac:dyDescent="0.3">
      <c r="A2176">
        <v>202103</v>
      </c>
      <c r="B2176" s="1">
        <v>44256</v>
      </c>
      <c r="C2176">
        <v>2021</v>
      </c>
      <c r="D2176" t="s">
        <v>10</v>
      </c>
      <c r="E2176" t="s">
        <v>34</v>
      </c>
      <c r="F2176" t="s">
        <v>40</v>
      </c>
      <c r="G2176" t="s">
        <v>33</v>
      </c>
      <c r="H2176">
        <v>453.6</v>
      </c>
    </row>
    <row r="2177" spans="1:8" x14ac:dyDescent="0.3">
      <c r="A2177">
        <v>202104</v>
      </c>
      <c r="B2177" s="1">
        <v>44287</v>
      </c>
      <c r="C2177">
        <v>2021</v>
      </c>
      <c r="D2177" t="s">
        <v>11</v>
      </c>
      <c r="E2177" t="s">
        <v>34</v>
      </c>
      <c r="F2177" t="s">
        <v>40</v>
      </c>
      <c r="G2177" t="s">
        <v>33</v>
      </c>
      <c r="H2177">
        <v>596.65</v>
      </c>
    </row>
    <row r="2178" spans="1:8" x14ac:dyDescent="0.3">
      <c r="A2178">
        <v>202105</v>
      </c>
      <c r="B2178" s="1">
        <v>44317</v>
      </c>
      <c r="C2178">
        <v>2021</v>
      </c>
      <c r="D2178" t="s">
        <v>12</v>
      </c>
      <c r="E2178" t="s">
        <v>34</v>
      </c>
      <c r="F2178" t="s">
        <v>40</v>
      </c>
      <c r="G2178" t="s">
        <v>33</v>
      </c>
      <c r="H2178">
        <v>473.69</v>
      </c>
    </row>
    <row r="2179" spans="1:8" x14ac:dyDescent="0.3">
      <c r="A2179">
        <v>202106</v>
      </c>
      <c r="B2179" s="1">
        <v>44348</v>
      </c>
      <c r="C2179">
        <v>2021</v>
      </c>
      <c r="D2179" t="s">
        <v>13</v>
      </c>
      <c r="E2179" t="s">
        <v>34</v>
      </c>
      <c r="F2179" t="s">
        <v>40</v>
      </c>
      <c r="G2179" t="s">
        <v>33</v>
      </c>
      <c r="H2179">
        <v>416.55</v>
      </c>
    </row>
    <row r="2180" spans="1:8" x14ac:dyDescent="0.3">
      <c r="A2180">
        <v>202107</v>
      </c>
      <c r="B2180" s="1">
        <v>44378</v>
      </c>
      <c r="C2180">
        <v>2021</v>
      </c>
      <c r="D2180" t="s">
        <v>14</v>
      </c>
      <c r="E2180" t="s">
        <v>34</v>
      </c>
      <c r="F2180" t="s">
        <v>40</v>
      </c>
      <c r="G2180" t="s">
        <v>33</v>
      </c>
      <c r="H2180">
        <v>422.53</v>
      </c>
    </row>
    <row r="2181" spans="1:8" x14ac:dyDescent="0.3">
      <c r="A2181">
        <v>202108</v>
      </c>
      <c r="B2181" s="1">
        <v>44409</v>
      </c>
      <c r="C2181">
        <v>2021</v>
      </c>
      <c r="D2181" t="s">
        <v>15</v>
      </c>
      <c r="E2181" t="s">
        <v>34</v>
      </c>
      <c r="F2181" t="s">
        <v>40</v>
      </c>
      <c r="G2181" t="s">
        <v>33</v>
      </c>
      <c r="H2181">
        <v>551.64</v>
      </c>
    </row>
    <row r="2182" spans="1:8" x14ac:dyDescent="0.3">
      <c r="A2182">
        <v>202109</v>
      </c>
      <c r="B2182" s="1">
        <v>44440</v>
      </c>
      <c r="C2182">
        <v>2021</v>
      </c>
      <c r="D2182" t="s">
        <v>16</v>
      </c>
      <c r="E2182" t="s">
        <v>34</v>
      </c>
      <c r="F2182" t="s">
        <v>40</v>
      </c>
      <c r="G2182" t="s">
        <v>33</v>
      </c>
      <c r="H2182">
        <v>397.55</v>
      </c>
    </row>
    <row r="2183" spans="1:8" x14ac:dyDescent="0.3">
      <c r="A2183">
        <v>202110</v>
      </c>
      <c r="B2183" s="1">
        <v>44470</v>
      </c>
      <c r="C2183">
        <v>2021</v>
      </c>
      <c r="D2183" t="s">
        <v>17</v>
      </c>
      <c r="E2183" t="s">
        <v>34</v>
      </c>
      <c r="F2183" t="s">
        <v>40</v>
      </c>
      <c r="G2183" t="s">
        <v>33</v>
      </c>
      <c r="H2183">
        <v>417.83</v>
      </c>
    </row>
    <row r="2184" spans="1:8" x14ac:dyDescent="0.3">
      <c r="A2184">
        <v>202111</v>
      </c>
      <c r="B2184" s="1">
        <v>44501</v>
      </c>
      <c r="C2184">
        <v>2021</v>
      </c>
      <c r="D2184" t="s">
        <v>18</v>
      </c>
      <c r="E2184" t="s">
        <v>34</v>
      </c>
      <c r="F2184" t="s">
        <v>40</v>
      </c>
      <c r="G2184" t="s">
        <v>33</v>
      </c>
      <c r="H2184">
        <v>560.65</v>
      </c>
    </row>
    <row r="2185" spans="1:8" x14ac:dyDescent="0.3">
      <c r="A2185">
        <v>202112</v>
      </c>
      <c r="B2185" s="1">
        <v>44531</v>
      </c>
      <c r="C2185">
        <v>2021</v>
      </c>
      <c r="D2185" t="s">
        <v>19</v>
      </c>
      <c r="E2185" t="s">
        <v>34</v>
      </c>
      <c r="F2185" t="s">
        <v>40</v>
      </c>
      <c r="G2185" t="s">
        <v>33</v>
      </c>
      <c r="H2185">
        <v>491.4</v>
      </c>
    </row>
    <row r="2186" spans="1:8" x14ac:dyDescent="0.3">
      <c r="A2186">
        <v>202101</v>
      </c>
      <c r="B2186" s="1">
        <v>44197</v>
      </c>
      <c r="C2186">
        <v>2021</v>
      </c>
      <c r="D2186" t="s">
        <v>6</v>
      </c>
      <c r="E2186" t="s">
        <v>35</v>
      </c>
      <c r="F2186" t="s">
        <v>40</v>
      </c>
      <c r="G2186" t="s">
        <v>33</v>
      </c>
      <c r="H2186">
        <v>313.87</v>
      </c>
    </row>
    <row r="2187" spans="1:8" x14ac:dyDescent="0.3">
      <c r="A2187">
        <v>202102</v>
      </c>
      <c r="B2187" s="1">
        <v>44228</v>
      </c>
      <c r="C2187">
        <v>2021</v>
      </c>
      <c r="D2187" t="s">
        <v>9</v>
      </c>
      <c r="E2187" t="s">
        <v>35</v>
      </c>
      <c r="F2187" t="s">
        <v>40</v>
      </c>
      <c r="G2187" t="s">
        <v>33</v>
      </c>
      <c r="H2187">
        <v>281.41000000000003</v>
      </c>
    </row>
    <row r="2188" spans="1:8" x14ac:dyDescent="0.3">
      <c r="A2188">
        <v>202103</v>
      </c>
      <c r="B2188" s="1">
        <v>44256</v>
      </c>
      <c r="C2188">
        <v>2021</v>
      </c>
      <c r="D2188" t="s">
        <v>10</v>
      </c>
      <c r="E2188" t="s">
        <v>35</v>
      </c>
      <c r="F2188" t="s">
        <v>40</v>
      </c>
      <c r="G2188" t="s">
        <v>33</v>
      </c>
      <c r="H2188">
        <v>270.92</v>
      </c>
    </row>
    <row r="2189" spans="1:8" x14ac:dyDescent="0.3">
      <c r="A2189">
        <v>202104</v>
      </c>
      <c r="B2189" s="1">
        <v>44287</v>
      </c>
      <c r="C2189">
        <v>2021</v>
      </c>
      <c r="D2189" t="s">
        <v>11</v>
      </c>
      <c r="E2189" t="s">
        <v>35</v>
      </c>
      <c r="F2189" t="s">
        <v>40</v>
      </c>
      <c r="G2189" t="s">
        <v>33</v>
      </c>
      <c r="H2189">
        <v>390.72</v>
      </c>
    </row>
    <row r="2190" spans="1:8" x14ac:dyDescent="0.3">
      <c r="A2190">
        <v>202105</v>
      </c>
      <c r="B2190" s="1">
        <v>44317</v>
      </c>
      <c r="C2190">
        <v>2021</v>
      </c>
      <c r="D2190" t="s">
        <v>12</v>
      </c>
      <c r="E2190" t="s">
        <v>35</v>
      </c>
      <c r="F2190" t="s">
        <v>40</v>
      </c>
      <c r="G2190" t="s">
        <v>33</v>
      </c>
      <c r="H2190">
        <v>298.08999999999997</v>
      </c>
    </row>
    <row r="2191" spans="1:8" x14ac:dyDescent="0.3">
      <c r="A2191">
        <v>202106</v>
      </c>
      <c r="B2191" s="1">
        <v>44348</v>
      </c>
      <c r="C2191">
        <v>2021</v>
      </c>
      <c r="D2191" t="s">
        <v>13</v>
      </c>
      <c r="E2191" t="s">
        <v>35</v>
      </c>
      <c r="F2191" t="s">
        <v>40</v>
      </c>
      <c r="G2191" t="s">
        <v>33</v>
      </c>
      <c r="H2191">
        <v>287.68</v>
      </c>
    </row>
    <row r="2192" spans="1:8" x14ac:dyDescent="0.3">
      <c r="A2192">
        <v>202107</v>
      </c>
      <c r="B2192" s="1">
        <v>44378</v>
      </c>
      <c r="C2192">
        <v>2021</v>
      </c>
      <c r="D2192" t="s">
        <v>14</v>
      </c>
      <c r="E2192" t="s">
        <v>35</v>
      </c>
      <c r="F2192" t="s">
        <v>40</v>
      </c>
      <c r="G2192" t="s">
        <v>33</v>
      </c>
      <c r="H2192">
        <v>288.41000000000003</v>
      </c>
    </row>
    <row r="2193" spans="1:8" x14ac:dyDescent="0.3">
      <c r="A2193">
        <v>202108</v>
      </c>
      <c r="B2193" s="1">
        <v>44409</v>
      </c>
      <c r="C2193">
        <v>2021</v>
      </c>
      <c r="D2193" t="s">
        <v>15</v>
      </c>
      <c r="E2193" t="s">
        <v>35</v>
      </c>
      <c r="F2193" t="s">
        <v>40</v>
      </c>
      <c r="G2193" t="s">
        <v>33</v>
      </c>
      <c r="H2193">
        <v>324.88</v>
      </c>
    </row>
    <row r="2194" spans="1:8" x14ac:dyDescent="0.3">
      <c r="A2194">
        <v>202109</v>
      </c>
      <c r="B2194" s="1">
        <v>44440</v>
      </c>
      <c r="C2194">
        <v>2021</v>
      </c>
      <c r="D2194" t="s">
        <v>16</v>
      </c>
      <c r="E2194" t="s">
        <v>35</v>
      </c>
      <c r="F2194" t="s">
        <v>40</v>
      </c>
      <c r="G2194" t="s">
        <v>33</v>
      </c>
      <c r="H2194">
        <v>277.86</v>
      </c>
    </row>
    <row r="2195" spans="1:8" x14ac:dyDescent="0.3">
      <c r="A2195">
        <v>202110</v>
      </c>
      <c r="B2195" s="1">
        <v>44470</v>
      </c>
      <c r="C2195">
        <v>2021</v>
      </c>
      <c r="D2195" t="s">
        <v>17</v>
      </c>
      <c r="E2195" t="s">
        <v>35</v>
      </c>
      <c r="F2195" t="s">
        <v>40</v>
      </c>
      <c r="G2195" t="s">
        <v>33</v>
      </c>
      <c r="H2195">
        <v>316.75</v>
      </c>
    </row>
    <row r="2196" spans="1:8" x14ac:dyDescent="0.3">
      <c r="A2196">
        <v>202111</v>
      </c>
      <c r="B2196" s="1">
        <v>44501</v>
      </c>
      <c r="C2196">
        <v>2021</v>
      </c>
      <c r="D2196" t="s">
        <v>18</v>
      </c>
      <c r="E2196" t="s">
        <v>35</v>
      </c>
      <c r="F2196" t="s">
        <v>40</v>
      </c>
      <c r="G2196" t="s">
        <v>33</v>
      </c>
      <c r="H2196">
        <v>358.61</v>
      </c>
    </row>
    <row r="2197" spans="1:8" x14ac:dyDescent="0.3">
      <c r="A2197">
        <v>202112</v>
      </c>
      <c r="B2197" s="1">
        <v>44531</v>
      </c>
      <c r="C2197">
        <v>2021</v>
      </c>
      <c r="D2197" t="s">
        <v>19</v>
      </c>
      <c r="E2197" t="s">
        <v>35</v>
      </c>
      <c r="F2197" t="s">
        <v>40</v>
      </c>
      <c r="G2197" t="s">
        <v>33</v>
      </c>
      <c r="H2197">
        <v>264.51</v>
      </c>
    </row>
    <row r="2198" spans="1:8" x14ac:dyDescent="0.3">
      <c r="A2198">
        <v>202101</v>
      </c>
      <c r="B2198" s="1">
        <v>44197</v>
      </c>
      <c r="C2198">
        <v>2021</v>
      </c>
      <c r="D2198" t="s">
        <v>6</v>
      </c>
      <c r="E2198" t="s">
        <v>35</v>
      </c>
      <c r="F2198" t="s">
        <v>40</v>
      </c>
      <c r="G2198" t="s">
        <v>33</v>
      </c>
      <c r="H2198">
        <v>114.28</v>
      </c>
    </row>
    <row r="2199" spans="1:8" x14ac:dyDescent="0.3">
      <c r="A2199">
        <v>202102</v>
      </c>
      <c r="B2199" s="1">
        <v>44228</v>
      </c>
      <c r="C2199">
        <v>2021</v>
      </c>
      <c r="D2199" t="s">
        <v>9</v>
      </c>
      <c r="E2199" t="s">
        <v>35</v>
      </c>
      <c r="F2199" t="s">
        <v>40</v>
      </c>
      <c r="G2199" t="s">
        <v>33</v>
      </c>
      <c r="H2199">
        <v>92.57</v>
      </c>
    </row>
    <row r="2200" spans="1:8" x14ac:dyDescent="0.3">
      <c r="A2200">
        <v>202103</v>
      </c>
      <c r="B2200" s="1">
        <v>44256</v>
      </c>
      <c r="C2200">
        <v>2021</v>
      </c>
      <c r="D2200" t="s">
        <v>10</v>
      </c>
      <c r="E2200" t="s">
        <v>35</v>
      </c>
      <c r="F2200" t="s">
        <v>40</v>
      </c>
      <c r="G2200" t="s">
        <v>33</v>
      </c>
      <c r="H2200">
        <v>81.08</v>
      </c>
    </row>
    <row r="2201" spans="1:8" x14ac:dyDescent="0.3">
      <c r="A2201">
        <v>202104</v>
      </c>
      <c r="B2201" s="1">
        <v>44287</v>
      </c>
      <c r="C2201">
        <v>2021</v>
      </c>
      <c r="D2201" t="s">
        <v>11</v>
      </c>
      <c r="E2201" t="s">
        <v>35</v>
      </c>
      <c r="F2201" t="s">
        <v>40</v>
      </c>
      <c r="G2201" t="s">
        <v>33</v>
      </c>
      <c r="H2201">
        <v>138.81</v>
      </c>
    </row>
    <row r="2202" spans="1:8" x14ac:dyDescent="0.3">
      <c r="A2202">
        <v>202105</v>
      </c>
      <c r="B2202" s="1">
        <v>44317</v>
      </c>
      <c r="C2202">
        <v>2021</v>
      </c>
      <c r="D2202" t="s">
        <v>12</v>
      </c>
      <c r="E2202" t="s">
        <v>35</v>
      </c>
      <c r="F2202" t="s">
        <v>40</v>
      </c>
      <c r="G2202" t="s">
        <v>33</v>
      </c>
      <c r="H2202">
        <v>93.29</v>
      </c>
    </row>
    <row r="2203" spans="1:8" x14ac:dyDescent="0.3">
      <c r="A2203">
        <v>202106</v>
      </c>
      <c r="B2203" s="1">
        <v>44348</v>
      </c>
      <c r="C2203">
        <v>2021</v>
      </c>
      <c r="D2203" t="s">
        <v>13</v>
      </c>
      <c r="E2203" t="s">
        <v>35</v>
      </c>
      <c r="F2203" t="s">
        <v>40</v>
      </c>
      <c r="G2203" t="s">
        <v>33</v>
      </c>
      <c r="H2203">
        <v>101.35</v>
      </c>
    </row>
    <row r="2204" spans="1:8" x14ac:dyDescent="0.3">
      <c r="A2204">
        <v>202107</v>
      </c>
      <c r="B2204" s="1">
        <v>44378</v>
      </c>
      <c r="C2204">
        <v>2021</v>
      </c>
      <c r="D2204" t="s">
        <v>14</v>
      </c>
      <c r="E2204" t="s">
        <v>35</v>
      </c>
      <c r="F2204" t="s">
        <v>40</v>
      </c>
      <c r="G2204" t="s">
        <v>33</v>
      </c>
      <c r="H2204">
        <v>97.9</v>
      </c>
    </row>
    <row r="2205" spans="1:8" x14ac:dyDescent="0.3">
      <c r="A2205">
        <v>202108</v>
      </c>
      <c r="B2205" s="1">
        <v>44409</v>
      </c>
      <c r="C2205">
        <v>2021</v>
      </c>
      <c r="D2205" t="s">
        <v>15</v>
      </c>
      <c r="E2205" t="s">
        <v>35</v>
      </c>
      <c r="F2205" t="s">
        <v>40</v>
      </c>
      <c r="G2205" t="s">
        <v>33</v>
      </c>
      <c r="H2205">
        <v>118.65</v>
      </c>
    </row>
    <row r="2206" spans="1:8" x14ac:dyDescent="0.3">
      <c r="A2206">
        <v>202109</v>
      </c>
      <c r="B2206" s="1">
        <v>44440</v>
      </c>
      <c r="C2206">
        <v>2021</v>
      </c>
      <c r="D2206" t="s">
        <v>16</v>
      </c>
      <c r="E2206" t="s">
        <v>35</v>
      </c>
      <c r="F2206" t="s">
        <v>40</v>
      </c>
      <c r="G2206" t="s">
        <v>33</v>
      </c>
      <c r="H2206">
        <v>96.44</v>
      </c>
    </row>
    <row r="2207" spans="1:8" x14ac:dyDescent="0.3">
      <c r="A2207">
        <v>202110</v>
      </c>
      <c r="B2207" s="1">
        <v>44470</v>
      </c>
      <c r="C2207">
        <v>2021</v>
      </c>
      <c r="D2207" t="s">
        <v>17</v>
      </c>
      <c r="E2207" t="s">
        <v>35</v>
      </c>
      <c r="F2207" t="s">
        <v>40</v>
      </c>
      <c r="G2207" t="s">
        <v>33</v>
      </c>
      <c r="H2207">
        <v>129.85</v>
      </c>
    </row>
    <row r="2208" spans="1:8" x14ac:dyDescent="0.3">
      <c r="A2208">
        <v>202111</v>
      </c>
      <c r="B2208" s="1">
        <v>44501</v>
      </c>
      <c r="C2208">
        <v>2021</v>
      </c>
      <c r="D2208" t="s">
        <v>18</v>
      </c>
      <c r="E2208" t="s">
        <v>35</v>
      </c>
      <c r="F2208" t="s">
        <v>40</v>
      </c>
      <c r="G2208" t="s">
        <v>33</v>
      </c>
      <c r="H2208">
        <v>125.88</v>
      </c>
    </row>
    <row r="2209" spans="1:8" x14ac:dyDescent="0.3">
      <c r="A2209">
        <v>202112</v>
      </c>
      <c r="B2209" s="1">
        <v>44531</v>
      </c>
      <c r="C2209">
        <v>2021</v>
      </c>
      <c r="D2209" t="s">
        <v>19</v>
      </c>
      <c r="E2209" t="s">
        <v>35</v>
      </c>
      <c r="F2209" t="s">
        <v>40</v>
      </c>
      <c r="G2209" t="s">
        <v>33</v>
      </c>
      <c r="H2209">
        <v>85.59</v>
      </c>
    </row>
    <row r="2210" spans="1:8" x14ac:dyDescent="0.3">
      <c r="A2210">
        <v>202101</v>
      </c>
      <c r="B2210" s="1">
        <v>44197</v>
      </c>
      <c r="C2210">
        <v>2021</v>
      </c>
      <c r="D2210" t="s">
        <v>6</v>
      </c>
      <c r="E2210" t="s">
        <v>35</v>
      </c>
      <c r="F2210" t="s">
        <v>40</v>
      </c>
      <c r="G2210" t="s">
        <v>33</v>
      </c>
      <c r="H2210">
        <v>84.23</v>
      </c>
    </row>
    <row r="2211" spans="1:8" x14ac:dyDescent="0.3">
      <c r="A2211">
        <v>202102</v>
      </c>
      <c r="B2211" s="1">
        <v>44228</v>
      </c>
      <c r="C2211">
        <v>2021</v>
      </c>
      <c r="D2211" t="s">
        <v>9</v>
      </c>
      <c r="E2211" t="s">
        <v>35</v>
      </c>
      <c r="F2211" t="s">
        <v>40</v>
      </c>
      <c r="G2211" t="s">
        <v>33</v>
      </c>
      <c r="H2211">
        <v>44.24</v>
      </c>
    </row>
    <row r="2212" spans="1:8" x14ac:dyDescent="0.3">
      <c r="A2212">
        <v>202103</v>
      </c>
      <c r="B2212" s="1">
        <v>44256</v>
      </c>
      <c r="C2212">
        <v>2021</v>
      </c>
      <c r="D2212" t="s">
        <v>10</v>
      </c>
      <c r="E2212" t="s">
        <v>35</v>
      </c>
      <c r="F2212" t="s">
        <v>40</v>
      </c>
      <c r="G2212" t="s">
        <v>33</v>
      </c>
      <c r="H2212">
        <v>63.62</v>
      </c>
    </row>
    <row r="2213" spans="1:8" x14ac:dyDescent="0.3">
      <c r="A2213">
        <v>202104</v>
      </c>
      <c r="B2213" s="1">
        <v>44287</v>
      </c>
      <c r="C2213">
        <v>2021</v>
      </c>
      <c r="D2213" t="s">
        <v>11</v>
      </c>
      <c r="E2213" t="s">
        <v>35</v>
      </c>
      <c r="F2213" t="s">
        <v>40</v>
      </c>
      <c r="G2213" t="s">
        <v>33</v>
      </c>
      <c r="H2213">
        <v>69.989999999999995</v>
      </c>
    </row>
    <row r="2214" spans="1:8" x14ac:dyDescent="0.3">
      <c r="A2214">
        <v>202105</v>
      </c>
      <c r="B2214" s="1">
        <v>44317</v>
      </c>
      <c r="C2214">
        <v>2021</v>
      </c>
      <c r="D2214" t="s">
        <v>12</v>
      </c>
      <c r="E2214" t="s">
        <v>35</v>
      </c>
      <c r="F2214" t="s">
        <v>40</v>
      </c>
      <c r="G2214" t="s">
        <v>33</v>
      </c>
      <c r="H2214">
        <v>61.76</v>
      </c>
    </row>
    <row r="2215" spans="1:8" x14ac:dyDescent="0.3">
      <c r="A2215">
        <v>202106</v>
      </c>
      <c r="B2215" s="1">
        <v>44348</v>
      </c>
      <c r="C2215">
        <v>2021</v>
      </c>
      <c r="D2215" t="s">
        <v>13</v>
      </c>
      <c r="E2215" t="s">
        <v>35</v>
      </c>
      <c r="F2215" t="s">
        <v>40</v>
      </c>
      <c r="G2215" t="s">
        <v>33</v>
      </c>
      <c r="H2215">
        <v>57.99</v>
      </c>
    </row>
    <row r="2216" spans="1:8" x14ac:dyDescent="0.3">
      <c r="A2216">
        <v>202107</v>
      </c>
      <c r="B2216" s="1">
        <v>44378</v>
      </c>
      <c r="C2216">
        <v>2021</v>
      </c>
      <c r="D2216" t="s">
        <v>14</v>
      </c>
      <c r="E2216" t="s">
        <v>35</v>
      </c>
      <c r="F2216" t="s">
        <v>40</v>
      </c>
      <c r="G2216" t="s">
        <v>33</v>
      </c>
      <c r="H2216">
        <v>58.4</v>
      </c>
    </row>
    <row r="2217" spans="1:8" x14ac:dyDescent="0.3">
      <c r="A2217">
        <v>202108</v>
      </c>
      <c r="B2217" s="1">
        <v>44409</v>
      </c>
      <c r="C2217">
        <v>2021</v>
      </c>
      <c r="D2217" t="s">
        <v>15</v>
      </c>
      <c r="E2217" t="s">
        <v>35</v>
      </c>
      <c r="F2217" t="s">
        <v>40</v>
      </c>
      <c r="G2217" t="s">
        <v>33</v>
      </c>
      <c r="H2217">
        <v>56.52</v>
      </c>
    </row>
    <row r="2218" spans="1:8" x14ac:dyDescent="0.3">
      <c r="A2218">
        <v>202109</v>
      </c>
      <c r="B2218" s="1">
        <v>44440</v>
      </c>
      <c r="C2218">
        <v>2021</v>
      </c>
      <c r="D2218" t="s">
        <v>16</v>
      </c>
      <c r="E2218" t="s">
        <v>35</v>
      </c>
      <c r="F2218" t="s">
        <v>40</v>
      </c>
      <c r="G2218" t="s">
        <v>33</v>
      </c>
      <c r="H2218">
        <v>51.69</v>
      </c>
    </row>
    <row r="2219" spans="1:8" x14ac:dyDescent="0.3">
      <c r="A2219">
        <v>202110</v>
      </c>
      <c r="B2219" s="1">
        <v>44470</v>
      </c>
      <c r="C2219">
        <v>2021</v>
      </c>
      <c r="D2219" t="s">
        <v>17</v>
      </c>
      <c r="E2219" t="s">
        <v>35</v>
      </c>
      <c r="F2219" t="s">
        <v>40</v>
      </c>
      <c r="G2219" t="s">
        <v>33</v>
      </c>
      <c r="H2219">
        <v>61.88</v>
      </c>
    </row>
    <row r="2220" spans="1:8" x14ac:dyDescent="0.3">
      <c r="A2220">
        <v>202111</v>
      </c>
      <c r="B2220" s="1">
        <v>44501</v>
      </c>
      <c r="C2220">
        <v>2021</v>
      </c>
      <c r="D2220" t="s">
        <v>18</v>
      </c>
      <c r="E2220" t="s">
        <v>35</v>
      </c>
      <c r="F2220" t="s">
        <v>40</v>
      </c>
      <c r="G2220" t="s">
        <v>33</v>
      </c>
      <c r="H2220">
        <v>64.27</v>
      </c>
    </row>
    <row r="2221" spans="1:8" x14ac:dyDescent="0.3">
      <c r="A2221">
        <v>202112</v>
      </c>
      <c r="B2221" s="1">
        <v>44531</v>
      </c>
      <c r="C2221">
        <v>2021</v>
      </c>
      <c r="D2221" t="s">
        <v>19</v>
      </c>
      <c r="E2221" t="s">
        <v>35</v>
      </c>
      <c r="F2221" t="s">
        <v>40</v>
      </c>
      <c r="G2221" t="s">
        <v>33</v>
      </c>
      <c r="H2221">
        <v>73.02</v>
      </c>
    </row>
    <row r="2222" spans="1:8" x14ac:dyDescent="0.3">
      <c r="A2222">
        <v>202101</v>
      </c>
      <c r="B2222" s="1">
        <v>44197</v>
      </c>
      <c r="C2222">
        <v>2021</v>
      </c>
      <c r="D2222" t="s">
        <v>6</v>
      </c>
      <c r="E2222" t="s">
        <v>35</v>
      </c>
      <c r="F2222" t="s">
        <v>40</v>
      </c>
      <c r="G2222" t="s">
        <v>33</v>
      </c>
      <c r="H2222">
        <v>1162.99</v>
      </c>
    </row>
    <row r="2223" spans="1:8" x14ac:dyDescent="0.3">
      <c r="A2223">
        <v>202102</v>
      </c>
      <c r="B2223" s="1">
        <v>44228</v>
      </c>
      <c r="C2223">
        <v>2021</v>
      </c>
      <c r="D2223" t="s">
        <v>9</v>
      </c>
      <c r="E2223" t="s">
        <v>35</v>
      </c>
      <c r="F2223" t="s">
        <v>40</v>
      </c>
      <c r="G2223" t="s">
        <v>33</v>
      </c>
      <c r="H2223">
        <v>779.6</v>
      </c>
    </row>
    <row r="2224" spans="1:8" x14ac:dyDescent="0.3">
      <c r="A2224">
        <v>202103</v>
      </c>
      <c r="B2224" s="1">
        <v>44256</v>
      </c>
      <c r="C2224">
        <v>2021</v>
      </c>
      <c r="D2224" t="s">
        <v>10</v>
      </c>
      <c r="E2224" t="s">
        <v>35</v>
      </c>
      <c r="F2224" t="s">
        <v>40</v>
      </c>
      <c r="G2224" t="s">
        <v>33</v>
      </c>
      <c r="H2224">
        <v>935.52</v>
      </c>
    </row>
    <row r="2225" spans="1:8" x14ac:dyDescent="0.3">
      <c r="A2225">
        <v>202104</v>
      </c>
      <c r="B2225" s="1">
        <v>44287</v>
      </c>
      <c r="C2225">
        <v>2021</v>
      </c>
      <c r="D2225" t="s">
        <v>11</v>
      </c>
      <c r="E2225" t="s">
        <v>35</v>
      </c>
      <c r="F2225" t="s">
        <v>40</v>
      </c>
      <c r="G2225" t="s">
        <v>33</v>
      </c>
      <c r="H2225">
        <v>1280.3900000000001</v>
      </c>
    </row>
    <row r="2226" spans="1:8" x14ac:dyDescent="0.3">
      <c r="A2226">
        <v>202105</v>
      </c>
      <c r="B2226" s="1">
        <v>44317</v>
      </c>
      <c r="C2226">
        <v>2021</v>
      </c>
      <c r="D2226" t="s">
        <v>12</v>
      </c>
      <c r="E2226" t="s">
        <v>35</v>
      </c>
      <c r="F2226" t="s">
        <v>40</v>
      </c>
      <c r="G2226" t="s">
        <v>33</v>
      </c>
      <c r="H2226">
        <v>1004.25</v>
      </c>
    </row>
    <row r="2227" spans="1:8" x14ac:dyDescent="0.3">
      <c r="A2227">
        <v>202106</v>
      </c>
      <c r="B2227" s="1">
        <v>44348</v>
      </c>
      <c r="C2227">
        <v>2021</v>
      </c>
      <c r="D2227" t="s">
        <v>13</v>
      </c>
      <c r="E2227" t="s">
        <v>35</v>
      </c>
      <c r="F2227" t="s">
        <v>40</v>
      </c>
      <c r="G2227" t="s">
        <v>33</v>
      </c>
      <c r="H2227">
        <v>954.64</v>
      </c>
    </row>
    <row r="2228" spans="1:8" x14ac:dyDescent="0.3">
      <c r="A2228">
        <v>202107</v>
      </c>
      <c r="B2228" s="1">
        <v>44378</v>
      </c>
      <c r="C2228">
        <v>2021</v>
      </c>
      <c r="D2228" t="s">
        <v>14</v>
      </c>
      <c r="E2228" t="s">
        <v>35</v>
      </c>
      <c r="F2228" t="s">
        <v>40</v>
      </c>
      <c r="G2228" t="s">
        <v>33</v>
      </c>
      <c r="H2228">
        <v>950.35</v>
      </c>
    </row>
    <row r="2229" spans="1:8" x14ac:dyDescent="0.3">
      <c r="A2229">
        <v>202108</v>
      </c>
      <c r="B2229" s="1">
        <v>44409</v>
      </c>
      <c r="C2229">
        <v>2021</v>
      </c>
      <c r="D2229" t="s">
        <v>15</v>
      </c>
      <c r="E2229" t="s">
        <v>35</v>
      </c>
      <c r="F2229" t="s">
        <v>40</v>
      </c>
      <c r="G2229" t="s">
        <v>33</v>
      </c>
      <c r="H2229">
        <v>1103.0899999999999</v>
      </c>
    </row>
    <row r="2230" spans="1:8" x14ac:dyDescent="0.3">
      <c r="A2230">
        <v>202109</v>
      </c>
      <c r="B2230" s="1">
        <v>44440</v>
      </c>
      <c r="C2230">
        <v>2021</v>
      </c>
      <c r="D2230" t="s">
        <v>16</v>
      </c>
      <c r="E2230" t="s">
        <v>35</v>
      </c>
      <c r="F2230" t="s">
        <v>40</v>
      </c>
      <c r="G2230" t="s">
        <v>33</v>
      </c>
      <c r="H2230">
        <v>885.19</v>
      </c>
    </row>
    <row r="2231" spans="1:8" x14ac:dyDescent="0.3">
      <c r="A2231">
        <v>202110</v>
      </c>
      <c r="B2231" s="1">
        <v>44470</v>
      </c>
      <c r="C2231">
        <v>2021</v>
      </c>
      <c r="D2231" t="s">
        <v>17</v>
      </c>
      <c r="E2231" t="s">
        <v>35</v>
      </c>
      <c r="F2231" t="s">
        <v>40</v>
      </c>
      <c r="G2231" t="s">
        <v>33</v>
      </c>
      <c r="H2231">
        <v>1131.83</v>
      </c>
    </row>
    <row r="2232" spans="1:8" x14ac:dyDescent="0.3">
      <c r="A2232">
        <v>202111</v>
      </c>
      <c r="B2232" s="1">
        <v>44501</v>
      </c>
      <c r="C2232">
        <v>2021</v>
      </c>
      <c r="D2232" t="s">
        <v>18</v>
      </c>
      <c r="E2232" t="s">
        <v>35</v>
      </c>
      <c r="F2232" t="s">
        <v>40</v>
      </c>
      <c r="G2232" t="s">
        <v>33</v>
      </c>
      <c r="H2232">
        <v>1267.48</v>
      </c>
    </row>
    <row r="2233" spans="1:8" x14ac:dyDescent="0.3">
      <c r="A2233">
        <v>202112</v>
      </c>
      <c r="B2233" s="1">
        <v>44531</v>
      </c>
      <c r="C2233">
        <v>2021</v>
      </c>
      <c r="D2233" t="s">
        <v>19</v>
      </c>
      <c r="E2233" t="s">
        <v>35</v>
      </c>
      <c r="F2233" t="s">
        <v>40</v>
      </c>
      <c r="G2233" t="s">
        <v>33</v>
      </c>
      <c r="H2233">
        <v>1101.95</v>
      </c>
    </row>
    <row r="2234" spans="1:8" x14ac:dyDescent="0.3">
      <c r="A2234">
        <v>202101</v>
      </c>
      <c r="B2234" s="1">
        <v>44197</v>
      </c>
      <c r="C2234">
        <v>2021</v>
      </c>
      <c r="D2234" t="s">
        <v>6</v>
      </c>
      <c r="E2234" t="s">
        <v>35</v>
      </c>
      <c r="F2234" t="s">
        <v>40</v>
      </c>
      <c r="G2234" t="s">
        <v>33</v>
      </c>
      <c r="H2234">
        <v>1663.56</v>
      </c>
    </row>
    <row r="2235" spans="1:8" x14ac:dyDescent="0.3">
      <c r="A2235">
        <v>202102</v>
      </c>
      <c r="B2235" s="1">
        <v>44228</v>
      </c>
      <c r="C2235">
        <v>2021</v>
      </c>
      <c r="D2235" t="s">
        <v>9</v>
      </c>
      <c r="E2235" t="s">
        <v>35</v>
      </c>
      <c r="F2235" t="s">
        <v>40</v>
      </c>
      <c r="G2235" t="s">
        <v>33</v>
      </c>
      <c r="H2235">
        <v>829</v>
      </c>
    </row>
    <row r="2236" spans="1:8" x14ac:dyDescent="0.3">
      <c r="A2236">
        <v>202103</v>
      </c>
      <c r="B2236" s="1">
        <v>44256</v>
      </c>
      <c r="C2236">
        <v>2021</v>
      </c>
      <c r="D2236" t="s">
        <v>10</v>
      </c>
      <c r="E2236" t="s">
        <v>35</v>
      </c>
      <c r="F2236" t="s">
        <v>40</v>
      </c>
      <c r="G2236" t="s">
        <v>33</v>
      </c>
      <c r="H2236">
        <v>1029.81</v>
      </c>
    </row>
    <row r="2237" spans="1:8" x14ac:dyDescent="0.3">
      <c r="A2237">
        <v>202104</v>
      </c>
      <c r="B2237" s="1">
        <v>44287</v>
      </c>
      <c r="C2237">
        <v>2021</v>
      </c>
      <c r="D2237" t="s">
        <v>11</v>
      </c>
      <c r="E2237" t="s">
        <v>35</v>
      </c>
      <c r="F2237" t="s">
        <v>40</v>
      </c>
      <c r="G2237" t="s">
        <v>33</v>
      </c>
      <c r="H2237">
        <v>2244.48</v>
      </c>
    </row>
    <row r="2238" spans="1:8" x14ac:dyDescent="0.3">
      <c r="A2238">
        <v>202105</v>
      </c>
      <c r="B2238" s="1">
        <v>44317</v>
      </c>
      <c r="C2238">
        <v>2021</v>
      </c>
      <c r="D2238" t="s">
        <v>12</v>
      </c>
      <c r="E2238" t="s">
        <v>35</v>
      </c>
      <c r="F2238" t="s">
        <v>40</v>
      </c>
      <c r="G2238" t="s">
        <v>33</v>
      </c>
      <c r="H2238">
        <v>1652.44</v>
      </c>
    </row>
    <row r="2239" spans="1:8" x14ac:dyDescent="0.3">
      <c r="A2239">
        <v>202106</v>
      </c>
      <c r="B2239" s="1">
        <v>44348</v>
      </c>
      <c r="C2239">
        <v>2021</v>
      </c>
      <c r="D2239" t="s">
        <v>13</v>
      </c>
      <c r="E2239" t="s">
        <v>35</v>
      </c>
      <c r="F2239" t="s">
        <v>40</v>
      </c>
      <c r="G2239" t="s">
        <v>33</v>
      </c>
      <c r="H2239">
        <v>1010.02</v>
      </c>
    </row>
    <row r="2240" spans="1:8" x14ac:dyDescent="0.3">
      <c r="A2240">
        <v>202107</v>
      </c>
      <c r="B2240" s="1">
        <v>44378</v>
      </c>
      <c r="C2240">
        <v>2021</v>
      </c>
      <c r="D2240" t="s">
        <v>14</v>
      </c>
      <c r="E2240" t="s">
        <v>35</v>
      </c>
      <c r="F2240" t="s">
        <v>40</v>
      </c>
      <c r="G2240" t="s">
        <v>33</v>
      </c>
      <c r="H2240">
        <v>1760.35</v>
      </c>
    </row>
    <row r="2241" spans="1:8" x14ac:dyDescent="0.3">
      <c r="A2241">
        <v>202108</v>
      </c>
      <c r="B2241" s="1">
        <v>44409</v>
      </c>
      <c r="C2241">
        <v>2021</v>
      </c>
      <c r="D2241" t="s">
        <v>15</v>
      </c>
      <c r="E2241" t="s">
        <v>35</v>
      </c>
      <c r="F2241" t="s">
        <v>40</v>
      </c>
      <c r="G2241" t="s">
        <v>33</v>
      </c>
      <c r="H2241">
        <v>1552.6</v>
      </c>
    </row>
    <row r="2242" spans="1:8" x14ac:dyDescent="0.3">
      <c r="A2242">
        <v>202109</v>
      </c>
      <c r="B2242" s="1">
        <v>44440</v>
      </c>
      <c r="C2242">
        <v>2021</v>
      </c>
      <c r="D2242" t="s">
        <v>16</v>
      </c>
      <c r="E2242" t="s">
        <v>35</v>
      </c>
      <c r="F2242" t="s">
        <v>40</v>
      </c>
      <c r="G2242" t="s">
        <v>33</v>
      </c>
      <c r="H2242">
        <v>1247.48</v>
      </c>
    </row>
    <row r="2243" spans="1:8" x14ac:dyDescent="0.3">
      <c r="A2243">
        <v>202110</v>
      </c>
      <c r="B2243" s="1">
        <v>44470</v>
      </c>
      <c r="C2243">
        <v>2021</v>
      </c>
      <c r="D2243" t="s">
        <v>17</v>
      </c>
      <c r="E2243" t="s">
        <v>35</v>
      </c>
      <c r="F2243" t="s">
        <v>40</v>
      </c>
      <c r="G2243" t="s">
        <v>33</v>
      </c>
      <c r="H2243">
        <v>1094.0899999999999</v>
      </c>
    </row>
    <row r="2244" spans="1:8" x14ac:dyDescent="0.3">
      <c r="A2244">
        <v>202111</v>
      </c>
      <c r="B2244" s="1">
        <v>44501</v>
      </c>
      <c r="C2244">
        <v>2021</v>
      </c>
      <c r="D2244" t="s">
        <v>18</v>
      </c>
      <c r="E2244" t="s">
        <v>35</v>
      </c>
      <c r="F2244" t="s">
        <v>40</v>
      </c>
      <c r="G2244" t="s">
        <v>33</v>
      </c>
      <c r="H2244">
        <v>1619.97</v>
      </c>
    </row>
    <row r="2245" spans="1:8" x14ac:dyDescent="0.3">
      <c r="A2245">
        <v>202112</v>
      </c>
      <c r="B2245" s="1">
        <v>44531</v>
      </c>
      <c r="C2245">
        <v>2021</v>
      </c>
      <c r="D2245" t="s">
        <v>19</v>
      </c>
      <c r="E2245" t="s">
        <v>35</v>
      </c>
      <c r="F2245" t="s">
        <v>40</v>
      </c>
      <c r="G2245" t="s">
        <v>33</v>
      </c>
      <c r="H2245">
        <v>1237.72</v>
      </c>
    </row>
    <row r="2246" spans="1:8" x14ac:dyDescent="0.3">
      <c r="A2246">
        <v>202101</v>
      </c>
      <c r="B2246" s="1">
        <v>44197</v>
      </c>
      <c r="C2246">
        <v>2021</v>
      </c>
      <c r="D2246" t="s">
        <v>6</v>
      </c>
      <c r="E2246" t="s">
        <v>36</v>
      </c>
      <c r="F2246" t="s">
        <v>40</v>
      </c>
      <c r="G2246" t="s">
        <v>33</v>
      </c>
      <c r="H2246">
        <v>148.97999999999999</v>
      </c>
    </row>
    <row r="2247" spans="1:8" x14ac:dyDescent="0.3">
      <c r="A2247">
        <v>202102</v>
      </c>
      <c r="B2247" s="1">
        <v>44228</v>
      </c>
      <c r="C2247">
        <v>2021</v>
      </c>
      <c r="D2247" t="s">
        <v>9</v>
      </c>
      <c r="E2247" t="s">
        <v>36</v>
      </c>
      <c r="F2247" t="s">
        <v>40</v>
      </c>
      <c r="G2247" t="s">
        <v>33</v>
      </c>
      <c r="H2247">
        <v>110.48</v>
      </c>
    </row>
    <row r="2248" spans="1:8" x14ac:dyDescent="0.3">
      <c r="A2248">
        <v>202103</v>
      </c>
      <c r="B2248" s="1">
        <v>44256</v>
      </c>
      <c r="C2248">
        <v>2021</v>
      </c>
      <c r="D2248" t="s">
        <v>10</v>
      </c>
      <c r="E2248" t="s">
        <v>36</v>
      </c>
      <c r="F2248" t="s">
        <v>40</v>
      </c>
      <c r="G2248" t="s">
        <v>33</v>
      </c>
      <c r="H2248">
        <v>108.83</v>
      </c>
    </row>
    <row r="2249" spans="1:8" x14ac:dyDescent="0.3">
      <c r="A2249">
        <v>202104</v>
      </c>
      <c r="B2249" s="1">
        <v>44287</v>
      </c>
      <c r="C2249">
        <v>2021</v>
      </c>
      <c r="D2249" t="s">
        <v>11</v>
      </c>
      <c r="E2249" t="s">
        <v>36</v>
      </c>
      <c r="F2249" t="s">
        <v>40</v>
      </c>
      <c r="G2249" t="s">
        <v>33</v>
      </c>
      <c r="H2249">
        <v>158</v>
      </c>
    </row>
    <row r="2250" spans="1:8" x14ac:dyDescent="0.3">
      <c r="A2250">
        <v>202105</v>
      </c>
      <c r="B2250" s="1">
        <v>44317</v>
      </c>
      <c r="C2250">
        <v>2021</v>
      </c>
      <c r="D2250" t="s">
        <v>12</v>
      </c>
      <c r="E2250" t="s">
        <v>36</v>
      </c>
      <c r="F2250" t="s">
        <v>40</v>
      </c>
      <c r="G2250" t="s">
        <v>33</v>
      </c>
      <c r="H2250">
        <v>121.68</v>
      </c>
    </row>
    <row r="2251" spans="1:8" x14ac:dyDescent="0.3">
      <c r="A2251">
        <v>202106</v>
      </c>
      <c r="B2251" s="1">
        <v>44348</v>
      </c>
      <c r="C2251">
        <v>2021</v>
      </c>
      <c r="D2251" t="s">
        <v>13</v>
      </c>
      <c r="E2251" t="s">
        <v>36</v>
      </c>
      <c r="F2251" t="s">
        <v>40</v>
      </c>
      <c r="G2251" t="s">
        <v>33</v>
      </c>
      <c r="H2251">
        <v>122.84</v>
      </c>
    </row>
    <row r="2252" spans="1:8" x14ac:dyDescent="0.3">
      <c r="A2252">
        <v>202107</v>
      </c>
      <c r="B2252" s="1">
        <v>44378</v>
      </c>
      <c r="C2252">
        <v>2021</v>
      </c>
      <c r="D2252" t="s">
        <v>14</v>
      </c>
      <c r="E2252" t="s">
        <v>36</v>
      </c>
      <c r="F2252" t="s">
        <v>40</v>
      </c>
      <c r="G2252" t="s">
        <v>33</v>
      </c>
      <c r="H2252">
        <v>128.88</v>
      </c>
    </row>
    <row r="2253" spans="1:8" x14ac:dyDescent="0.3">
      <c r="A2253">
        <v>202108</v>
      </c>
      <c r="B2253" s="1">
        <v>44409</v>
      </c>
      <c r="C2253">
        <v>2021</v>
      </c>
      <c r="D2253" t="s">
        <v>15</v>
      </c>
      <c r="E2253" t="s">
        <v>36</v>
      </c>
      <c r="F2253" t="s">
        <v>40</v>
      </c>
      <c r="G2253" t="s">
        <v>33</v>
      </c>
      <c r="H2253">
        <v>126.74</v>
      </c>
    </row>
    <row r="2254" spans="1:8" x14ac:dyDescent="0.3">
      <c r="A2254">
        <v>202109</v>
      </c>
      <c r="B2254" s="1">
        <v>44440</v>
      </c>
      <c r="C2254">
        <v>2021</v>
      </c>
      <c r="D2254" t="s">
        <v>16</v>
      </c>
      <c r="E2254" t="s">
        <v>36</v>
      </c>
      <c r="F2254" t="s">
        <v>40</v>
      </c>
      <c r="G2254" t="s">
        <v>33</v>
      </c>
      <c r="H2254">
        <v>109.22</v>
      </c>
    </row>
    <row r="2255" spans="1:8" x14ac:dyDescent="0.3">
      <c r="A2255">
        <v>202110</v>
      </c>
      <c r="B2255" s="1">
        <v>44470</v>
      </c>
      <c r="C2255">
        <v>2021</v>
      </c>
      <c r="D2255" t="s">
        <v>17</v>
      </c>
      <c r="E2255" t="s">
        <v>36</v>
      </c>
      <c r="F2255" t="s">
        <v>40</v>
      </c>
      <c r="G2255" t="s">
        <v>33</v>
      </c>
      <c r="H2255">
        <v>135.62</v>
      </c>
    </row>
    <row r="2256" spans="1:8" x14ac:dyDescent="0.3">
      <c r="A2256">
        <v>202111</v>
      </c>
      <c r="B2256" s="1">
        <v>44501</v>
      </c>
      <c r="C2256">
        <v>2021</v>
      </c>
      <c r="D2256" t="s">
        <v>18</v>
      </c>
      <c r="E2256" t="s">
        <v>36</v>
      </c>
      <c r="F2256" t="s">
        <v>40</v>
      </c>
      <c r="G2256" t="s">
        <v>33</v>
      </c>
      <c r="H2256">
        <v>126.69</v>
      </c>
    </row>
    <row r="2257" spans="1:8" x14ac:dyDescent="0.3">
      <c r="A2257">
        <v>202112</v>
      </c>
      <c r="B2257" s="1">
        <v>44531</v>
      </c>
      <c r="C2257">
        <v>2021</v>
      </c>
      <c r="D2257" t="s">
        <v>19</v>
      </c>
      <c r="E2257" t="s">
        <v>36</v>
      </c>
      <c r="F2257" t="s">
        <v>40</v>
      </c>
      <c r="G2257" t="s">
        <v>33</v>
      </c>
      <c r="H2257">
        <v>139.74</v>
      </c>
    </row>
    <row r="2258" spans="1:8" x14ac:dyDescent="0.3">
      <c r="A2258">
        <v>202101</v>
      </c>
      <c r="B2258" s="1">
        <v>44197</v>
      </c>
      <c r="C2258">
        <v>2021</v>
      </c>
      <c r="D2258" t="s">
        <v>6</v>
      </c>
      <c r="E2258" t="s">
        <v>36</v>
      </c>
      <c r="F2258" t="s">
        <v>40</v>
      </c>
      <c r="G2258" t="s">
        <v>33</v>
      </c>
      <c r="H2258">
        <v>270.22000000000003</v>
      </c>
    </row>
    <row r="2259" spans="1:8" x14ac:dyDescent="0.3">
      <c r="A2259">
        <v>202102</v>
      </c>
      <c r="B2259" s="1">
        <v>44228</v>
      </c>
      <c r="C2259">
        <v>2021</v>
      </c>
      <c r="D2259" t="s">
        <v>9</v>
      </c>
      <c r="E2259" t="s">
        <v>36</v>
      </c>
      <c r="F2259" t="s">
        <v>40</v>
      </c>
      <c r="G2259" t="s">
        <v>33</v>
      </c>
      <c r="H2259">
        <v>170.85</v>
      </c>
    </row>
    <row r="2260" spans="1:8" x14ac:dyDescent="0.3">
      <c r="A2260">
        <v>202103</v>
      </c>
      <c r="B2260" s="1">
        <v>44256</v>
      </c>
      <c r="C2260">
        <v>2021</v>
      </c>
      <c r="D2260" t="s">
        <v>10</v>
      </c>
      <c r="E2260" t="s">
        <v>36</v>
      </c>
      <c r="F2260" t="s">
        <v>40</v>
      </c>
      <c r="G2260" t="s">
        <v>33</v>
      </c>
      <c r="H2260">
        <v>196.68</v>
      </c>
    </row>
    <row r="2261" spans="1:8" x14ac:dyDescent="0.3">
      <c r="A2261">
        <v>202104</v>
      </c>
      <c r="B2261" s="1">
        <v>44287</v>
      </c>
      <c r="C2261">
        <v>2021</v>
      </c>
      <c r="D2261" t="s">
        <v>11</v>
      </c>
      <c r="E2261" t="s">
        <v>36</v>
      </c>
      <c r="F2261" t="s">
        <v>40</v>
      </c>
      <c r="G2261" t="s">
        <v>33</v>
      </c>
      <c r="H2261">
        <v>336.29</v>
      </c>
    </row>
    <row r="2262" spans="1:8" x14ac:dyDescent="0.3">
      <c r="A2262">
        <v>202105</v>
      </c>
      <c r="B2262" s="1">
        <v>44317</v>
      </c>
      <c r="C2262">
        <v>2021</v>
      </c>
      <c r="D2262" t="s">
        <v>12</v>
      </c>
      <c r="E2262" t="s">
        <v>36</v>
      </c>
      <c r="F2262" t="s">
        <v>40</v>
      </c>
      <c r="G2262" t="s">
        <v>33</v>
      </c>
      <c r="H2262">
        <v>263.8</v>
      </c>
    </row>
    <row r="2263" spans="1:8" x14ac:dyDescent="0.3">
      <c r="A2263">
        <v>202106</v>
      </c>
      <c r="B2263" s="1">
        <v>44348</v>
      </c>
      <c r="C2263">
        <v>2021</v>
      </c>
      <c r="D2263" t="s">
        <v>13</v>
      </c>
      <c r="E2263" t="s">
        <v>36</v>
      </c>
      <c r="F2263" t="s">
        <v>40</v>
      </c>
      <c r="G2263" t="s">
        <v>33</v>
      </c>
      <c r="H2263">
        <v>203.81</v>
      </c>
    </row>
    <row r="2264" spans="1:8" x14ac:dyDescent="0.3">
      <c r="A2264">
        <v>202107</v>
      </c>
      <c r="B2264" s="1">
        <v>44378</v>
      </c>
      <c r="C2264">
        <v>2021</v>
      </c>
      <c r="D2264" t="s">
        <v>14</v>
      </c>
      <c r="E2264" t="s">
        <v>36</v>
      </c>
      <c r="F2264" t="s">
        <v>40</v>
      </c>
      <c r="G2264" t="s">
        <v>33</v>
      </c>
      <c r="H2264">
        <v>208.8</v>
      </c>
    </row>
    <row r="2265" spans="1:8" x14ac:dyDescent="0.3">
      <c r="A2265">
        <v>202108</v>
      </c>
      <c r="B2265" s="1">
        <v>44409</v>
      </c>
      <c r="C2265">
        <v>2021</v>
      </c>
      <c r="D2265" t="s">
        <v>15</v>
      </c>
      <c r="E2265" t="s">
        <v>36</v>
      </c>
      <c r="F2265" t="s">
        <v>40</v>
      </c>
      <c r="G2265" t="s">
        <v>33</v>
      </c>
      <c r="H2265">
        <v>325.54000000000002</v>
      </c>
    </row>
    <row r="2266" spans="1:8" x14ac:dyDescent="0.3">
      <c r="A2266">
        <v>202109</v>
      </c>
      <c r="B2266" s="1">
        <v>44440</v>
      </c>
      <c r="C2266">
        <v>2021</v>
      </c>
      <c r="D2266" t="s">
        <v>16</v>
      </c>
      <c r="E2266" t="s">
        <v>36</v>
      </c>
      <c r="F2266" t="s">
        <v>40</v>
      </c>
      <c r="G2266" t="s">
        <v>33</v>
      </c>
      <c r="H2266">
        <v>194.96</v>
      </c>
    </row>
    <row r="2267" spans="1:8" x14ac:dyDescent="0.3">
      <c r="A2267">
        <v>202110</v>
      </c>
      <c r="B2267" s="1">
        <v>44470</v>
      </c>
      <c r="C2267">
        <v>2021</v>
      </c>
      <c r="D2267" t="s">
        <v>17</v>
      </c>
      <c r="E2267" t="s">
        <v>36</v>
      </c>
      <c r="F2267" t="s">
        <v>40</v>
      </c>
      <c r="G2267" t="s">
        <v>33</v>
      </c>
      <c r="H2267">
        <v>209.37</v>
      </c>
    </row>
    <row r="2268" spans="1:8" x14ac:dyDescent="0.3">
      <c r="A2268">
        <v>202111</v>
      </c>
      <c r="B2268" s="1">
        <v>44501</v>
      </c>
      <c r="C2268">
        <v>2021</v>
      </c>
      <c r="D2268" t="s">
        <v>18</v>
      </c>
      <c r="E2268" t="s">
        <v>36</v>
      </c>
      <c r="F2268" t="s">
        <v>40</v>
      </c>
      <c r="G2268" t="s">
        <v>33</v>
      </c>
      <c r="H2268">
        <v>256.77</v>
      </c>
    </row>
    <row r="2269" spans="1:8" x14ac:dyDescent="0.3">
      <c r="A2269">
        <v>202112</v>
      </c>
      <c r="B2269" s="1">
        <v>44531</v>
      </c>
      <c r="C2269">
        <v>2021</v>
      </c>
      <c r="D2269" t="s">
        <v>19</v>
      </c>
      <c r="E2269" t="s">
        <v>36</v>
      </c>
      <c r="F2269" t="s">
        <v>40</v>
      </c>
      <c r="G2269" t="s">
        <v>33</v>
      </c>
      <c r="H2269">
        <v>242.38</v>
      </c>
    </row>
    <row r="2270" spans="1:8" x14ac:dyDescent="0.3">
      <c r="A2270">
        <v>202101</v>
      </c>
      <c r="B2270" s="1">
        <v>44197</v>
      </c>
      <c r="C2270">
        <v>2021</v>
      </c>
      <c r="D2270" t="s">
        <v>6</v>
      </c>
      <c r="E2270" t="s">
        <v>36</v>
      </c>
      <c r="F2270" t="s">
        <v>40</v>
      </c>
      <c r="G2270" t="s">
        <v>33</v>
      </c>
      <c r="H2270">
        <v>211.52</v>
      </c>
    </row>
    <row r="2271" spans="1:8" x14ac:dyDescent="0.3">
      <c r="A2271">
        <v>202102</v>
      </c>
      <c r="B2271" s="1">
        <v>44228</v>
      </c>
      <c r="C2271">
        <v>2021</v>
      </c>
      <c r="D2271" t="s">
        <v>9</v>
      </c>
      <c r="E2271" t="s">
        <v>36</v>
      </c>
      <c r="F2271" t="s">
        <v>40</v>
      </c>
      <c r="G2271" t="s">
        <v>33</v>
      </c>
      <c r="H2271">
        <v>111.07</v>
      </c>
    </row>
    <row r="2272" spans="1:8" x14ac:dyDescent="0.3">
      <c r="A2272">
        <v>202103</v>
      </c>
      <c r="B2272" s="1">
        <v>44256</v>
      </c>
      <c r="C2272">
        <v>2021</v>
      </c>
      <c r="D2272" t="s">
        <v>10</v>
      </c>
      <c r="E2272" t="s">
        <v>36</v>
      </c>
      <c r="F2272" t="s">
        <v>40</v>
      </c>
      <c r="G2272" t="s">
        <v>33</v>
      </c>
      <c r="H2272">
        <v>134.91999999999999</v>
      </c>
    </row>
    <row r="2273" spans="1:8" x14ac:dyDescent="0.3">
      <c r="A2273">
        <v>202104</v>
      </c>
      <c r="B2273" s="1">
        <v>44287</v>
      </c>
      <c r="C2273">
        <v>2021</v>
      </c>
      <c r="D2273" t="s">
        <v>11</v>
      </c>
      <c r="E2273" t="s">
        <v>36</v>
      </c>
      <c r="F2273" t="s">
        <v>40</v>
      </c>
      <c r="G2273" t="s">
        <v>33</v>
      </c>
      <c r="H2273">
        <v>181.83</v>
      </c>
    </row>
    <row r="2274" spans="1:8" x14ac:dyDescent="0.3">
      <c r="A2274">
        <v>202105</v>
      </c>
      <c r="B2274" s="1">
        <v>44317</v>
      </c>
      <c r="C2274">
        <v>2021</v>
      </c>
      <c r="D2274" t="s">
        <v>12</v>
      </c>
      <c r="E2274" t="s">
        <v>36</v>
      </c>
      <c r="F2274" t="s">
        <v>40</v>
      </c>
      <c r="G2274" t="s">
        <v>33</v>
      </c>
      <c r="H2274">
        <v>141.76</v>
      </c>
    </row>
    <row r="2275" spans="1:8" x14ac:dyDescent="0.3">
      <c r="A2275">
        <v>202106</v>
      </c>
      <c r="B2275" s="1">
        <v>44348</v>
      </c>
      <c r="C2275">
        <v>2021</v>
      </c>
      <c r="D2275" t="s">
        <v>13</v>
      </c>
      <c r="E2275" t="s">
        <v>36</v>
      </c>
      <c r="F2275" t="s">
        <v>40</v>
      </c>
      <c r="G2275" t="s">
        <v>33</v>
      </c>
      <c r="H2275">
        <v>132.75</v>
      </c>
    </row>
    <row r="2276" spans="1:8" x14ac:dyDescent="0.3">
      <c r="A2276">
        <v>202107</v>
      </c>
      <c r="B2276" s="1">
        <v>44378</v>
      </c>
      <c r="C2276">
        <v>2021</v>
      </c>
      <c r="D2276" t="s">
        <v>14</v>
      </c>
      <c r="E2276" t="s">
        <v>36</v>
      </c>
      <c r="F2276" t="s">
        <v>40</v>
      </c>
      <c r="G2276" t="s">
        <v>33</v>
      </c>
      <c r="H2276">
        <v>142.43</v>
      </c>
    </row>
    <row r="2277" spans="1:8" x14ac:dyDescent="0.3">
      <c r="A2277">
        <v>202108</v>
      </c>
      <c r="B2277" s="1">
        <v>44409</v>
      </c>
      <c r="C2277">
        <v>2021</v>
      </c>
      <c r="D2277" t="s">
        <v>15</v>
      </c>
      <c r="E2277" t="s">
        <v>36</v>
      </c>
      <c r="F2277" t="s">
        <v>40</v>
      </c>
      <c r="G2277" t="s">
        <v>33</v>
      </c>
      <c r="H2277">
        <v>123.15</v>
      </c>
    </row>
    <row r="2278" spans="1:8" x14ac:dyDescent="0.3">
      <c r="A2278">
        <v>202109</v>
      </c>
      <c r="B2278" s="1">
        <v>44440</v>
      </c>
      <c r="C2278">
        <v>2021</v>
      </c>
      <c r="D2278" t="s">
        <v>16</v>
      </c>
      <c r="E2278" t="s">
        <v>36</v>
      </c>
      <c r="F2278" t="s">
        <v>40</v>
      </c>
      <c r="G2278" t="s">
        <v>33</v>
      </c>
      <c r="H2278">
        <v>128.96</v>
      </c>
    </row>
    <row r="2279" spans="1:8" x14ac:dyDescent="0.3">
      <c r="A2279">
        <v>202110</v>
      </c>
      <c r="B2279" s="1">
        <v>44470</v>
      </c>
      <c r="C2279">
        <v>2021</v>
      </c>
      <c r="D2279" t="s">
        <v>17</v>
      </c>
      <c r="E2279" t="s">
        <v>36</v>
      </c>
      <c r="F2279" t="s">
        <v>40</v>
      </c>
      <c r="G2279" t="s">
        <v>33</v>
      </c>
      <c r="H2279">
        <v>157.44999999999999</v>
      </c>
    </row>
    <row r="2280" spans="1:8" x14ac:dyDescent="0.3">
      <c r="A2280">
        <v>202111</v>
      </c>
      <c r="B2280" s="1">
        <v>44501</v>
      </c>
      <c r="C2280">
        <v>2021</v>
      </c>
      <c r="D2280" t="s">
        <v>18</v>
      </c>
      <c r="E2280" t="s">
        <v>36</v>
      </c>
      <c r="F2280" t="s">
        <v>40</v>
      </c>
      <c r="G2280" t="s">
        <v>33</v>
      </c>
      <c r="H2280">
        <v>156.47</v>
      </c>
    </row>
    <row r="2281" spans="1:8" x14ac:dyDescent="0.3">
      <c r="A2281">
        <v>202112</v>
      </c>
      <c r="B2281" s="1">
        <v>44531</v>
      </c>
      <c r="C2281">
        <v>2021</v>
      </c>
      <c r="D2281" t="s">
        <v>19</v>
      </c>
      <c r="E2281" t="s">
        <v>36</v>
      </c>
      <c r="F2281" t="s">
        <v>40</v>
      </c>
      <c r="G2281" t="s">
        <v>33</v>
      </c>
      <c r="H2281">
        <v>159.31</v>
      </c>
    </row>
    <row r="2282" spans="1:8" x14ac:dyDescent="0.3">
      <c r="A2282">
        <v>202101</v>
      </c>
      <c r="B2282" s="1">
        <v>44197</v>
      </c>
      <c r="C2282">
        <v>2021</v>
      </c>
      <c r="D2282" t="s">
        <v>6</v>
      </c>
      <c r="E2282" t="s">
        <v>36</v>
      </c>
      <c r="F2282" t="s">
        <v>40</v>
      </c>
      <c r="G2282" t="s">
        <v>33</v>
      </c>
      <c r="H2282">
        <v>157.69999999999999</v>
      </c>
    </row>
    <row r="2283" spans="1:8" x14ac:dyDescent="0.3">
      <c r="A2283">
        <v>202102</v>
      </c>
      <c r="B2283" s="1">
        <v>44228</v>
      </c>
      <c r="C2283">
        <v>2021</v>
      </c>
      <c r="D2283" t="s">
        <v>9</v>
      </c>
      <c r="E2283" t="s">
        <v>36</v>
      </c>
      <c r="F2283" t="s">
        <v>40</v>
      </c>
      <c r="G2283" t="s">
        <v>33</v>
      </c>
      <c r="H2283">
        <v>93.91</v>
      </c>
    </row>
    <row r="2284" spans="1:8" x14ac:dyDescent="0.3">
      <c r="A2284">
        <v>202103</v>
      </c>
      <c r="B2284" s="1">
        <v>44256</v>
      </c>
      <c r="C2284">
        <v>2021</v>
      </c>
      <c r="D2284" t="s">
        <v>10</v>
      </c>
      <c r="E2284" t="s">
        <v>36</v>
      </c>
      <c r="F2284" t="s">
        <v>40</v>
      </c>
      <c r="G2284" t="s">
        <v>33</v>
      </c>
      <c r="H2284">
        <v>80.930000000000007</v>
      </c>
    </row>
    <row r="2285" spans="1:8" x14ac:dyDescent="0.3">
      <c r="A2285">
        <v>202104</v>
      </c>
      <c r="B2285" s="1">
        <v>44287</v>
      </c>
      <c r="C2285">
        <v>2021</v>
      </c>
      <c r="D2285" t="s">
        <v>11</v>
      </c>
      <c r="E2285" t="s">
        <v>36</v>
      </c>
      <c r="F2285" t="s">
        <v>40</v>
      </c>
      <c r="G2285" t="s">
        <v>33</v>
      </c>
      <c r="H2285">
        <v>109.43</v>
      </c>
    </row>
    <row r="2286" spans="1:8" x14ac:dyDescent="0.3">
      <c r="A2286">
        <v>202105</v>
      </c>
      <c r="B2286" s="1">
        <v>44317</v>
      </c>
      <c r="C2286">
        <v>2021</v>
      </c>
      <c r="D2286" t="s">
        <v>12</v>
      </c>
      <c r="E2286" t="s">
        <v>36</v>
      </c>
      <c r="F2286" t="s">
        <v>40</v>
      </c>
      <c r="G2286" t="s">
        <v>33</v>
      </c>
      <c r="H2286">
        <v>77.709999999999994</v>
      </c>
    </row>
    <row r="2287" spans="1:8" x14ac:dyDescent="0.3">
      <c r="A2287">
        <v>202106</v>
      </c>
      <c r="B2287" s="1">
        <v>44348</v>
      </c>
      <c r="C2287">
        <v>2021</v>
      </c>
      <c r="D2287" t="s">
        <v>13</v>
      </c>
      <c r="E2287" t="s">
        <v>36</v>
      </c>
      <c r="F2287" t="s">
        <v>40</v>
      </c>
      <c r="G2287" t="s">
        <v>33</v>
      </c>
      <c r="H2287">
        <v>81.13</v>
      </c>
    </row>
    <row r="2288" spans="1:8" x14ac:dyDescent="0.3">
      <c r="A2288">
        <v>202107</v>
      </c>
      <c r="B2288" s="1">
        <v>44378</v>
      </c>
      <c r="C2288">
        <v>2021</v>
      </c>
      <c r="D2288" t="s">
        <v>14</v>
      </c>
      <c r="E2288" t="s">
        <v>36</v>
      </c>
      <c r="F2288" t="s">
        <v>40</v>
      </c>
      <c r="G2288" t="s">
        <v>33</v>
      </c>
      <c r="H2288">
        <v>91.43</v>
      </c>
    </row>
    <row r="2289" spans="1:8" x14ac:dyDescent="0.3">
      <c r="A2289">
        <v>202108</v>
      </c>
      <c r="B2289" s="1">
        <v>44409</v>
      </c>
      <c r="C2289">
        <v>2021</v>
      </c>
      <c r="D2289" t="s">
        <v>15</v>
      </c>
      <c r="E2289" t="s">
        <v>36</v>
      </c>
      <c r="F2289" t="s">
        <v>40</v>
      </c>
      <c r="G2289" t="s">
        <v>33</v>
      </c>
      <c r="H2289">
        <v>93.53</v>
      </c>
    </row>
    <row r="2290" spans="1:8" x14ac:dyDescent="0.3">
      <c r="A2290">
        <v>202109</v>
      </c>
      <c r="B2290" s="1">
        <v>44440</v>
      </c>
      <c r="C2290">
        <v>2021</v>
      </c>
      <c r="D2290" t="s">
        <v>16</v>
      </c>
      <c r="E2290" t="s">
        <v>36</v>
      </c>
      <c r="F2290" t="s">
        <v>40</v>
      </c>
      <c r="G2290" t="s">
        <v>33</v>
      </c>
      <c r="H2290">
        <v>78.77</v>
      </c>
    </row>
    <row r="2291" spans="1:8" x14ac:dyDescent="0.3">
      <c r="A2291">
        <v>202110</v>
      </c>
      <c r="B2291" s="1">
        <v>44470</v>
      </c>
      <c r="C2291">
        <v>2021</v>
      </c>
      <c r="D2291" t="s">
        <v>17</v>
      </c>
      <c r="E2291" t="s">
        <v>36</v>
      </c>
      <c r="F2291" t="s">
        <v>40</v>
      </c>
      <c r="G2291" t="s">
        <v>33</v>
      </c>
      <c r="H2291">
        <v>77.709999999999994</v>
      </c>
    </row>
    <row r="2292" spans="1:8" x14ac:dyDescent="0.3">
      <c r="A2292">
        <v>202111</v>
      </c>
      <c r="B2292" s="1">
        <v>44501</v>
      </c>
      <c r="C2292">
        <v>2021</v>
      </c>
      <c r="D2292" t="s">
        <v>18</v>
      </c>
      <c r="E2292" t="s">
        <v>36</v>
      </c>
      <c r="F2292" t="s">
        <v>40</v>
      </c>
      <c r="G2292" t="s">
        <v>33</v>
      </c>
      <c r="H2292">
        <v>87.63</v>
      </c>
    </row>
    <row r="2293" spans="1:8" x14ac:dyDescent="0.3">
      <c r="A2293">
        <v>202112</v>
      </c>
      <c r="B2293" s="1">
        <v>44531</v>
      </c>
      <c r="C2293">
        <v>2021</v>
      </c>
      <c r="D2293" t="s">
        <v>19</v>
      </c>
      <c r="E2293" t="s">
        <v>36</v>
      </c>
      <c r="F2293" t="s">
        <v>40</v>
      </c>
      <c r="G2293" t="s">
        <v>33</v>
      </c>
      <c r="H2293">
        <v>105.05</v>
      </c>
    </row>
    <row r="2294" spans="1:8" x14ac:dyDescent="0.3">
      <c r="A2294">
        <v>202101</v>
      </c>
      <c r="B2294" s="1">
        <v>44197</v>
      </c>
      <c r="C2294">
        <v>2021</v>
      </c>
      <c r="D2294" t="s">
        <v>6</v>
      </c>
      <c r="E2294" t="s">
        <v>37</v>
      </c>
      <c r="F2294" t="s">
        <v>40</v>
      </c>
      <c r="G2294" t="s">
        <v>33</v>
      </c>
      <c r="H2294">
        <v>269.35000000000002</v>
      </c>
    </row>
    <row r="2295" spans="1:8" x14ac:dyDescent="0.3">
      <c r="A2295">
        <v>202102</v>
      </c>
      <c r="B2295" s="1">
        <v>44228</v>
      </c>
      <c r="C2295">
        <v>2021</v>
      </c>
      <c r="D2295" t="s">
        <v>9</v>
      </c>
      <c r="E2295" t="s">
        <v>37</v>
      </c>
      <c r="F2295" t="s">
        <v>40</v>
      </c>
      <c r="G2295" t="s">
        <v>33</v>
      </c>
      <c r="H2295">
        <v>161.06</v>
      </c>
    </row>
    <row r="2296" spans="1:8" x14ac:dyDescent="0.3">
      <c r="A2296">
        <v>202103</v>
      </c>
      <c r="B2296" s="1">
        <v>44256</v>
      </c>
      <c r="C2296">
        <v>2021</v>
      </c>
      <c r="D2296" t="s">
        <v>10</v>
      </c>
      <c r="E2296" t="s">
        <v>37</v>
      </c>
      <c r="F2296" t="s">
        <v>40</v>
      </c>
      <c r="G2296" t="s">
        <v>33</v>
      </c>
      <c r="H2296">
        <v>190.01</v>
      </c>
    </row>
    <row r="2297" spans="1:8" x14ac:dyDescent="0.3">
      <c r="A2297">
        <v>202104</v>
      </c>
      <c r="B2297" s="1">
        <v>44287</v>
      </c>
      <c r="C2297">
        <v>2021</v>
      </c>
      <c r="D2297" t="s">
        <v>11</v>
      </c>
      <c r="E2297" t="s">
        <v>37</v>
      </c>
      <c r="F2297" t="s">
        <v>40</v>
      </c>
      <c r="G2297" t="s">
        <v>33</v>
      </c>
      <c r="H2297">
        <v>262.5</v>
      </c>
    </row>
    <row r="2298" spans="1:8" x14ac:dyDescent="0.3">
      <c r="A2298">
        <v>202105</v>
      </c>
      <c r="B2298" s="1">
        <v>44317</v>
      </c>
      <c r="C2298">
        <v>2021</v>
      </c>
      <c r="D2298" t="s">
        <v>12</v>
      </c>
      <c r="E2298" t="s">
        <v>37</v>
      </c>
      <c r="F2298" t="s">
        <v>40</v>
      </c>
      <c r="G2298" t="s">
        <v>33</v>
      </c>
      <c r="H2298">
        <v>203.82</v>
      </c>
    </row>
    <row r="2299" spans="1:8" x14ac:dyDescent="0.3">
      <c r="A2299">
        <v>202106</v>
      </c>
      <c r="B2299" s="1">
        <v>44348</v>
      </c>
      <c r="C2299">
        <v>2021</v>
      </c>
      <c r="D2299" t="s">
        <v>13</v>
      </c>
      <c r="E2299" t="s">
        <v>37</v>
      </c>
      <c r="F2299" t="s">
        <v>40</v>
      </c>
      <c r="G2299" t="s">
        <v>33</v>
      </c>
      <c r="H2299">
        <v>221.93</v>
      </c>
    </row>
    <row r="2300" spans="1:8" x14ac:dyDescent="0.3">
      <c r="A2300">
        <v>202107</v>
      </c>
      <c r="B2300" s="1">
        <v>44378</v>
      </c>
      <c r="C2300">
        <v>2021</v>
      </c>
      <c r="D2300" t="s">
        <v>14</v>
      </c>
      <c r="E2300" t="s">
        <v>37</v>
      </c>
      <c r="F2300" t="s">
        <v>40</v>
      </c>
      <c r="G2300" t="s">
        <v>33</v>
      </c>
      <c r="H2300">
        <v>206.17</v>
      </c>
    </row>
    <row r="2301" spans="1:8" x14ac:dyDescent="0.3">
      <c r="A2301">
        <v>202108</v>
      </c>
      <c r="B2301" s="1">
        <v>44409</v>
      </c>
      <c r="C2301">
        <v>2021</v>
      </c>
      <c r="D2301" t="s">
        <v>15</v>
      </c>
      <c r="E2301" t="s">
        <v>37</v>
      </c>
      <c r="F2301" t="s">
        <v>40</v>
      </c>
      <c r="G2301" t="s">
        <v>33</v>
      </c>
      <c r="H2301">
        <v>201.14</v>
      </c>
    </row>
    <row r="2302" spans="1:8" x14ac:dyDescent="0.3">
      <c r="A2302">
        <v>202109</v>
      </c>
      <c r="B2302" s="1">
        <v>44440</v>
      </c>
      <c r="C2302">
        <v>2021</v>
      </c>
      <c r="D2302" t="s">
        <v>16</v>
      </c>
      <c r="E2302" t="s">
        <v>37</v>
      </c>
      <c r="F2302" t="s">
        <v>40</v>
      </c>
      <c r="G2302" t="s">
        <v>33</v>
      </c>
      <c r="H2302">
        <v>206.43</v>
      </c>
    </row>
    <row r="2303" spans="1:8" x14ac:dyDescent="0.3">
      <c r="A2303">
        <v>202110</v>
      </c>
      <c r="B2303" s="1">
        <v>44470</v>
      </c>
      <c r="C2303">
        <v>2021</v>
      </c>
      <c r="D2303" t="s">
        <v>17</v>
      </c>
      <c r="E2303" t="s">
        <v>37</v>
      </c>
      <c r="F2303" t="s">
        <v>40</v>
      </c>
      <c r="G2303" t="s">
        <v>33</v>
      </c>
      <c r="H2303">
        <v>204.78</v>
      </c>
    </row>
    <row r="2304" spans="1:8" x14ac:dyDescent="0.3">
      <c r="A2304">
        <v>202111</v>
      </c>
      <c r="B2304" s="1">
        <v>44501</v>
      </c>
      <c r="C2304">
        <v>2021</v>
      </c>
      <c r="D2304" t="s">
        <v>18</v>
      </c>
      <c r="E2304" t="s">
        <v>37</v>
      </c>
      <c r="F2304" t="s">
        <v>40</v>
      </c>
      <c r="G2304" t="s">
        <v>33</v>
      </c>
      <c r="H2304">
        <v>224.72</v>
      </c>
    </row>
    <row r="2305" spans="1:8" x14ac:dyDescent="0.3">
      <c r="A2305">
        <v>202112</v>
      </c>
      <c r="B2305" s="1">
        <v>44531</v>
      </c>
      <c r="C2305">
        <v>2021</v>
      </c>
      <c r="D2305" t="s">
        <v>19</v>
      </c>
      <c r="E2305" t="s">
        <v>37</v>
      </c>
      <c r="F2305" t="s">
        <v>40</v>
      </c>
      <c r="G2305" t="s">
        <v>33</v>
      </c>
      <c r="H2305">
        <v>175.12</v>
      </c>
    </row>
    <row r="2306" spans="1:8" x14ac:dyDescent="0.3">
      <c r="A2306">
        <v>202101</v>
      </c>
      <c r="B2306" s="1">
        <v>44197</v>
      </c>
      <c r="C2306">
        <v>2021</v>
      </c>
      <c r="D2306" t="s">
        <v>6</v>
      </c>
      <c r="E2306" t="s">
        <v>37</v>
      </c>
      <c r="F2306" t="s">
        <v>40</v>
      </c>
      <c r="G2306" t="s">
        <v>33</v>
      </c>
      <c r="H2306">
        <v>153.30000000000001</v>
      </c>
    </row>
    <row r="2307" spans="1:8" x14ac:dyDescent="0.3">
      <c r="A2307">
        <v>202102</v>
      </c>
      <c r="B2307" s="1">
        <v>44228</v>
      </c>
      <c r="C2307">
        <v>2021</v>
      </c>
      <c r="D2307" t="s">
        <v>9</v>
      </c>
      <c r="E2307" t="s">
        <v>37</v>
      </c>
      <c r="F2307" t="s">
        <v>40</v>
      </c>
      <c r="G2307" t="s">
        <v>33</v>
      </c>
      <c r="H2307">
        <v>76.290000000000006</v>
      </c>
    </row>
    <row r="2308" spans="1:8" x14ac:dyDescent="0.3">
      <c r="A2308">
        <v>202103</v>
      </c>
      <c r="B2308" s="1">
        <v>44256</v>
      </c>
      <c r="C2308">
        <v>2021</v>
      </c>
      <c r="D2308" t="s">
        <v>10</v>
      </c>
      <c r="E2308" t="s">
        <v>37</v>
      </c>
      <c r="F2308" t="s">
        <v>40</v>
      </c>
      <c r="G2308" t="s">
        <v>33</v>
      </c>
      <c r="H2308">
        <v>87.64</v>
      </c>
    </row>
    <row r="2309" spans="1:8" x14ac:dyDescent="0.3">
      <c r="A2309">
        <v>202104</v>
      </c>
      <c r="B2309" s="1">
        <v>44287</v>
      </c>
      <c r="C2309">
        <v>2021</v>
      </c>
      <c r="D2309" t="s">
        <v>11</v>
      </c>
      <c r="E2309" t="s">
        <v>37</v>
      </c>
      <c r="F2309" t="s">
        <v>40</v>
      </c>
      <c r="G2309" t="s">
        <v>33</v>
      </c>
      <c r="H2309">
        <v>129.24</v>
      </c>
    </row>
    <row r="2310" spans="1:8" x14ac:dyDescent="0.3">
      <c r="A2310">
        <v>202105</v>
      </c>
      <c r="B2310" s="1">
        <v>44317</v>
      </c>
      <c r="C2310">
        <v>2021</v>
      </c>
      <c r="D2310" t="s">
        <v>12</v>
      </c>
      <c r="E2310" t="s">
        <v>37</v>
      </c>
      <c r="F2310" t="s">
        <v>40</v>
      </c>
      <c r="G2310" t="s">
        <v>33</v>
      </c>
      <c r="H2310">
        <v>88.04</v>
      </c>
    </row>
    <row r="2311" spans="1:8" x14ac:dyDescent="0.3">
      <c r="A2311">
        <v>202106</v>
      </c>
      <c r="B2311" s="1">
        <v>44348</v>
      </c>
      <c r="C2311">
        <v>2021</v>
      </c>
      <c r="D2311" t="s">
        <v>13</v>
      </c>
      <c r="E2311" t="s">
        <v>37</v>
      </c>
      <c r="F2311" t="s">
        <v>40</v>
      </c>
      <c r="G2311" t="s">
        <v>33</v>
      </c>
      <c r="H2311">
        <v>84.24</v>
      </c>
    </row>
    <row r="2312" spans="1:8" x14ac:dyDescent="0.3">
      <c r="A2312">
        <v>202107</v>
      </c>
      <c r="B2312" s="1">
        <v>44378</v>
      </c>
      <c r="C2312">
        <v>2021</v>
      </c>
      <c r="D2312" t="s">
        <v>14</v>
      </c>
      <c r="E2312" t="s">
        <v>37</v>
      </c>
      <c r="F2312" t="s">
        <v>40</v>
      </c>
      <c r="G2312" t="s">
        <v>33</v>
      </c>
      <c r="H2312">
        <v>95.97</v>
      </c>
    </row>
    <row r="2313" spans="1:8" x14ac:dyDescent="0.3">
      <c r="A2313">
        <v>202108</v>
      </c>
      <c r="B2313" s="1">
        <v>44409</v>
      </c>
      <c r="C2313">
        <v>2021</v>
      </c>
      <c r="D2313" t="s">
        <v>15</v>
      </c>
      <c r="E2313" t="s">
        <v>37</v>
      </c>
      <c r="F2313" t="s">
        <v>40</v>
      </c>
      <c r="G2313" t="s">
        <v>33</v>
      </c>
      <c r="H2313">
        <v>97.91</v>
      </c>
    </row>
    <row r="2314" spans="1:8" x14ac:dyDescent="0.3">
      <c r="A2314">
        <v>202109</v>
      </c>
      <c r="B2314" s="1">
        <v>44440</v>
      </c>
      <c r="C2314">
        <v>2021</v>
      </c>
      <c r="D2314" t="s">
        <v>16</v>
      </c>
      <c r="E2314" t="s">
        <v>37</v>
      </c>
      <c r="F2314" t="s">
        <v>40</v>
      </c>
      <c r="G2314" t="s">
        <v>33</v>
      </c>
      <c r="H2314">
        <v>84.9</v>
      </c>
    </row>
    <row r="2315" spans="1:8" x14ac:dyDescent="0.3">
      <c r="A2315">
        <v>202110</v>
      </c>
      <c r="B2315" s="1">
        <v>44470</v>
      </c>
      <c r="C2315">
        <v>2021</v>
      </c>
      <c r="D2315" t="s">
        <v>17</v>
      </c>
      <c r="E2315" t="s">
        <v>37</v>
      </c>
      <c r="F2315" t="s">
        <v>40</v>
      </c>
      <c r="G2315" t="s">
        <v>33</v>
      </c>
      <c r="H2315">
        <v>98.89</v>
      </c>
    </row>
    <row r="2316" spans="1:8" x14ac:dyDescent="0.3">
      <c r="A2316">
        <v>202111</v>
      </c>
      <c r="B2316" s="1">
        <v>44501</v>
      </c>
      <c r="C2316">
        <v>2021</v>
      </c>
      <c r="D2316" t="s">
        <v>18</v>
      </c>
      <c r="E2316" t="s">
        <v>37</v>
      </c>
      <c r="F2316" t="s">
        <v>40</v>
      </c>
      <c r="G2316" t="s">
        <v>33</v>
      </c>
      <c r="H2316">
        <v>100.3</v>
      </c>
    </row>
    <row r="2317" spans="1:8" x14ac:dyDescent="0.3">
      <c r="A2317">
        <v>202112</v>
      </c>
      <c r="B2317" s="1">
        <v>44531</v>
      </c>
      <c r="C2317">
        <v>2021</v>
      </c>
      <c r="D2317" t="s">
        <v>19</v>
      </c>
      <c r="E2317" t="s">
        <v>37</v>
      </c>
      <c r="F2317" t="s">
        <v>40</v>
      </c>
      <c r="G2317" t="s">
        <v>33</v>
      </c>
      <c r="H2317">
        <v>88.01</v>
      </c>
    </row>
    <row r="2318" spans="1:8" x14ac:dyDescent="0.3">
      <c r="A2318">
        <v>202101</v>
      </c>
      <c r="B2318" s="1">
        <v>44197</v>
      </c>
      <c r="C2318">
        <v>2021</v>
      </c>
      <c r="D2318" t="s">
        <v>6</v>
      </c>
      <c r="E2318" t="s">
        <v>37</v>
      </c>
      <c r="F2318" t="s">
        <v>40</v>
      </c>
      <c r="G2318" t="s">
        <v>33</v>
      </c>
      <c r="H2318">
        <v>140.36000000000001</v>
      </c>
    </row>
    <row r="2319" spans="1:8" x14ac:dyDescent="0.3">
      <c r="A2319">
        <v>202102</v>
      </c>
      <c r="B2319" s="1">
        <v>44228</v>
      </c>
      <c r="C2319">
        <v>2021</v>
      </c>
      <c r="D2319" t="s">
        <v>9</v>
      </c>
      <c r="E2319" t="s">
        <v>37</v>
      </c>
      <c r="F2319" t="s">
        <v>40</v>
      </c>
      <c r="G2319" t="s">
        <v>33</v>
      </c>
      <c r="H2319">
        <v>75.66</v>
      </c>
    </row>
    <row r="2320" spans="1:8" x14ac:dyDescent="0.3">
      <c r="A2320">
        <v>202103</v>
      </c>
      <c r="B2320" s="1">
        <v>44256</v>
      </c>
      <c r="C2320">
        <v>2021</v>
      </c>
      <c r="D2320" t="s">
        <v>10</v>
      </c>
      <c r="E2320" t="s">
        <v>37</v>
      </c>
      <c r="F2320" t="s">
        <v>40</v>
      </c>
      <c r="G2320" t="s">
        <v>33</v>
      </c>
      <c r="H2320">
        <v>85.76</v>
      </c>
    </row>
    <row r="2321" spans="1:8" x14ac:dyDescent="0.3">
      <c r="A2321">
        <v>202104</v>
      </c>
      <c r="B2321" s="1">
        <v>44287</v>
      </c>
      <c r="C2321">
        <v>2021</v>
      </c>
      <c r="D2321" t="s">
        <v>11</v>
      </c>
      <c r="E2321" t="s">
        <v>37</v>
      </c>
      <c r="F2321" t="s">
        <v>40</v>
      </c>
      <c r="G2321" t="s">
        <v>33</v>
      </c>
      <c r="H2321">
        <v>115.33</v>
      </c>
    </row>
    <row r="2322" spans="1:8" x14ac:dyDescent="0.3">
      <c r="A2322">
        <v>202105</v>
      </c>
      <c r="B2322" s="1">
        <v>44317</v>
      </c>
      <c r="C2322">
        <v>2021</v>
      </c>
      <c r="D2322" t="s">
        <v>12</v>
      </c>
      <c r="E2322" t="s">
        <v>37</v>
      </c>
      <c r="F2322" t="s">
        <v>40</v>
      </c>
      <c r="G2322" t="s">
        <v>33</v>
      </c>
      <c r="H2322">
        <v>126.73</v>
      </c>
    </row>
    <row r="2323" spans="1:8" x14ac:dyDescent="0.3">
      <c r="A2323">
        <v>202106</v>
      </c>
      <c r="B2323" s="1">
        <v>44348</v>
      </c>
      <c r="C2323">
        <v>2021</v>
      </c>
      <c r="D2323" t="s">
        <v>13</v>
      </c>
      <c r="E2323" t="s">
        <v>37</v>
      </c>
      <c r="F2323" t="s">
        <v>40</v>
      </c>
      <c r="G2323" t="s">
        <v>33</v>
      </c>
      <c r="H2323">
        <v>93.43</v>
      </c>
    </row>
    <row r="2324" spans="1:8" x14ac:dyDescent="0.3">
      <c r="A2324">
        <v>202107</v>
      </c>
      <c r="B2324" s="1">
        <v>44378</v>
      </c>
      <c r="C2324">
        <v>2021</v>
      </c>
      <c r="D2324" t="s">
        <v>14</v>
      </c>
      <c r="E2324" t="s">
        <v>37</v>
      </c>
      <c r="F2324" t="s">
        <v>40</v>
      </c>
      <c r="G2324" t="s">
        <v>33</v>
      </c>
      <c r="H2324">
        <v>113.14</v>
      </c>
    </row>
    <row r="2325" spans="1:8" x14ac:dyDescent="0.3">
      <c r="A2325">
        <v>202108</v>
      </c>
      <c r="B2325" s="1">
        <v>44409</v>
      </c>
      <c r="C2325">
        <v>2021</v>
      </c>
      <c r="D2325" t="s">
        <v>15</v>
      </c>
      <c r="E2325" t="s">
        <v>37</v>
      </c>
      <c r="F2325" t="s">
        <v>40</v>
      </c>
      <c r="G2325" t="s">
        <v>33</v>
      </c>
      <c r="H2325">
        <v>100.86</v>
      </c>
    </row>
    <row r="2326" spans="1:8" x14ac:dyDescent="0.3">
      <c r="A2326">
        <v>202109</v>
      </c>
      <c r="B2326" s="1">
        <v>44440</v>
      </c>
      <c r="C2326">
        <v>2021</v>
      </c>
      <c r="D2326" t="s">
        <v>16</v>
      </c>
      <c r="E2326" t="s">
        <v>37</v>
      </c>
      <c r="F2326" t="s">
        <v>40</v>
      </c>
      <c r="G2326" t="s">
        <v>33</v>
      </c>
      <c r="H2326">
        <v>102.47</v>
      </c>
    </row>
    <row r="2327" spans="1:8" x14ac:dyDescent="0.3">
      <c r="A2327">
        <v>202110</v>
      </c>
      <c r="B2327" s="1">
        <v>44470</v>
      </c>
      <c r="C2327">
        <v>2021</v>
      </c>
      <c r="D2327" t="s">
        <v>17</v>
      </c>
      <c r="E2327" t="s">
        <v>37</v>
      </c>
      <c r="F2327" t="s">
        <v>40</v>
      </c>
      <c r="G2327" t="s">
        <v>33</v>
      </c>
      <c r="H2327">
        <v>99.87</v>
      </c>
    </row>
    <row r="2328" spans="1:8" x14ac:dyDescent="0.3">
      <c r="A2328">
        <v>202111</v>
      </c>
      <c r="B2328" s="1">
        <v>44501</v>
      </c>
      <c r="C2328">
        <v>2021</v>
      </c>
      <c r="D2328" t="s">
        <v>18</v>
      </c>
      <c r="E2328" t="s">
        <v>37</v>
      </c>
      <c r="F2328" t="s">
        <v>40</v>
      </c>
      <c r="G2328" t="s">
        <v>33</v>
      </c>
      <c r="H2328">
        <v>113.12</v>
      </c>
    </row>
    <row r="2329" spans="1:8" x14ac:dyDescent="0.3">
      <c r="A2329">
        <v>202112</v>
      </c>
      <c r="B2329" s="1">
        <v>44531</v>
      </c>
      <c r="C2329">
        <v>2021</v>
      </c>
      <c r="D2329" t="s">
        <v>19</v>
      </c>
      <c r="E2329" t="s">
        <v>37</v>
      </c>
      <c r="F2329" t="s">
        <v>40</v>
      </c>
      <c r="G2329" t="s">
        <v>33</v>
      </c>
      <c r="H2329">
        <v>92.47</v>
      </c>
    </row>
    <row r="2330" spans="1:8" x14ac:dyDescent="0.3">
      <c r="A2330">
        <v>202101</v>
      </c>
      <c r="B2330" s="1">
        <v>44197</v>
      </c>
      <c r="C2330">
        <v>2021</v>
      </c>
      <c r="D2330" t="s">
        <v>6</v>
      </c>
      <c r="E2330" t="s">
        <v>37</v>
      </c>
      <c r="F2330" t="s">
        <v>40</v>
      </c>
      <c r="G2330" t="s">
        <v>33</v>
      </c>
      <c r="H2330">
        <v>97.08</v>
      </c>
    </row>
    <row r="2331" spans="1:8" x14ac:dyDescent="0.3">
      <c r="A2331">
        <v>202102</v>
      </c>
      <c r="B2331" s="1">
        <v>44228</v>
      </c>
      <c r="C2331">
        <v>2021</v>
      </c>
      <c r="D2331" t="s">
        <v>9</v>
      </c>
      <c r="E2331" t="s">
        <v>37</v>
      </c>
      <c r="F2331" t="s">
        <v>40</v>
      </c>
      <c r="G2331" t="s">
        <v>33</v>
      </c>
      <c r="H2331">
        <v>61.41</v>
      </c>
    </row>
    <row r="2332" spans="1:8" x14ac:dyDescent="0.3">
      <c r="A2332">
        <v>202103</v>
      </c>
      <c r="B2332" s="1">
        <v>44256</v>
      </c>
      <c r="C2332">
        <v>2021</v>
      </c>
      <c r="D2332" t="s">
        <v>10</v>
      </c>
      <c r="E2332" t="s">
        <v>37</v>
      </c>
      <c r="F2332" t="s">
        <v>40</v>
      </c>
      <c r="G2332" t="s">
        <v>33</v>
      </c>
      <c r="H2332">
        <v>64.34</v>
      </c>
    </row>
    <row r="2333" spans="1:8" x14ac:dyDescent="0.3">
      <c r="A2333">
        <v>202104</v>
      </c>
      <c r="B2333" s="1">
        <v>44287</v>
      </c>
      <c r="C2333">
        <v>2021</v>
      </c>
      <c r="D2333" t="s">
        <v>11</v>
      </c>
      <c r="E2333" t="s">
        <v>37</v>
      </c>
      <c r="F2333" t="s">
        <v>40</v>
      </c>
      <c r="G2333" t="s">
        <v>33</v>
      </c>
      <c r="H2333">
        <v>105.34</v>
      </c>
    </row>
    <row r="2334" spans="1:8" x14ac:dyDescent="0.3">
      <c r="A2334">
        <v>202105</v>
      </c>
      <c r="B2334" s="1">
        <v>44317</v>
      </c>
      <c r="C2334">
        <v>2021</v>
      </c>
      <c r="D2334" t="s">
        <v>12</v>
      </c>
      <c r="E2334" t="s">
        <v>37</v>
      </c>
      <c r="F2334" t="s">
        <v>40</v>
      </c>
      <c r="G2334" t="s">
        <v>33</v>
      </c>
      <c r="H2334">
        <v>85.61</v>
      </c>
    </row>
    <row r="2335" spans="1:8" x14ac:dyDescent="0.3">
      <c r="A2335">
        <v>202106</v>
      </c>
      <c r="B2335" s="1">
        <v>44348</v>
      </c>
      <c r="C2335">
        <v>2021</v>
      </c>
      <c r="D2335" t="s">
        <v>13</v>
      </c>
      <c r="E2335" t="s">
        <v>37</v>
      </c>
      <c r="F2335" t="s">
        <v>40</v>
      </c>
      <c r="G2335" t="s">
        <v>33</v>
      </c>
      <c r="H2335">
        <v>51.74</v>
      </c>
    </row>
    <row r="2336" spans="1:8" x14ac:dyDescent="0.3">
      <c r="A2336">
        <v>202107</v>
      </c>
      <c r="B2336" s="1">
        <v>44378</v>
      </c>
      <c r="C2336">
        <v>2021</v>
      </c>
      <c r="D2336" t="s">
        <v>14</v>
      </c>
      <c r="E2336" t="s">
        <v>37</v>
      </c>
      <c r="F2336" t="s">
        <v>40</v>
      </c>
      <c r="G2336" t="s">
        <v>33</v>
      </c>
      <c r="H2336">
        <v>74.319999999999993</v>
      </c>
    </row>
    <row r="2337" spans="1:8" x14ac:dyDescent="0.3">
      <c r="A2337">
        <v>202108</v>
      </c>
      <c r="B2337" s="1">
        <v>44409</v>
      </c>
      <c r="C2337">
        <v>2021</v>
      </c>
      <c r="D2337" t="s">
        <v>15</v>
      </c>
      <c r="E2337" t="s">
        <v>37</v>
      </c>
      <c r="F2337" t="s">
        <v>40</v>
      </c>
      <c r="G2337" t="s">
        <v>33</v>
      </c>
      <c r="H2337">
        <v>83.71</v>
      </c>
    </row>
    <row r="2338" spans="1:8" x14ac:dyDescent="0.3">
      <c r="A2338">
        <v>202109</v>
      </c>
      <c r="B2338" s="1">
        <v>44440</v>
      </c>
      <c r="C2338">
        <v>2021</v>
      </c>
      <c r="D2338" t="s">
        <v>16</v>
      </c>
      <c r="E2338" t="s">
        <v>37</v>
      </c>
      <c r="F2338" t="s">
        <v>40</v>
      </c>
      <c r="G2338" t="s">
        <v>33</v>
      </c>
      <c r="H2338">
        <v>67.16</v>
      </c>
    </row>
    <row r="2339" spans="1:8" x14ac:dyDescent="0.3">
      <c r="A2339">
        <v>202110</v>
      </c>
      <c r="B2339" s="1">
        <v>44470</v>
      </c>
      <c r="C2339">
        <v>2021</v>
      </c>
      <c r="D2339" t="s">
        <v>17</v>
      </c>
      <c r="E2339" t="s">
        <v>37</v>
      </c>
      <c r="F2339" t="s">
        <v>40</v>
      </c>
      <c r="G2339" t="s">
        <v>33</v>
      </c>
      <c r="H2339">
        <v>75.7</v>
      </c>
    </row>
    <row r="2340" spans="1:8" x14ac:dyDescent="0.3">
      <c r="A2340">
        <v>202111</v>
      </c>
      <c r="B2340" s="1">
        <v>44501</v>
      </c>
      <c r="C2340">
        <v>2021</v>
      </c>
      <c r="D2340" t="s">
        <v>18</v>
      </c>
      <c r="E2340" t="s">
        <v>37</v>
      </c>
      <c r="F2340" t="s">
        <v>40</v>
      </c>
      <c r="G2340" t="s">
        <v>33</v>
      </c>
      <c r="H2340">
        <v>102.33</v>
      </c>
    </row>
    <row r="2341" spans="1:8" x14ac:dyDescent="0.3">
      <c r="A2341">
        <v>202112</v>
      </c>
      <c r="B2341" s="1">
        <v>44531</v>
      </c>
      <c r="C2341">
        <v>2021</v>
      </c>
      <c r="D2341" t="s">
        <v>19</v>
      </c>
      <c r="E2341" t="s">
        <v>37</v>
      </c>
      <c r="F2341" t="s">
        <v>40</v>
      </c>
      <c r="G2341" t="s">
        <v>33</v>
      </c>
      <c r="H2341">
        <v>98.93</v>
      </c>
    </row>
    <row r="2342" spans="1:8" x14ac:dyDescent="0.3">
      <c r="A2342">
        <v>202101</v>
      </c>
      <c r="B2342" s="1">
        <v>44197</v>
      </c>
      <c r="C2342">
        <v>2021</v>
      </c>
      <c r="D2342" t="s">
        <v>6</v>
      </c>
      <c r="E2342" t="s">
        <v>38</v>
      </c>
      <c r="F2342" t="s">
        <v>40</v>
      </c>
      <c r="G2342" t="s">
        <v>33</v>
      </c>
      <c r="H2342">
        <v>27.39</v>
      </c>
    </row>
    <row r="2343" spans="1:8" x14ac:dyDescent="0.3">
      <c r="A2343">
        <v>202102</v>
      </c>
      <c r="B2343" s="1">
        <v>44228</v>
      </c>
      <c r="C2343">
        <v>2021</v>
      </c>
      <c r="D2343" t="s">
        <v>9</v>
      </c>
      <c r="E2343" t="s">
        <v>38</v>
      </c>
      <c r="F2343" t="s">
        <v>40</v>
      </c>
      <c r="G2343" t="s">
        <v>33</v>
      </c>
      <c r="H2343">
        <v>26.98</v>
      </c>
    </row>
    <row r="2344" spans="1:8" x14ac:dyDescent="0.3">
      <c r="A2344">
        <v>202103</v>
      </c>
      <c r="B2344" s="1">
        <v>44256</v>
      </c>
      <c r="C2344">
        <v>2021</v>
      </c>
      <c r="D2344" t="s">
        <v>10</v>
      </c>
      <c r="E2344" t="s">
        <v>38</v>
      </c>
      <c r="F2344" t="s">
        <v>40</v>
      </c>
      <c r="G2344" t="s">
        <v>33</v>
      </c>
      <c r="H2344">
        <v>13.59</v>
      </c>
    </row>
    <row r="2345" spans="1:8" x14ac:dyDescent="0.3">
      <c r="A2345">
        <v>202104</v>
      </c>
      <c r="B2345" s="1">
        <v>44287</v>
      </c>
      <c r="C2345">
        <v>2021</v>
      </c>
      <c r="D2345" t="s">
        <v>11</v>
      </c>
      <c r="E2345" t="s">
        <v>38</v>
      </c>
      <c r="F2345" t="s">
        <v>40</v>
      </c>
      <c r="G2345" t="s">
        <v>33</v>
      </c>
      <c r="H2345">
        <v>24.22</v>
      </c>
    </row>
    <row r="2346" spans="1:8" x14ac:dyDescent="0.3">
      <c r="A2346">
        <v>202105</v>
      </c>
      <c r="B2346" s="1">
        <v>44317</v>
      </c>
      <c r="C2346">
        <v>2021</v>
      </c>
      <c r="D2346" t="s">
        <v>12</v>
      </c>
      <c r="E2346" t="s">
        <v>38</v>
      </c>
      <c r="F2346" t="s">
        <v>40</v>
      </c>
      <c r="G2346" t="s">
        <v>33</v>
      </c>
      <c r="H2346">
        <v>27.46</v>
      </c>
    </row>
    <row r="2347" spans="1:8" x14ac:dyDescent="0.3">
      <c r="A2347">
        <v>202106</v>
      </c>
      <c r="B2347" s="1">
        <v>44348</v>
      </c>
      <c r="C2347">
        <v>2021</v>
      </c>
      <c r="D2347" t="s">
        <v>13</v>
      </c>
      <c r="E2347" t="s">
        <v>38</v>
      </c>
      <c r="F2347" t="s">
        <v>40</v>
      </c>
      <c r="G2347" t="s">
        <v>33</v>
      </c>
      <c r="H2347">
        <v>16.260000000000002</v>
      </c>
    </row>
    <row r="2348" spans="1:8" x14ac:dyDescent="0.3">
      <c r="A2348">
        <v>202107</v>
      </c>
      <c r="B2348" s="1">
        <v>44378</v>
      </c>
      <c r="C2348">
        <v>2021</v>
      </c>
      <c r="D2348" t="s">
        <v>14</v>
      </c>
      <c r="E2348" t="s">
        <v>38</v>
      </c>
      <c r="F2348" t="s">
        <v>40</v>
      </c>
      <c r="G2348" t="s">
        <v>33</v>
      </c>
      <c r="H2348">
        <v>42.51</v>
      </c>
    </row>
    <row r="2349" spans="1:8" x14ac:dyDescent="0.3">
      <c r="A2349">
        <v>202108</v>
      </c>
      <c r="B2349" s="1">
        <v>44409</v>
      </c>
      <c r="C2349">
        <v>2021</v>
      </c>
      <c r="D2349" t="s">
        <v>15</v>
      </c>
      <c r="E2349" t="s">
        <v>38</v>
      </c>
      <c r="F2349" t="s">
        <v>40</v>
      </c>
      <c r="G2349" t="s">
        <v>33</v>
      </c>
      <c r="H2349">
        <v>14.25</v>
      </c>
    </row>
    <row r="2350" spans="1:8" x14ac:dyDescent="0.3">
      <c r="A2350">
        <v>202109</v>
      </c>
      <c r="B2350" s="1">
        <v>44440</v>
      </c>
      <c r="C2350">
        <v>2021</v>
      </c>
      <c r="D2350" t="s">
        <v>16</v>
      </c>
      <c r="E2350" t="s">
        <v>38</v>
      </c>
      <c r="F2350" t="s">
        <v>40</v>
      </c>
      <c r="G2350" t="s">
        <v>33</v>
      </c>
      <c r="H2350">
        <v>16.989999999999998</v>
      </c>
    </row>
    <row r="2351" spans="1:8" x14ac:dyDescent="0.3">
      <c r="A2351">
        <v>202110</v>
      </c>
      <c r="B2351" s="1">
        <v>44470</v>
      </c>
      <c r="C2351">
        <v>2021</v>
      </c>
      <c r="D2351" t="s">
        <v>17</v>
      </c>
      <c r="E2351" t="s">
        <v>38</v>
      </c>
      <c r="F2351" t="s">
        <v>40</v>
      </c>
      <c r="G2351" t="s">
        <v>33</v>
      </c>
      <c r="H2351">
        <v>28.05</v>
      </c>
    </row>
    <row r="2352" spans="1:8" x14ac:dyDescent="0.3">
      <c r="A2352">
        <v>202111</v>
      </c>
      <c r="B2352" s="1">
        <v>44501</v>
      </c>
      <c r="C2352">
        <v>2021</v>
      </c>
      <c r="D2352" t="s">
        <v>18</v>
      </c>
      <c r="E2352" t="s">
        <v>38</v>
      </c>
      <c r="F2352" t="s">
        <v>40</v>
      </c>
      <c r="G2352" t="s">
        <v>33</v>
      </c>
      <c r="H2352">
        <v>30.02</v>
      </c>
    </row>
    <row r="2353" spans="1:8" x14ac:dyDescent="0.3">
      <c r="A2353">
        <v>202112</v>
      </c>
      <c r="B2353" s="1">
        <v>44531</v>
      </c>
      <c r="C2353">
        <v>2021</v>
      </c>
      <c r="D2353" t="s">
        <v>19</v>
      </c>
      <c r="E2353" t="s">
        <v>38</v>
      </c>
      <c r="F2353" t="s">
        <v>40</v>
      </c>
      <c r="G2353" t="s">
        <v>33</v>
      </c>
      <c r="H2353">
        <v>17.57</v>
      </c>
    </row>
    <row r="2354" spans="1:8" x14ac:dyDescent="0.3">
      <c r="A2354">
        <v>202101</v>
      </c>
      <c r="B2354" s="1">
        <v>44197</v>
      </c>
      <c r="C2354">
        <v>2021</v>
      </c>
      <c r="D2354" t="s">
        <v>6</v>
      </c>
      <c r="E2354" t="s">
        <v>38</v>
      </c>
      <c r="F2354" t="s">
        <v>40</v>
      </c>
      <c r="G2354" t="s">
        <v>33</v>
      </c>
      <c r="H2354">
        <v>54.43</v>
      </c>
    </row>
    <row r="2355" spans="1:8" x14ac:dyDescent="0.3">
      <c r="A2355">
        <v>202102</v>
      </c>
      <c r="B2355" s="1">
        <v>44228</v>
      </c>
      <c r="C2355">
        <v>2021</v>
      </c>
      <c r="D2355" t="s">
        <v>9</v>
      </c>
      <c r="E2355" t="s">
        <v>38</v>
      </c>
      <c r="F2355" t="s">
        <v>40</v>
      </c>
      <c r="G2355" t="s">
        <v>33</v>
      </c>
      <c r="H2355">
        <v>50.16</v>
      </c>
    </row>
    <row r="2356" spans="1:8" x14ac:dyDescent="0.3">
      <c r="A2356">
        <v>202103</v>
      </c>
      <c r="B2356" s="1">
        <v>44256</v>
      </c>
      <c r="C2356">
        <v>2021</v>
      </c>
      <c r="D2356" t="s">
        <v>10</v>
      </c>
      <c r="E2356" t="s">
        <v>38</v>
      </c>
      <c r="F2356" t="s">
        <v>40</v>
      </c>
      <c r="G2356" t="s">
        <v>33</v>
      </c>
      <c r="H2356">
        <v>74.48</v>
      </c>
    </row>
    <row r="2357" spans="1:8" x14ac:dyDescent="0.3">
      <c r="A2357">
        <v>202104</v>
      </c>
      <c r="B2357" s="1">
        <v>44287</v>
      </c>
      <c r="C2357">
        <v>2021</v>
      </c>
      <c r="D2357" t="s">
        <v>11</v>
      </c>
      <c r="E2357" t="s">
        <v>38</v>
      </c>
      <c r="F2357" t="s">
        <v>40</v>
      </c>
      <c r="G2357" t="s">
        <v>33</v>
      </c>
      <c r="H2357">
        <v>61.37</v>
      </c>
    </row>
    <row r="2358" spans="1:8" x14ac:dyDescent="0.3">
      <c r="A2358">
        <v>202105</v>
      </c>
      <c r="B2358" s="1">
        <v>44317</v>
      </c>
      <c r="C2358">
        <v>2021</v>
      </c>
      <c r="D2358" t="s">
        <v>12</v>
      </c>
      <c r="E2358" t="s">
        <v>38</v>
      </c>
      <c r="F2358" t="s">
        <v>40</v>
      </c>
      <c r="G2358" t="s">
        <v>33</v>
      </c>
      <c r="H2358">
        <v>46.92</v>
      </c>
    </row>
    <row r="2359" spans="1:8" x14ac:dyDescent="0.3">
      <c r="A2359">
        <v>202106</v>
      </c>
      <c r="B2359" s="1">
        <v>44348</v>
      </c>
      <c r="C2359">
        <v>2021</v>
      </c>
      <c r="D2359" t="s">
        <v>13</v>
      </c>
      <c r="E2359" t="s">
        <v>38</v>
      </c>
      <c r="F2359" t="s">
        <v>40</v>
      </c>
      <c r="G2359" t="s">
        <v>33</v>
      </c>
      <c r="H2359">
        <v>72.23</v>
      </c>
    </row>
    <row r="2360" spans="1:8" x14ac:dyDescent="0.3">
      <c r="A2360">
        <v>202107</v>
      </c>
      <c r="B2360" s="1">
        <v>44378</v>
      </c>
      <c r="C2360">
        <v>2021</v>
      </c>
      <c r="D2360" t="s">
        <v>14</v>
      </c>
      <c r="E2360" t="s">
        <v>38</v>
      </c>
      <c r="F2360" t="s">
        <v>40</v>
      </c>
      <c r="G2360" t="s">
        <v>33</v>
      </c>
      <c r="H2360">
        <v>46.89</v>
      </c>
    </row>
    <row r="2361" spans="1:8" x14ac:dyDescent="0.3">
      <c r="A2361">
        <v>202108</v>
      </c>
      <c r="B2361" s="1">
        <v>44409</v>
      </c>
      <c r="C2361">
        <v>2021</v>
      </c>
      <c r="D2361" t="s">
        <v>15</v>
      </c>
      <c r="E2361" t="s">
        <v>38</v>
      </c>
      <c r="F2361" t="s">
        <v>40</v>
      </c>
      <c r="G2361" t="s">
        <v>33</v>
      </c>
      <c r="H2361">
        <v>46</v>
      </c>
    </row>
    <row r="2362" spans="1:8" x14ac:dyDescent="0.3">
      <c r="A2362">
        <v>202109</v>
      </c>
      <c r="B2362" s="1">
        <v>44440</v>
      </c>
      <c r="C2362">
        <v>2021</v>
      </c>
      <c r="D2362" t="s">
        <v>16</v>
      </c>
      <c r="E2362" t="s">
        <v>38</v>
      </c>
      <c r="F2362" t="s">
        <v>40</v>
      </c>
      <c r="G2362" t="s">
        <v>33</v>
      </c>
      <c r="H2362">
        <v>119.31</v>
      </c>
    </row>
    <row r="2363" spans="1:8" x14ac:dyDescent="0.3">
      <c r="A2363">
        <v>202110</v>
      </c>
      <c r="B2363" s="1">
        <v>44470</v>
      </c>
      <c r="C2363">
        <v>2021</v>
      </c>
      <c r="D2363" t="s">
        <v>17</v>
      </c>
      <c r="E2363" t="s">
        <v>38</v>
      </c>
      <c r="F2363" t="s">
        <v>40</v>
      </c>
      <c r="G2363" t="s">
        <v>33</v>
      </c>
      <c r="H2363">
        <v>88.06</v>
      </c>
    </row>
    <row r="2364" spans="1:8" x14ac:dyDescent="0.3">
      <c r="A2364">
        <v>202111</v>
      </c>
      <c r="B2364" s="1">
        <v>44501</v>
      </c>
      <c r="C2364">
        <v>2021</v>
      </c>
      <c r="D2364" t="s">
        <v>18</v>
      </c>
      <c r="E2364" t="s">
        <v>38</v>
      </c>
      <c r="F2364" t="s">
        <v>40</v>
      </c>
      <c r="G2364" t="s">
        <v>33</v>
      </c>
      <c r="H2364">
        <v>49.73</v>
      </c>
    </row>
    <row r="2365" spans="1:8" x14ac:dyDescent="0.3">
      <c r="A2365">
        <v>202112</v>
      </c>
      <c r="B2365" s="1">
        <v>44531</v>
      </c>
      <c r="C2365">
        <v>2021</v>
      </c>
      <c r="D2365" t="s">
        <v>19</v>
      </c>
      <c r="E2365" t="s">
        <v>38</v>
      </c>
      <c r="F2365" t="s">
        <v>40</v>
      </c>
      <c r="G2365" t="s">
        <v>33</v>
      </c>
      <c r="H2365">
        <v>69.75</v>
      </c>
    </row>
    <row r="2366" spans="1:8" x14ac:dyDescent="0.3">
      <c r="A2366">
        <v>202101</v>
      </c>
      <c r="B2366" s="1">
        <v>44197</v>
      </c>
      <c r="C2366">
        <v>2021</v>
      </c>
      <c r="D2366" t="s">
        <v>6</v>
      </c>
      <c r="E2366" t="s">
        <v>38</v>
      </c>
      <c r="F2366" t="s">
        <v>40</v>
      </c>
      <c r="G2366" t="s">
        <v>33</v>
      </c>
      <c r="H2366">
        <v>247.23</v>
      </c>
    </row>
    <row r="2367" spans="1:8" x14ac:dyDescent="0.3">
      <c r="A2367">
        <v>202102</v>
      </c>
      <c r="B2367" s="1">
        <v>44228</v>
      </c>
      <c r="C2367">
        <v>2021</v>
      </c>
      <c r="D2367" t="s">
        <v>9</v>
      </c>
      <c r="E2367" t="s">
        <v>38</v>
      </c>
      <c r="F2367" t="s">
        <v>40</v>
      </c>
      <c r="G2367" t="s">
        <v>33</v>
      </c>
      <c r="H2367">
        <v>183.49</v>
      </c>
    </row>
    <row r="2368" spans="1:8" x14ac:dyDescent="0.3">
      <c r="A2368">
        <v>202103</v>
      </c>
      <c r="B2368" s="1">
        <v>44256</v>
      </c>
      <c r="C2368">
        <v>2021</v>
      </c>
      <c r="D2368" t="s">
        <v>10</v>
      </c>
      <c r="E2368" t="s">
        <v>38</v>
      </c>
      <c r="F2368" t="s">
        <v>40</v>
      </c>
      <c r="G2368" t="s">
        <v>33</v>
      </c>
      <c r="H2368">
        <v>135.06</v>
      </c>
    </row>
    <row r="2369" spans="1:8" x14ac:dyDescent="0.3">
      <c r="A2369">
        <v>202104</v>
      </c>
      <c r="B2369" s="1">
        <v>44287</v>
      </c>
      <c r="C2369">
        <v>2021</v>
      </c>
      <c r="D2369" t="s">
        <v>11</v>
      </c>
      <c r="E2369" t="s">
        <v>38</v>
      </c>
      <c r="F2369" t="s">
        <v>40</v>
      </c>
      <c r="G2369" t="s">
        <v>33</v>
      </c>
      <c r="H2369">
        <v>206.58</v>
      </c>
    </row>
    <row r="2370" spans="1:8" x14ac:dyDescent="0.3">
      <c r="A2370">
        <v>202105</v>
      </c>
      <c r="B2370" s="1">
        <v>44317</v>
      </c>
      <c r="C2370">
        <v>2021</v>
      </c>
      <c r="D2370" t="s">
        <v>12</v>
      </c>
      <c r="E2370" t="s">
        <v>38</v>
      </c>
      <c r="F2370" t="s">
        <v>40</v>
      </c>
      <c r="G2370" t="s">
        <v>33</v>
      </c>
      <c r="H2370">
        <v>139.65</v>
      </c>
    </row>
    <row r="2371" spans="1:8" x14ac:dyDescent="0.3">
      <c r="A2371">
        <v>202106</v>
      </c>
      <c r="B2371" s="1">
        <v>44348</v>
      </c>
      <c r="C2371">
        <v>2021</v>
      </c>
      <c r="D2371" t="s">
        <v>13</v>
      </c>
      <c r="E2371" t="s">
        <v>38</v>
      </c>
      <c r="F2371" t="s">
        <v>40</v>
      </c>
      <c r="G2371" t="s">
        <v>33</v>
      </c>
      <c r="H2371">
        <v>146.97</v>
      </c>
    </row>
    <row r="2372" spans="1:8" x14ac:dyDescent="0.3">
      <c r="A2372">
        <v>202107</v>
      </c>
      <c r="B2372" s="1">
        <v>44378</v>
      </c>
      <c r="C2372">
        <v>2021</v>
      </c>
      <c r="D2372" t="s">
        <v>14</v>
      </c>
      <c r="E2372" t="s">
        <v>38</v>
      </c>
      <c r="F2372" t="s">
        <v>40</v>
      </c>
      <c r="G2372" t="s">
        <v>33</v>
      </c>
      <c r="H2372">
        <v>215.6</v>
      </c>
    </row>
    <row r="2373" spans="1:8" x14ac:dyDescent="0.3">
      <c r="A2373">
        <v>202108</v>
      </c>
      <c r="B2373" s="1">
        <v>44409</v>
      </c>
      <c r="C2373">
        <v>2021</v>
      </c>
      <c r="D2373" t="s">
        <v>15</v>
      </c>
      <c r="E2373" t="s">
        <v>38</v>
      </c>
      <c r="F2373" t="s">
        <v>40</v>
      </c>
      <c r="G2373" t="s">
        <v>33</v>
      </c>
      <c r="H2373">
        <v>179.61</v>
      </c>
    </row>
    <row r="2374" spans="1:8" x14ac:dyDescent="0.3">
      <c r="A2374">
        <v>202109</v>
      </c>
      <c r="B2374" s="1">
        <v>44440</v>
      </c>
      <c r="C2374">
        <v>2021</v>
      </c>
      <c r="D2374" t="s">
        <v>16</v>
      </c>
      <c r="E2374" t="s">
        <v>38</v>
      </c>
      <c r="F2374" t="s">
        <v>40</v>
      </c>
      <c r="G2374" t="s">
        <v>33</v>
      </c>
      <c r="H2374">
        <v>151.11000000000001</v>
      </c>
    </row>
    <row r="2375" spans="1:8" x14ac:dyDescent="0.3">
      <c r="A2375">
        <v>202110</v>
      </c>
      <c r="B2375" s="1">
        <v>44470</v>
      </c>
      <c r="C2375">
        <v>2021</v>
      </c>
      <c r="D2375" t="s">
        <v>17</v>
      </c>
      <c r="E2375" t="s">
        <v>38</v>
      </c>
      <c r="F2375" t="s">
        <v>40</v>
      </c>
      <c r="G2375" t="s">
        <v>33</v>
      </c>
      <c r="H2375">
        <v>198.13</v>
      </c>
    </row>
    <row r="2376" spans="1:8" x14ac:dyDescent="0.3">
      <c r="A2376">
        <v>202111</v>
      </c>
      <c r="B2376" s="1">
        <v>44501</v>
      </c>
      <c r="C2376">
        <v>2021</v>
      </c>
      <c r="D2376" t="s">
        <v>18</v>
      </c>
      <c r="E2376" t="s">
        <v>38</v>
      </c>
      <c r="F2376" t="s">
        <v>40</v>
      </c>
      <c r="G2376" t="s">
        <v>33</v>
      </c>
      <c r="H2376">
        <v>170.73</v>
      </c>
    </row>
    <row r="2377" spans="1:8" x14ac:dyDescent="0.3">
      <c r="A2377">
        <v>202112</v>
      </c>
      <c r="B2377" s="1">
        <v>44531</v>
      </c>
      <c r="C2377">
        <v>2021</v>
      </c>
      <c r="D2377" t="s">
        <v>19</v>
      </c>
      <c r="E2377" t="s">
        <v>38</v>
      </c>
      <c r="F2377" t="s">
        <v>40</v>
      </c>
      <c r="G2377" t="s">
        <v>33</v>
      </c>
      <c r="H2377">
        <v>193.06</v>
      </c>
    </row>
    <row r="2378" spans="1:8" x14ac:dyDescent="0.3">
      <c r="A2378">
        <v>202101</v>
      </c>
      <c r="B2378" s="1">
        <v>44197</v>
      </c>
      <c r="C2378">
        <v>2021</v>
      </c>
      <c r="D2378" t="s">
        <v>6</v>
      </c>
      <c r="E2378" t="s">
        <v>38</v>
      </c>
      <c r="F2378" t="s">
        <v>40</v>
      </c>
      <c r="G2378" t="s">
        <v>33</v>
      </c>
      <c r="H2378">
        <v>4.07</v>
      </c>
    </row>
    <row r="2379" spans="1:8" x14ac:dyDescent="0.3">
      <c r="A2379">
        <v>202102</v>
      </c>
      <c r="B2379" s="1">
        <v>44228</v>
      </c>
      <c r="C2379">
        <v>2021</v>
      </c>
      <c r="D2379" t="s">
        <v>9</v>
      </c>
      <c r="E2379" t="s">
        <v>38</v>
      </c>
      <c r="F2379" t="s">
        <v>40</v>
      </c>
      <c r="G2379" t="s">
        <v>33</v>
      </c>
      <c r="H2379">
        <v>41.66</v>
      </c>
    </row>
    <row r="2380" spans="1:8" x14ac:dyDescent="0.3">
      <c r="A2380">
        <v>202103</v>
      </c>
      <c r="B2380" s="1">
        <v>44256</v>
      </c>
      <c r="C2380">
        <v>2021</v>
      </c>
      <c r="D2380" t="s">
        <v>10</v>
      </c>
      <c r="E2380" t="s">
        <v>38</v>
      </c>
      <c r="F2380" t="s">
        <v>40</v>
      </c>
      <c r="G2380" t="s">
        <v>33</v>
      </c>
      <c r="H2380">
        <v>12.96</v>
      </c>
    </row>
    <row r="2381" spans="1:8" x14ac:dyDescent="0.3">
      <c r="A2381">
        <v>202104</v>
      </c>
      <c r="B2381" s="1">
        <v>44287</v>
      </c>
      <c r="C2381">
        <v>2021</v>
      </c>
      <c r="D2381" t="s">
        <v>11</v>
      </c>
      <c r="E2381" t="s">
        <v>38</v>
      </c>
      <c r="F2381" t="s">
        <v>40</v>
      </c>
      <c r="G2381" t="s">
        <v>33</v>
      </c>
      <c r="H2381">
        <v>22.2</v>
      </c>
    </row>
    <row r="2382" spans="1:8" x14ac:dyDescent="0.3">
      <c r="A2382">
        <v>202105</v>
      </c>
      <c r="B2382" s="1">
        <v>44317</v>
      </c>
      <c r="C2382">
        <v>2021</v>
      </c>
      <c r="D2382" t="s">
        <v>12</v>
      </c>
      <c r="E2382" t="s">
        <v>38</v>
      </c>
      <c r="F2382" t="s">
        <v>40</v>
      </c>
      <c r="G2382" t="s">
        <v>33</v>
      </c>
      <c r="H2382">
        <v>19.86</v>
      </c>
    </row>
    <row r="2383" spans="1:8" x14ac:dyDescent="0.3">
      <c r="A2383">
        <v>202106</v>
      </c>
      <c r="B2383" s="1">
        <v>44348</v>
      </c>
      <c r="C2383">
        <v>2021</v>
      </c>
      <c r="D2383" t="s">
        <v>13</v>
      </c>
      <c r="E2383" t="s">
        <v>38</v>
      </c>
      <c r="F2383" t="s">
        <v>40</v>
      </c>
      <c r="G2383" t="s">
        <v>33</v>
      </c>
      <c r="H2383">
        <v>11.67</v>
      </c>
    </row>
    <row r="2384" spans="1:8" x14ac:dyDescent="0.3">
      <c r="A2384">
        <v>202107</v>
      </c>
      <c r="B2384" s="1">
        <v>44378</v>
      </c>
      <c r="C2384">
        <v>2021</v>
      </c>
      <c r="D2384" t="s">
        <v>14</v>
      </c>
      <c r="E2384" t="s">
        <v>38</v>
      </c>
      <c r="F2384" t="s">
        <v>40</v>
      </c>
      <c r="G2384" t="s">
        <v>33</v>
      </c>
      <c r="H2384">
        <v>50.45</v>
      </c>
    </row>
    <row r="2385" spans="1:8" x14ac:dyDescent="0.3">
      <c r="A2385">
        <v>202108</v>
      </c>
      <c r="B2385" s="1">
        <v>44409</v>
      </c>
      <c r="C2385">
        <v>2021</v>
      </c>
      <c r="D2385" t="s">
        <v>15</v>
      </c>
      <c r="E2385" t="s">
        <v>38</v>
      </c>
      <c r="F2385" t="s">
        <v>40</v>
      </c>
      <c r="G2385" t="s">
        <v>33</v>
      </c>
      <c r="H2385">
        <v>25.09</v>
      </c>
    </row>
    <row r="2386" spans="1:8" x14ac:dyDescent="0.3">
      <c r="A2386">
        <v>202109</v>
      </c>
      <c r="B2386" s="1">
        <v>44440</v>
      </c>
      <c r="C2386">
        <v>2021</v>
      </c>
      <c r="D2386" t="s">
        <v>16</v>
      </c>
      <c r="E2386" t="s">
        <v>38</v>
      </c>
      <c r="F2386" t="s">
        <v>40</v>
      </c>
      <c r="G2386" t="s">
        <v>33</v>
      </c>
      <c r="H2386">
        <v>16.309999999999999</v>
      </c>
    </row>
    <row r="2387" spans="1:8" x14ac:dyDescent="0.3">
      <c r="A2387">
        <v>202110</v>
      </c>
      <c r="B2387" s="1">
        <v>44470</v>
      </c>
      <c r="C2387">
        <v>2021</v>
      </c>
      <c r="D2387" t="s">
        <v>17</v>
      </c>
      <c r="E2387" t="s">
        <v>38</v>
      </c>
      <c r="F2387" t="s">
        <v>40</v>
      </c>
      <c r="G2387" t="s">
        <v>33</v>
      </c>
      <c r="H2387">
        <v>16.73</v>
      </c>
    </row>
    <row r="2388" spans="1:8" x14ac:dyDescent="0.3">
      <c r="A2388">
        <v>202111</v>
      </c>
      <c r="B2388" s="1">
        <v>44501</v>
      </c>
      <c r="C2388">
        <v>2021</v>
      </c>
      <c r="D2388" t="s">
        <v>18</v>
      </c>
      <c r="E2388" t="s">
        <v>38</v>
      </c>
      <c r="F2388" t="s">
        <v>40</v>
      </c>
      <c r="G2388" t="s">
        <v>33</v>
      </c>
      <c r="H2388">
        <v>33.33</v>
      </c>
    </row>
    <row r="2389" spans="1:8" x14ac:dyDescent="0.3">
      <c r="A2389">
        <v>202112</v>
      </c>
      <c r="B2389" s="1">
        <v>44531</v>
      </c>
      <c r="C2389">
        <v>2021</v>
      </c>
      <c r="D2389" t="s">
        <v>19</v>
      </c>
      <c r="E2389" t="s">
        <v>38</v>
      </c>
      <c r="F2389" t="s">
        <v>40</v>
      </c>
      <c r="G2389" t="s">
        <v>33</v>
      </c>
      <c r="H2389">
        <v>24.42</v>
      </c>
    </row>
    <row r="2390" spans="1:8" x14ac:dyDescent="0.3">
      <c r="A2390">
        <v>202101</v>
      </c>
      <c r="B2390" s="1">
        <v>44197</v>
      </c>
      <c r="C2390">
        <v>2021</v>
      </c>
      <c r="D2390" t="s">
        <v>6</v>
      </c>
      <c r="E2390" t="s">
        <v>38</v>
      </c>
      <c r="F2390" t="s">
        <v>40</v>
      </c>
      <c r="G2390" t="s">
        <v>33</v>
      </c>
      <c r="H2390">
        <v>19.579999999999998</v>
      </c>
    </row>
    <row r="2391" spans="1:8" x14ac:dyDescent="0.3">
      <c r="A2391">
        <v>202102</v>
      </c>
      <c r="B2391" s="1">
        <v>44228</v>
      </c>
      <c r="C2391">
        <v>2021</v>
      </c>
      <c r="D2391" t="s">
        <v>9</v>
      </c>
      <c r="E2391" t="s">
        <v>38</v>
      </c>
      <c r="F2391" t="s">
        <v>40</v>
      </c>
      <c r="G2391" t="s">
        <v>33</v>
      </c>
      <c r="H2391">
        <v>17.72</v>
      </c>
    </row>
    <row r="2392" spans="1:8" x14ac:dyDescent="0.3">
      <c r="A2392">
        <v>202103</v>
      </c>
      <c r="B2392" s="1">
        <v>44256</v>
      </c>
      <c r="C2392">
        <v>2021</v>
      </c>
      <c r="D2392" t="s">
        <v>10</v>
      </c>
      <c r="E2392" t="s">
        <v>38</v>
      </c>
      <c r="F2392" t="s">
        <v>40</v>
      </c>
      <c r="G2392" t="s">
        <v>33</v>
      </c>
      <c r="H2392">
        <v>16.27</v>
      </c>
    </row>
    <row r="2393" spans="1:8" x14ac:dyDescent="0.3">
      <c r="A2393">
        <v>202104</v>
      </c>
      <c r="B2393" s="1">
        <v>44287</v>
      </c>
      <c r="C2393">
        <v>2021</v>
      </c>
      <c r="D2393" t="s">
        <v>11</v>
      </c>
      <c r="E2393" t="s">
        <v>38</v>
      </c>
      <c r="F2393" t="s">
        <v>40</v>
      </c>
      <c r="G2393" t="s">
        <v>33</v>
      </c>
      <c r="H2393">
        <v>34.85</v>
      </c>
    </row>
    <row r="2394" spans="1:8" x14ac:dyDescent="0.3">
      <c r="A2394">
        <v>202105</v>
      </c>
      <c r="B2394" s="1">
        <v>44317</v>
      </c>
      <c r="C2394">
        <v>2021</v>
      </c>
      <c r="D2394" t="s">
        <v>12</v>
      </c>
      <c r="E2394" t="s">
        <v>38</v>
      </c>
      <c r="F2394" t="s">
        <v>40</v>
      </c>
      <c r="G2394" t="s">
        <v>33</v>
      </c>
      <c r="H2394">
        <v>26.05</v>
      </c>
    </row>
    <row r="2395" spans="1:8" x14ac:dyDescent="0.3">
      <c r="A2395">
        <v>202106</v>
      </c>
      <c r="B2395" s="1">
        <v>44348</v>
      </c>
      <c r="C2395">
        <v>2021</v>
      </c>
      <c r="D2395" t="s">
        <v>13</v>
      </c>
      <c r="E2395" t="s">
        <v>38</v>
      </c>
      <c r="F2395" t="s">
        <v>40</v>
      </c>
      <c r="G2395" t="s">
        <v>33</v>
      </c>
      <c r="H2395">
        <v>16.739999999999998</v>
      </c>
    </row>
    <row r="2396" spans="1:8" x14ac:dyDescent="0.3">
      <c r="A2396">
        <v>202107</v>
      </c>
      <c r="B2396" s="1">
        <v>44378</v>
      </c>
      <c r="C2396">
        <v>2021</v>
      </c>
      <c r="D2396" t="s">
        <v>14</v>
      </c>
      <c r="E2396" t="s">
        <v>38</v>
      </c>
      <c r="F2396" t="s">
        <v>40</v>
      </c>
      <c r="G2396" t="s">
        <v>33</v>
      </c>
      <c r="H2396">
        <v>24.91</v>
      </c>
    </row>
    <row r="2397" spans="1:8" x14ac:dyDescent="0.3">
      <c r="A2397">
        <v>202108</v>
      </c>
      <c r="B2397" s="1">
        <v>44409</v>
      </c>
      <c r="C2397">
        <v>2021</v>
      </c>
      <c r="D2397" t="s">
        <v>15</v>
      </c>
      <c r="E2397" t="s">
        <v>38</v>
      </c>
      <c r="F2397" t="s">
        <v>40</v>
      </c>
      <c r="G2397" t="s">
        <v>33</v>
      </c>
      <c r="H2397">
        <v>27.97</v>
      </c>
    </row>
    <row r="2398" spans="1:8" x14ac:dyDescent="0.3">
      <c r="A2398">
        <v>202109</v>
      </c>
      <c r="B2398" s="1">
        <v>44440</v>
      </c>
      <c r="C2398">
        <v>2021</v>
      </c>
      <c r="D2398" t="s">
        <v>16</v>
      </c>
      <c r="E2398" t="s">
        <v>38</v>
      </c>
      <c r="F2398" t="s">
        <v>40</v>
      </c>
      <c r="G2398" t="s">
        <v>33</v>
      </c>
      <c r="H2398">
        <v>21.92</v>
      </c>
    </row>
    <row r="2399" spans="1:8" x14ac:dyDescent="0.3">
      <c r="A2399">
        <v>202110</v>
      </c>
      <c r="B2399" s="1">
        <v>44470</v>
      </c>
      <c r="C2399">
        <v>2021</v>
      </c>
      <c r="D2399" t="s">
        <v>17</v>
      </c>
      <c r="E2399" t="s">
        <v>38</v>
      </c>
      <c r="F2399" t="s">
        <v>40</v>
      </c>
      <c r="G2399" t="s">
        <v>33</v>
      </c>
      <c r="H2399">
        <v>18.8</v>
      </c>
    </row>
    <row r="2400" spans="1:8" x14ac:dyDescent="0.3">
      <c r="A2400">
        <v>202111</v>
      </c>
      <c r="B2400" s="1">
        <v>44501</v>
      </c>
      <c r="C2400">
        <v>2021</v>
      </c>
      <c r="D2400" t="s">
        <v>18</v>
      </c>
      <c r="E2400" t="s">
        <v>38</v>
      </c>
      <c r="F2400" t="s">
        <v>40</v>
      </c>
      <c r="G2400" t="s">
        <v>33</v>
      </c>
      <c r="H2400">
        <v>22.12</v>
      </c>
    </row>
    <row r="2401" spans="1:8" x14ac:dyDescent="0.3">
      <c r="A2401">
        <v>202112</v>
      </c>
      <c r="B2401" s="1">
        <v>44531</v>
      </c>
      <c r="C2401">
        <v>2021</v>
      </c>
      <c r="D2401" t="s">
        <v>19</v>
      </c>
      <c r="E2401" t="s">
        <v>38</v>
      </c>
      <c r="F2401" t="s">
        <v>40</v>
      </c>
      <c r="G2401" t="s">
        <v>33</v>
      </c>
      <c r="H2401">
        <v>34.26</v>
      </c>
    </row>
    <row r="2402" spans="1:8" x14ac:dyDescent="0.3">
      <c r="A2402">
        <v>202201</v>
      </c>
      <c r="B2402" s="1">
        <v>44562</v>
      </c>
      <c r="C2402">
        <v>2022</v>
      </c>
      <c r="D2402" t="s">
        <v>6</v>
      </c>
      <c r="E2402" t="s">
        <v>7</v>
      </c>
      <c r="F2402" t="s">
        <v>7</v>
      </c>
      <c r="G2402" t="s">
        <v>8</v>
      </c>
      <c r="H2402">
        <v>572.62</v>
      </c>
    </row>
    <row r="2403" spans="1:8" x14ac:dyDescent="0.3">
      <c r="A2403">
        <v>202202</v>
      </c>
      <c r="B2403" s="1">
        <v>44593</v>
      </c>
      <c r="C2403">
        <v>2022</v>
      </c>
      <c r="D2403" t="s">
        <v>9</v>
      </c>
      <c r="E2403" t="s">
        <v>7</v>
      </c>
      <c r="F2403" t="s">
        <v>7</v>
      </c>
      <c r="G2403" t="s">
        <v>8</v>
      </c>
      <c r="H2403">
        <v>381.11</v>
      </c>
    </row>
    <row r="2404" spans="1:8" x14ac:dyDescent="0.3">
      <c r="A2404">
        <v>202203</v>
      </c>
      <c r="B2404" s="1">
        <v>44621</v>
      </c>
      <c r="C2404">
        <v>2022</v>
      </c>
      <c r="D2404" t="s">
        <v>10</v>
      </c>
      <c r="E2404" t="s">
        <v>7</v>
      </c>
      <c r="F2404" t="s">
        <v>7</v>
      </c>
      <c r="G2404" t="s">
        <v>8</v>
      </c>
      <c r="H2404">
        <v>468.2</v>
      </c>
    </row>
    <row r="2405" spans="1:8" x14ac:dyDescent="0.3">
      <c r="A2405">
        <v>202204</v>
      </c>
      <c r="B2405" s="1">
        <v>44652</v>
      </c>
      <c r="C2405">
        <v>2022</v>
      </c>
      <c r="D2405" t="s">
        <v>11</v>
      </c>
      <c r="E2405" t="s">
        <v>7</v>
      </c>
      <c r="F2405" t="s">
        <v>7</v>
      </c>
      <c r="G2405" t="s">
        <v>8</v>
      </c>
      <c r="H2405">
        <v>657.71</v>
      </c>
    </row>
    <row r="2406" spans="1:8" x14ac:dyDescent="0.3">
      <c r="A2406">
        <v>202205</v>
      </c>
      <c r="B2406" s="1">
        <v>44682</v>
      </c>
      <c r="C2406">
        <v>2022</v>
      </c>
      <c r="D2406" t="s">
        <v>12</v>
      </c>
      <c r="E2406" t="s">
        <v>7</v>
      </c>
      <c r="F2406" t="s">
        <v>7</v>
      </c>
      <c r="G2406" t="s">
        <v>8</v>
      </c>
      <c r="H2406">
        <v>548.20000000000005</v>
      </c>
    </row>
    <row r="2407" spans="1:8" x14ac:dyDescent="0.3">
      <c r="A2407">
        <v>202206</v>
      </c>
      <c r="B2407" s="1">
        <v>44713</v>
      </c>
      <c r="C2407">
        <v>2022</v>
      </c>
      <c r="D2407" t="s">
        <v>13</v>
      </c>
      <c r="E2407" t="s">
        <v>7</v>
      </c>
      <c r="F2407" t="s">
        <v>7</v>
      </c>
      <c r="G2407" t="s">
        <v>8</v>
      </c>
      <c r="H2407">
        <v>516.19000000000005</v>
      </c>
    </row>
    <row r="2408" spans="1:8" x14ac:dyDescent="0.3">
      <c r="A2408">
        <v>202207</v>
      </c>
      <c r="B2408" s="1">
        <v>44743</v>
      </c>
      <c r="C2408">
        <v>2022</v>
      </c>
      <c r="D2408" t="s">
        <v>14</v>
      </c>
      <c r="E2408" t="s">
        <v>7</v>
      </c>
      <c r="F2408" t="s">
        <v>7</v>
      </c>
      <c r="G2408" t="s">
        <v>8</v>
      </c>
      <c r="H2408">
        <v>469.24</v>
      </c>
    </row>
    <row r="2409" spans="1:8" x14ac:dyDescent="0.3">
      <c r="A2409">
        <v>202208</v>
      </c>
      <c r="B2409" s="1">
        <v>44774</v>
      </c>
      <c r="C2409">
        <v>2022</v>
      </c>
      <c r="D2409" t="s">
        <v>15</v>
      </c>
      <c r="E2409" t="s">
        <v>7</v>
      </c>
      <c r="F2409" t="s">
        <v>7</v>
      </c>
      <c r="G2409" t="s">
        <v>8</v>
      </c>
      <c r="H2409">
        <v>489.71</v>
      </c>
    </row>
    <row r="2410" spans="1:8" x14ac:dyDescent="0.3">
      <c r="A2410">
        <v>202209</v>
      </c>
      <c r="B2410" s="1">
        <v>44805</v>
      </c>
      <c r="C2410">
        <v>2022</v>
      </c>
      <c r="D2410" t="s">
        <v>16</v>
      </c>
      <c r="E2410" t="s">
        <v>7</v>
      </c>
      <c r="F2410" t="s">
        <v>7</v>
      </c>
      <c r="G2410" t="s">
        <v>8</v>
      </c>
      <c r="H2410">
        <v>501.29</v>
      </c>
    </row>
    <row r="2411" spans="1:8" x14ac:dyDescent="0.3">
      <c r="A2411">
        <v>202210</v>
      </c>
      <c r="B2411" s="1">
        <v>44835</v>
      </c>
      <c r="C2411">
        <v>2022</v>
      </c>
      <c r="D2411" t="s">
        <v>17</v>
      </c>
      <c r="E2411" t="s">
        <v>7</v>
      </c>
      <c r="F2411" t="s">
        <v>7</v>
      </c>
      <c r="G2411" t="s">
        <v>8</v>
      </c>
      <c r="H2411">
        <v>562.79</v>
      </c>
    </row>
    <row r="2412" spans="1:8" x14ac:dyDescent="0.3">
      <c r="A2412">
        <v>202211</v>
      </c>
      <c r="B2412" s="1">
        <v>44866</v>
      </c>
      <c r="C2412">
        <v>2022</v>
      </c>
      <c r="D2412" t="s">
        <v>18</v>
      </c>
      <c r="E2412" t="s">
        <v>7</v>
      </c>
      <c r="F2412" t="s">
        <v>7</v>
      </c>
      <c r="G2412" t="s">
        <v>8</v>
      </c>
      <c r="H2412">
        <v>580.29</v>
      </c>
    </row>
    <row r="2413" spans="1:8" x14ac:dyDescent="0.3">
      <c r="A2413">
        <v>202212</v>
      </c>
      <c r="B2413" s="1">
        <v>44896</v>
      </c>
      <c r="C2413">
        <v>2022</v>
      </c>
      <c r="D2413" t="s">
        <v>19</v>
      </c>
      <c r="E2413" t="s">
        <v>7</v>
      </c>
      <c r="F2413" t="s">
        <v>7</v>
      </c>
      <c r="G2413" t="s">
        <v>8</v>
      </c>
      <c r="H2413">
        <v>456.87</v>
      </c>
    </row>
    <row r="2414" spans="1:8" x14ac:dyDescent="0.3">
      <c r="A2414">
        <v>202201</v>
      </c>
      <c r="B2414" s="1">
        <v>44562</v>
      </c>
      <c r="C2414">
        <v>2022</v>
      </c>
      <c r="D2414" t="s">
        <v>6</v>
      </c>
      <c r="E2414" t="s">
        <v>7</v>
      </c>
      <c r="F2414" t="s">
        <v>7</v>
      </c>
      <c r="G2414" t="s">
        <v>8</v>
      </c>
      <c r="H2414">
        <v>515.88</v>
      </c>
    </row>
    <row r="2415" spans="1:8" x14ac:dyDescent="0.3">
      <c r="A2415">
        <v>202202</v>
      </c>
      <c r="B2415" s="1">
        <v>44593</v>
      </c>
      <c r="C2415">
        <v>2022</v>
      </c>
      <c r="D2415" t="s">
        <v>9</v>
      </c>
      <c r="E2415" t="s">
        <v>7</v>
      </c>
      <c r="F2415" t="s">
        <v>7</v>
      </c>
      <c r="G2415" t="s">
        <v>8</v>
      </c>
      <c r="H2415">
        <v>411.98</v>
      </c>
    </row>
    <row r="2416" spans="1:8" x14ac:dyDescent="0.3">
      <c r="A2416">
        <v>202203</v>
      </c>
      <c r="B2416" s="1">
        <v>44621</v>
      </c>
      <c r="C2416">
        <v>2022</v>
      </c>
      <c r="D2416" t="s">
        <v>10</v>
      </c>
      <c r="E2416" t="s">
        <v>7</v>
      </c>
      <c r="F2416" t="s">
        <v>7</v>
      </c>
      <c r="G2416" t="s">
        <v>8</v>
      </c>
      <c r="H2416">
        <v>585.65</v>
      </c>
    </row>
    <row r="2417" spans="1:8" x14ac:dyDescent="0.3">
      <c r="A2417">
        <v>202204</v>
      </c>
      <c r="B2417" s="1">
        <v>44652</v>
      </c>
      <c r="C2417">
        <v>2022</v>
      </c>
      <c r="D2417" t="s">
        <v>11</v>
      </c>
      <c r="E2417" t="s">
        <v>7</v>
      </c>
      <c r="F2417" t="s">
        <v>7</v>
      </c>
      <c r="G2417" t="s">
        <v>8</v>
      </c>
      <c r="H2417">
        <v>939.62</v>
      </c>
    </row>
    <row r="2418" spans="1:8" x14ac:dyDescent="0.3">
      <c r="A2418">
        <v>202205</v>
      </c>
      <c r="B2418" s="1">
        <v>44682</v>
      </c>
      <c r="C2418">
        <v>2022</v>
      </c>
      <c r="D2418" t="s">
        <v>12</v>
      </c>
      <c r="E2418" t="s">
        <v>7</v>
      </c>
      <c r="F2418" t="s">
        <v>7</v>
      </c>
      <c r="G2418" t="s">
        <v>8</v>
      </c>
      <c r="H2418">
        <v>846.91</v>
      </c>
    </row>
    <row r="2419" spans="1:8" x14ac:dyDescent="0.3">
      <c r="A2419">
        <v>202206</v>
      </c>
      <c r="B2419" s="1">
        <v>44713</v>
      </c>
      <c r="C2419">
        <v>2022</v>
      </c>
      <c r="D2419" t="s">
        <v>13</v>
      </c>
      <c r="E2419" t="s">
        <v>7</v>
      </c>
      <c r="F2419" t="s">
        <v>7</v>
      </c>
      <c r="G2419" t="s">
        <v>8</v>
      </c>
      <c r="H2419">
        <v>787.95</v>
      </c>
    </row>
    <row r="2420" spans="1:8" x14ac:dyDescent="0.3">
      <c r="A2420">
        <v>202207</v>
      </c>
      <c r="B2420" s="1">
        <v>44743</v>
      </c>
      <c r="C2420">
        <v>2022</v>
      </c>
      <c r="D2420" t="s">
        <v>14</v>
      </c>
      <c r="E2420" t="s">
        <v>7</v>
      </c>
      <c r="F2420" t="s">
        <v>7</v>
      </c>
      <c r="G2420" t="s">
        <v>8</v>
      </c>
      <c r="H2420">
        <v>528.80999999999995</v>
      </c>
    </row>
    <row r="2421" spans="1:8" x14ac:dyDescent="0.3">
      <c r="A2421">
        <v>202208</v>
      </c>
      <c r="B2421" s="1">
        <v>44774</v>
      </c>
      <c r="C2421">
        <v>2022</v>
      </c>
      <c r="D2421" t="s">
        <v>15</v>
      </c>
      <c r="E2421" t="s">
        <v>7</v>
      </c>
      <c r="F2421" t="s">
        <v>7</v>
      </c>
      <c r="G2421" t="s">
        <v>8</v>
      </c>
      <c r="H2421">
        <v>660.87</v>
      </c>
    </row>
    <row r="2422" spans="1:8" x14ac:dyDescent="0.3">
      <c r="A2422">
        <v>202209</v>
      </c>
      <c r="B2422" s="1">
        <v>44805</v>
      </c>
      <c r="C2422">
        <v>2022</v>
      </c>
      <c r="D2422" t="s">
        <v>16</v>
      </c>
      <c r="E2422" t="s">
        <v>7</v>
      </c>
      <c r="F2422" t="s">
        <v>7</v>
      </c>
      <c r="G2422" t="s">
        <v>8</v>
      </c>
      <c r="H2422">
        <v>526.79999999999995</v>
      </c>
    </row>
    <row r="2423" spans="1:8" x14ac:dyDescent="0.3">
      <c r="A2423">
        <v>202210</v>
      </c>
      <c r="B2423" s="1">
        <v>44835</v>
      </c>
      <c r="C2423">
        <v>2022</v>
      </c>
      <c r="D2423" t="s">
        <v>17</v>
      </c>
      <c r="E2423" t="s">
        <v>7</v>
      </c>
      <c r="F2423" t="s">
        <v>7</v>
      </c>
      <c r="G2423" t="s">
        <v>8</v>
      </c>
      <c r="H2423">
        <v>507.29</v>
      </c>
    </row>
    <row r="2424" spans="1:8" x14ac:dyDescent="0.3">
      <c r="A2424">
        <v>202211</v>
      </c>
      <c r="B2424" s="1">
        <v>44866</v>
      </c>
      <c r="C2424">
        <v>2022</v>
      </c>
      <c r="D2424" t="s">
        <v>18</v>
      </c>
      <c r="E2424" t="s">
        <v>7</v>
      </c>
      <c r="F2424" t="s">
        <v>7</v>
      </c>
      <c r="G2424" t="s">
        <v>8</v>
      </c>
      <c r="H2424">
        <v>661.07</v>
      </c>
    </row>
    <row r="2425" spans="1:8" x14ac:dyDescent="0.3">
      <c r="A2425">
        <v>202212</v>
      </c>
      <c r="B2425" s="1">
        <v>44896</v>
      </c>
      <c r="C2425">
        <v>2022</v>
      </c>
      <c r="D2425" t="s">
        <v>19</v>
      </c>
      <c r="E2425" t="s">
        <v>7</v>
      </c>
      <c r="F2425" t="s">
        <v>7</v>
      </c>
      <c r="G2425" t="s">
        <v>8</v>
      </c>
      <c r="H2425">
        <v>546.53</v>
      </c>
    </row>
    <row r="2426" spans="1:8" x14ac:dyDescent="0.3">
      <c r="A2426">
        <v>202201</v>
      </c>
      <c r="B2426" s="1">
        <v>44562</v>
      </c>
      <c r="C2426">
        <v>2022</v>
      </c>
      <c r="D2426" t="s">
        <v>6</v>
      </c>
      <c r="E2426" t="s">
        <v>7</v>
      </c>
      <c r="F2426" t="s">
        <v>7</v>
      </c>
      <c r="G2426" t="s">
        <v>8</v>
      </c>
      <c r="H2426">
        <v>10455.5</v>
      </c>
    </row>
    <row r="2427" spans="1:8" x14ac:dyDescent="0.3">
      <c r="A2427">
        <v>202202</v>
      </c>
      <c r="B2427" s="1">
        <v>44593</v>
      </c>
      <c r="C2427">
        <v>2022</v>
      </c>
      <c r="D2427" t="s">
        <v>9</v>
      </c>
      <c r="E2427" t="s">
        <v>7</v>
      </c>
      <c r="F2427" t="s">
        <v>7</v>
      </c>
      <c r="G2427" t="s">
        <v>8</v>
      </c>
      <c r="H2427">
        <v>7555.99</v>
      </c>
    </row>
    <row r="2428" spans="1:8" x14ac:dyDescent="0.3">
      <c r="A2428">
        <v>202203</v>
      </c>
      <c r="B2428" s="1">
        <v>44621</v>
      </c>
      <c r="C2428">
        <v>2022</v>
      </c>
      <c r="D2428" t="s">
        <v>10</v>
      </c>
      <c r="E2428" t="s">
        <v>7</v>
      </c>
      <c r="F2428" t="s">
        <v>7</v>
      </c>
      <c r="G2428" t="s">
        <v>8</v>
      </c>
      <c r="H2428">
        <v>8109.02</v>
      </c>
    </row>
    <row r="2429" spans="1:8" x14ac:dyDescent="0.3">
      <c r="A2429">
        <v>202204</v>
      </c>
      <c r="B2429" s="1">
        <v>44652</v>
      </c>
      <c r="C2429">
        <v>2022</v>
      </c>
      <c r="D2429" t="s">
        <v>11</v>
      </c>
      <c r="E2429" t="s">
        <v>7</v>
      </c>
      <c r="F2429" t="s">
        <v>7</v>
      </c>
      <c r="G2429" t="s">
        <v>8</v>
      </c>
      <c r="H2429">
        <v>14260.52</v>
      </c>
    </row>
    <row r="2430" spans="1:8" x14ac:dyDescent="0.3">
      <c r="A2430">
        <v>202205</v>
      </c>
      <c r="B2430" s="1">
        <v>44682</v>
      </c>
      <c r="C2430">
        <v>2022</v>
      </c>
      <c r="D2430" t="s">
        <v>12</v>
      </c>
      <c r="E2430" t="s">
        <v>7</v>
      </c>
      <c r="F2430" t="s">
        <v>7</v>
      </c>
      <c r="G2430" t="s">
        <v>8</v>
      </c>
      <c r="H2430">
        <v>13998.1</v>
      </c>
    </row>
    <row r="2431" spans="1:8" x14ac:dyDescent="0.3">
      <c r="A2431">
        <v>202206</v>
      </c>
      <c r="B2431" s="1">
        <v>44713</v>
      </c>
      <c r="C2431">
        <v>2022</v>
      </c>
      <c r="D2431" t="s">
        <v>13</v>
      </c>
      <c r="E2431" t="s">
        <v>7</v>
      </c>
      <c r="F2431" t="s">
        <v>7</v>
      </c>
      <c r="G2431" t="s">
        <v>8</v>
      </c>
      <c r="H2431">
        <v>10858.31</v>
      </c>
    </row>
    <row r="2432" spans="1:8" x14ac:dyDescent="0.3">
      <c r="A2432">
        <v>202207</v>
      </c>
      <c r="B2432" s="1">
        <v>44743</v>
      </c>
      <c r="C2432">
        <v>2022</v>
      </c>
      <c r="D2432" t="s">
        <v>14</v>
      </c>
      <c r="E2432" t="s">
        <v>7</v>
      </c>
      <c r="F2432" t="s">
        <v>7</v>
      </c>
      <c r="G2432" t="s">
        <v>8</v>
      </c>
      <c r="H2432">
        <v>10030.84</v>
      </c>
    </row>
    <row r="2433" spans="1:8" x14ac:dyDescent="0.3">
      <c r="A2433">
        <v>202208</v>
      </c>
      <c r="B2433" s="1">
        <v>44774</v>
      </c>
      <c r="C2433">
        <v>2022</v>
      </c>
      <c r="D2433" t="s">
        <v>15</v>
      </c>
      <c r="E2433" t="s">
        <v>7</v>
      </c>
      <c r="F2433" t="s">
        <v>7</v>
      </c>
      <c r="G2433" t="s">
        <v>8</v>
      </c>
      <c r="H2433">
        <v>12029.45</v>
      </c>
    </row>
    <row r="2434" spans="1:8" x14ac:dyDescent="0.3">
      <c r="A2434">
        <v>202209</v>
      </c>
      <c r="B2434" s="1">
        <v>44805</v>
      </c>
      <c r="C2434">
        <v>2022</v>
      </c>
      <c r="D2434" t="s">
        <v>16</v>
      </c>
      <c r="E2434" t="s">
        <v>7</v>
      </c>
      <c r="F2434" t="s">
        <v>7</v>
      </c>
      <c r="G2434" t="s">
        <v>8</v>
      </c>
      <c r="H2434">
        <v>10294.42</v>
      </c>
    </row>
    <row r="2435" spans="1:8" x14ac:dyDescent="0.3">
      <c r="A2435">
        <v>202210</v>
      </c>
      <c r="B2435" s="1">
        <v>44835</v>
      </c>
      <c r="C2435">
        <v>2022</v>
      </c>
      <c r="D2435" t="s">
        <v>17</v>
      </c>
      <c r="E2435" t="s">
        <v>7</v>
      </c>
      <c r="F2435" t="s">
        <v>7</v>
      </c>
      <c r="G2435" t="s">
        <v>8</v>
      </c>
      <c r="H2435">
        <v>9332.5499999999993</v>
      </c>
    </row>
    <row r="2436" spans="1:8" x14ac:dyDescent="0.3">
      <c r="A2436">
        <v>202211</v>
      </c>
      <c r="B2436" s="1">
        <v>44866</v>
      </c>
      <c r="C2436">
        <v>2022</v>
      </c>
      <c r="D2436" t="s">
        <v>18</v>
      </c>
      <c r="E2436" t="s">
        <v>7</v>
      </c>
      <c r="F2436" t="s">
        <v>7</v>
      </c>
      <c r="G2436" t="s">
        <v>8</v>
      </c>
      <c r="H2436">
        <v>12983.42</v>
      </c>
    </row>
    <row r="2437" spans="1:8" x14ac:dyDescent="0.3">
      <c r="A2437">
        <v>202212</v>
      </c>
      <c r="B2437" s="1">
        <v>44896</v>
      </c>
      <c r="C2437">
        <v>2022</v>
      </c>
      <c r="D2437" t="s">
        <v>19</v>
      </c>
      <c r="E2437" t="s">
        <v>7</v>
      </c>
      <c r="F2437" t="s">
        <v>7</v>
      </c>
      <c r="G2437" t="s">
        <v>8</v>
      </c>
      <c r="H2437">
        <v>9633.4500000000007</v>
      </c>
    </row>
    <row r="2438" spans="1:8" x14ac:dyDescent="0.3">
      <c r="A2438">
        <v>202201</v>
      </c>
      <c r="B2438" s="1">
        <v>44562</v>
      </c>
      <c r="C2438">
        <v>2022</v>
      </c>
      <c r="D2438" t="s">
        <v>6</v>
      </c>
      <c r="E2438" t="s">
        <v>7</v>
      </c>
      <c r="F2438" t="s">
        <v>7</v>
      </c>
      <c r="G2438" t="s">
        <v>8</v>
      </c>
      <c r="H2438">
        <v>352.35</v>
      </c>
    </row>
    <row r="2439" spans="1:8" x14ac:dyDescent="0.3">
      <c r="A2439">
        <v>202202</v>
      </c>
      <c r="B2439" s="1">
        <v>44593</v>
      </c>
      <c r="C2439">
        <v>2022</v>
      </c>
      <c r="D2439" t="s">
        <v>9</v>
      </c>
      <c r="E2439" t="s">
        <v>7</v>
      </c>
      <c r="F2439" t="s">
        <v>7</v>
      </c>
      <c r="G2439" t="s">
        <v>8</v>
      </c>
      <c r="H2439">
        <v>228.76</v>
      </c>
    </row>
    <row r="2440" spans="1:8" x14ac:dyDescent="0.3">
      <c r="A2440">
        <v>202203</v>
      </c>
      <c r="B2440" s="1">
        <v>44621</v>
      </c>
      <c r="C2440">
        <v>2022</v>
      </c>
      <c r="D2440" t="s">
        <v>10</v>
      </c>
      <c r="E2440" t="s">
        <v>7</v>
      </c>
      <c r="F2440" t="s">
        <v>7</v>
      </c>
      <c r="G2440" t="s">
        <v>8</v>
      </c>
      <c r="H2440">
        <v>283.52</v>
      </c>
    </row>
    <row r="2441" spans="1:8" x14ac:dyDescent="0.3">
      <c r="A2441">
        <v>202204</v>
      </c>
      <c r="B2441" s="1">
        <v>44652</v>
      </c>
      <c r="C2441">
        <v>2022</v>
      </c>
      <c r="D2441" t="s">
        <v>11</v>
      </c>
      <c r="E2441" t="s">
        <v>7</v>
      </c>
      <c r="F2441" t="s">
        <v>7</v>
      </c>
      <c r="G2441" t="s">
        <v>8</v>
      </c>
      <c r="H2441">
        <v>446.56</v>
      </c>
    </row>
    <row r="2442" spans="1:8" x14ac:dyDescent="0.3">
      <c r="A2442">
        <v>202205</v>
      </c>
      <c r="B2442" s="1">
        <v>44682</v>
      </c>
      <c r="C2442">
        <v>2022</v>
      </c>
      <c r="D2442" t="s">
        <v>12</v>
      </c>
      <c r="E2442" t="s">
        <v>7</v>
      </c>
      <c r="F2442" t="s">
        <v>7</v>
      </c>
      <c r="G2442" t="s">
        <v>8</v>
      </c>
      <c r="H2442">
        <v>324.32</v>
      </c>
    </row>
    <row r="2443" spans="1:8" x14ac:dyDescent="0.3">
      <c r="A2443">
        <v>202206</v>
      </c>
      <c r="B2443" s="1">
        <v>44713</v>
      </c>
      <c r="C2443">
        <v>2022</v>
      </c>
      <c r="D2443" t="s">
        <v>13</v>
      </c>
      <c r="E2443" t="s">
        <v>7</v>
      </c>
      <c r="F2443" t="s">
        <v>7</v>
      </c>
      <c r="G2443" t="s">
        <v>8</v>
      </c>
      <c r="H2443">
        <v>309.27999999999997</v>
      </c>
    </row>
    <row r="2444" spans="1:8" x14ac:dyDescent="0.3">
      <c r="A2444">
        <v>202207</v>
      </c>
      <c r="B2444" s="1">
        <v>44743</v>
      </c>
      <c r="C2444">
        <v>2022</v>
      </c>
      <c r="D2444" t="s">
        <v>14</v>
      </c>
      <c r="E2444" t="s">
        <v>7</v>
      </c>
      <c r="F2444" t="s">
        <v>7</v>
      </c>
      <c r="G2444" t="s">
        <v>8</v>
      </c>
      <c r="H2444">
        <v>281.97000000000003</v>
      </c>
    </row>
    <row r="2445" spans="1:8" x14ac:dyDescent="0.3">
      <c r="A2445">
        <v>202208</v>
      </c>
      <c r="B2445" s="1">
        <v>44774</v>
      </c>
      <c r="C2445">
        <v>2022</v>
      </c>
      <c r="D2445" t="s">
        <v>15</v>
      </c>
      <c r="E2445" t="s">
        <v>7</v>
      </c>
      <c r="F2445" t="s">
        <v>7</v>
      </c>
      <c r="G2445" t="s">
        <v>8</v>
      </c>
      <c r="H2445">
        <v>290.5</v>
      </c>
    </row>
    <row r="2446" spans="1:8" x14ac:dyDescent="0.3">
      <c r="A2446">
        <v>202209</v>
      </c>
      <c r="B2446" s="1">
        <v>44805</v>
      </c>
      <c r="C2446">
        <v>2022</v>
      </c>
      <c r="D2446" t="s">
        <v>16</v>
      </c>
      <c r="E2446" t="s">
        <v>7</v>
      </c>
      <c r="F2446" t="s">
        <v>7</v>
      </c>
      <c r="G2446" t="s">
        <v>8</v>
      </c>
      <c r="H2446">
        <v>265.47000000000003</v>
      </c>
    </row>
    <row r="2447" spans="1:8" x14ac:dyDescent="0.3">
      <c r="A2447">
        <v>202210</v>
      </c>
      <c r="B2447" s="1">
        <v>44835</v>
      </c>
      <c r="C2447">
        <v>2022</v>
      </c>
      <c r="D2447" t="s">
        <v>17</v>
      </c>
      <c r="E2447" t="s">
        <v>7</v>
      </c>
      <c r="F2447" t="s">
        <v>7</v>
      </c>
      <c r="G2447" t="s">
        <v>8</v>
      </c>
      <c r="H2447">
        <v>304.23</v>
      </c>
    </row>
    <row r="2448" spans="1:8" x14ac:dyDescent="0.3">
      <c r="A2448">
        <v>202211</v>
      </c>
      <c r="B2448" s="1">
        <v>44866</v>
      </c>
      <c r="C2448">
        <v>2022</v>
      </c>
      <c r="D2448" t="s">
        <v>18</v>
      </c>
      <c r="E2448" t="s">
        <v>7</v>
      </c>
      <c r="F2448" t="s">
        <v>7</v>
      </c>
      <c r="G2448" t="s">
        <v>8</v>
      </c>
      <c r="H2448">
        <v>358.4</v>
      </c>
    </row>
    <row r="2449" spans="1:8" x14ac:dyDescent="0.3">
      <c r="A2449">
        <v>202212</v>
      </c>
      <c r="B2449" s="1">
        <v>44896</v>
      </c>
      <c r="C2449">
        <v>2022</v>
      </c>
      <c r="D2449" t="s">
        <v>19</v>
      </c>
      <c r="E2449" t="s">
        <v>7</v>
      </c>
      <c r="F2449" t="s">
        <v>7</v>
      </c>
      <c r="G2449" t="s">
        <v>8</v>
      </c>
      <c r="H2449">
        <v>296.74</v>
      </c>
    </row>
    <row r="2450" spans="1:8" x14ac:dyDescent="0.3">
      <c r="A2450">
        <v>202201</v>
      </c>
      <c r="B2450" s="1">
        <v>44562</v>
      </c>
      <c r="C2450">
        <v>2022</v>
      </c>
      <c r="D2450" t="s">
        <v>6</v>
      </c>
      <c r="E2450" t="s">
        <v>7</v>
      </c>
      <c r="F2450" t="s">
        <v>7</v>
      </c>
      <c r="G2450" t="s">
        <v>8</v>
      </c>
      <c r="H2450">
        <v>2500.14</v>
      </c>
    </row>
    <row r="2451" spans="1:8" x14ac:dyDescent="0.3">
      <c r="A2451">
        <v>202202</v>
      </c>
      <c r="B2451" s="1">
        <v>44593</v>
      </c>
      <c r="C2451">
        <v>2022</v>
      </c>
      <c r="D2451" t="s">
        <v>9</v>
      </c>
      <c r="E2451" t="s">
        <v>7</v>
      </c>
      <c r="F2451" t="s">
        <v>7</v>
      </c>
      <c r="G2451" t="s">
        <v>8</v>
      </c>
      <c r="H2451">
        <v>1460.01</v>
      </c>
    </row>
    <row r="2452" spans="1:8" x14ac:dyDescent="0.3">
      <c r="A2452">
        <v>202203</v>
      </c>
      <c r="B2452" s="1">
        <v>44621</v>
      </c>
      <c r="C2452">
        <v>2022</v>
      </c>
      <c r="D2452" t="s">
        <v>10</v>
      </c>
      <c r="E2452" t="s">
        <v>7</v>
      </c>
      <c r="F2452" t="s">
        <v>7</v>
      </c>
      <c r="G2452" t="s">
        <v>8</v>
      </c>
      <c r="H2452">
        <v>1707</v>
      </c>
    </row>
    <row r="2453" spans="1:8" x14ac:dyDescent="0.3">
      <c r="A2453">
        <v>202204</v>
      </c>
      <c r="B2453" s="1">
        <v>44652</v>
      </c>
      <c r="C2453">
        <v>2022</v>
      </c>
      <c r="D2453" t="s">
        <v>11</v>
      </c>
      <c r="E2453" t="s">
        <v>7</v>
      </c>
      <c r="F2453" t="s">
        <v>7</v>
      </c>
      <c r="G2453" t="s">
        <v>8</v>
      </c>
      <c r="H2453">
        <v>2711.97</v>
      </c>
    </row>
    <row r="2454" spans="1:8" x14ac:dyDescent="0.3">
      <c r="A2454">
        <v>202205</v>
      </c>
      <c r="B2454" s="1">
        <v>44682</v>
      </c>
      <c r="C2454">
        <v>2022</v>
      </c>
      <c r="D2454" t="s">
        <v>12</v>
      </c>
      <c r="E2454" t="s">
        <v>7</v>
      </c>
      <c r="F2454" t="s">
        <v>7</v>
      </c>
      <c r="G2454" t="s">
        <v>8</v>
      </c>
      <c r="H2454">
        <v>3154.08</v>
      </c>
    </row>
    <row r="2455" spans="1:8" x14ac:dyDescent="0.3">
      <c r="A2455">
        <v>202206</v>
      </c>
      <c r="B2455" s="1">
        <v>44713</v>
      </c>
      <c r="C2455">
        <v>2022</v>
      </c>
      <c r="D2455" t="s">
        <v>13</v>
      </c>
      <c r="E2455" t="s">
        <v>7</v>
      </c>
      <c r="F2455" t="s">
        <v>7</v>
      </c>
      <c r="G2455" t="s">
        <v>8</v>
      </c>
      <c r="H2455">
        <v>1943.63</v>
      </c>
    </row>
    <row r="2456" spans="1:8" x14ac:dyDescent="0.3">
      <c r="A2456">
        <v>202207</v>
      </c>
      <c r="B2456" s="1">
        <v>44743</v>
      </c>
      <c r="C2456">
        <v>2022</v>
      </c>
      <c r="D2456" t="s">
        <v>14</v>
      </c>
      <c r="E2456" t="s">
        <v>7</v>
      </c>
      <c r="F2456" t="s">
        <v>7</v>
      </c>
      <c r="G2456" t="s">
        <v>8</v>
      </c>
      <c r="H2456">
        <v>1844.74</v>
      </c>
    </row>
    <row r="2457" spans="1:8" x14ac:dyDescent="0.3">
      <c r="A2457">
        <v>202208</v>
      </c>
      <c r="B2457" s="1">
        <v>44774</v>
      </c>
      <c r="C2457">
        <v>2022</v>
      </c>
      <c r="D2457" t="s">
        <v>15</v>
      </c>
      <c r="E2457" t="s">
        <v>7</v>
      </c>
      <c r="F2457" t="s">
        <v>7</v>
      </c>
      <c r="G2457" t="s">
        <v>8</v>
      </c>
      <c r="H2457">
        <v>2352.5700000000002</v>
      </c>
    </row>
    <row r="2458" spans="1:8" x14ac:dyDescent="0.3">
      <c r="A2458">
        <v>202209</v>
      </c>
      <c r="B2458" s="1">
        <v>44805</v>
      </c>
      <c r="C2458">
        <v>2022</v>
      </c>
      <c r="D2458" t="s">
        <v>16</v>
      </c>
      <c r="E2458" t="s">
        <v>7</v>
      </c>
      <c r="F2458" t="s">
        <v>7</v>
      </c>
      <c r="G2458" t="s">
        <v>8</v>
      </c>
      <c r="H2458">
        <v>1766.22</v>
      </c>
    </row>
    <row r="2459" spans="1:8" x14ac:dyDescent="0.3">
      <c r="A2459">
        <v>202210</v>
      </c>
      <c r="B2459" s="1">
        <v>44835</v>
      </c>
      <c r="C2459">
        <v>2022</v>
      </c>
      <c r="D2459" t="s">
        <v>17</v>
      </c>
      <c r="E2459" t="s">
        <v>7</v>
      </c>
      <c r="F2459" t="s">
        <v>7</v>
      </c>
      <c r="G2459" t="s">
        <v>8</v>
      </c>
      <c r="H2459">
        <v>2177.4299999999998</v>
      </c>
    </row>
    <row r="2460" spans="1:8" x14ac:dyDescent="0.3">
      <c r="A2460">
        <v>202211</v>
      </c>
      <c r="B2460" s="1">
        <v>44866</v>
      </c>
      <c r="C2460">
        <v>2022</v>
      </c>
      <c r="D2460" t="s">
        <v>18</v>
      </c>
      <c r="E2460" t="s">
        <v>7</v>
      </c>
      <c r="F2460" t="s">
        <v>7</v>
      </c>
      <c r="G2460" t="s">
        <v>8</v>
      </c>
      <c r="H2460">
        <v>2409.65</v>
      </c>
    </row>
    <row r="2461" spans="1:8" x14ac:dyDescent="0.3">
      <c r="A2461">
        <v>202212</v>
      </c>
      <c r="B2461" s="1">
        <v>44896</v>
      </c>
      <c r="C2461">
        <v>2022</v>
      </c>
      <c r="D2461" t="s">
        <v>19</v>
      </c>
      <c r="E2461" t="s">
        <v>7</v>
      </c>
      <c r="F2461" t="s">
        <v>7</v>
      </c>
      <c r="G2461" t="s">
        <v>8</v>
      </c>
      <c r="H2461">
        <v>1915.92</v>
      </c>
    </row>
    <row r="2462" spans="1:8" x14ac:dyDescent="0.3">
      <c r="A2462">
        <v>202201</v>
      </c>
      <c r="B2462" s="1">
        <v>44562</v>
      </c>
      <c r="C2462">
        <v>2022</v>
      </c>
      <c r="D2462" t="s">
        <v>6</v>
      </c>
      <c r="E2462" t="s">
        <v>7</v>
      </c>
      <c r="F2462" t="s">
        <v>7</v>
      </c>
      <c r="G2462" t="s">
        <v>8</v>
      </c>
      <c r="H2462">
        <v>4775.1099999999997</v>
      </c>
    </row>
    <row r="2463" spans="1:8" x14ac:dyDescent="0.3">
      <c r="A2463">
        <v>202202</v>
      </c>
      <c r="B2463" s="1">
        <v>44593</v>
      </c>
      <c r="C2463">
        <v>2022</v>
      </c>
      <c r="D2463" t="s">
        <v>9</v>
      </c>
      <c r="E2463" t="s">
        <v>7</v>
      </c>
      <c r="F2463" t="s">
        <v>7</v>
      </c>
      <c r="G2463" t="s">
        <v>8</v>
      </c>
      <c r="H2463">
        <v>3074.99</v>
      </c>
    </row>
    <row r="2464" spans="1:8" x14ac:dyDescent="0.3">
      <c r="A2464">
        <v>202203</v>
      </c>
      <c r="B2464" s="1">
        <v>44621</v>
      </c>
      <c r="C2464">
        <v>2022</v>
      </c>
      <c r="D2464" t="s">
        <v>10</v>
      </c>
      <c r="E2464" t="s">
        <v>7</v>
      </c>
      <c r="F2464" t="s">
        <v>7</v>
      </c>
      <c r="G2464" t="s">
        <v>8</v>
      </c>
      <c r="H2464">
        <v>3687.9</v>
      </c>
    </row>
    <row r="2465" spans="1:8" x14ac:dyDescent="0.3">
      <c r="A2465">
        <v>202204</v>
      </c>
      <c r="B2465" s="1">
        <v>44652</v>
      </c>
      <c r="C2465">
        <v>2022</v>
      </c>
      <c r="D2465" t="s">
        <v>11</v>
      </c>
      <c r="E2465" t="s">
        <v>7</v>
      </c>
      <c r="F2465" t="s">
        <v>7</v>
      </c>
      <c r="G2465" t="s">
        <v>8</v>
      </c>
      <c r="H2465">
        <v>5145.32</v>
      </c>
    </row>
    <row r="2466" spans="1:8" x14ac:dyDescent="0.3">
      <c r="A2466">
        <v>202205</v>
      </c>
      <c r="B2466" s="1">
        <v>44682</v>
      </c>
      <c r="C2466">
        <v>2022</v>
      </c>
      <c r="D2466" t="s">
        <v>12</v>
      </c>
      <c r="E2466" t="s">
        <v>7</v>
      </c>
      <c r="F2466" t="s">
        <v>7</v>
      </c>
      <c r="G2466" t="s">
        <v>8</v>
      </c>
      <c r="H2466">
        <v>4809.92</v>
      </c>
    </row>
    <row r="2467" spans="1:8" x14ac:dyDescent="0.3">
      <c r="A2467">
        <v>202206</v>
      </c>
      <c r="B2467" s="1">
        <v>44713</v>
      </c>
      <c r="C2467">
        <v>2022</v>
      </c>
      <c r="D2467" t="s">
        <v>13</v>
      </c>
      <c r="E2467" t="s">
        <v>7</v>
      </c>
      <c r="F2467" t="s">
        <v>7</v>
      </c>
      <c r="G2467" t="s">
        <v>8</v>
      </c>
      <c r="H2467">
        <v>4270.3599999999997</v>
      </c>
    </row>
    <row r="2468" spans="1:8" x14ac:dyDescent="0.3">
      <c r="A2468">
        <v>202207</v>
      </c>
      <c r="B2468" s="1">
        <v>44743</v>
      </c>
      <c r="C2468">
        <v>2022</v>
      </c>
      <c r="D2468" t="s">
        <v>14</v>
      </c>
      <c r="E2468" t="s">
        <v>7</v>
      </c>
      <c r="F2468" t="s">
        <v>7</v>
      </c>
      <c r="G2468" t="s">
        <v>8</v>
      </c>
      <c r="H2468">
        <v>5198.32</v>
      </c>
    </row>
    <row r="2469" spans="1:8" x14ac:dyDescent="0.3">
      <c r="A2469">
        <v>202208</v>
      </c>
      <c r="B2469" s="1">
        <v>44774</v>
      </c>
      <c r="C2469">
        <v>2022</v>
      </c>
      <c r="D2469" t="s">
        <v>15</v>
      </c>
      <c r="E2469" t="s">
        <v>7</v>
      </c>
      <c r="F2469" t="s">
        <v>7</v>
      </c>
      <c r="G2469" t="s">
        <v>8</v>
      </c>
      <c r="H2469">
        <v>5495.78</v>
      </c>
    </row>
    <row r="2470" spans="1:8" x14ac:dyDescent="0.3">
      <c r="A2470">
        <v>202209</v>
      </c>
      <c r="B2470" s="1">
        <v>44805</v>
      </c>
      <c r="C2470">
        <v>2022</v>
      </c>
      <c r="D2470" t="s">
        <v>16</v>
      </c>
      <c r="E2470" t="s">
        <v>7</v>
      </c>
      <c r="F2470" t="s">
        <v>7</v>
      </c>
      <c r="G2470" t="s">
        <v>8</v>
      </c>
      <c r="H2470">
        <v>3283.87</v>
      </c>
    </row>
    <row r="2471" spans="1:8" x14ac:dyDescent="0.3">
      <c r="A2471">
        <v>202210</v>
      </c>
      <c r="B2471" s="1">
        <v>44835</v>
      </c>
      <c r="C2471">
        <v>2022</v>
      </c>
      <c r="D2471" t="s">
        <v>17</v>
      </c>
      <c r="E2471" t="s">
        <v>7</v>
      </c>
      <c r="F2471" t="s">
        <v>7</v>
      </c>
      <c r="G2471" t="s">
        <v>8</v>
      </c>
      <c r="H2471">
        <v>3856.66</v>
      </c>
    </row>
    <row r="2472" spans="1:8" x14ac:dyDescent="0.3">
      <c r="A2472">
        <v>202211</v>
      </c>
      <c r="B2472" s="1">
        <v>44866</v>
      </c>
      <c r="C2472">
        <v>2022</v>
      </c>
      <c r="D2472" t="s">
        <v>18</v>
      </c>
      <c r="E2472" t="s">
        <v>7</v>
      </c>
      <c r="F2472" t="s">
        <v>7</v>
      </c>
      <c r="G2472" t="s">
        <v>8</v>
      </c>
      <c r="H2472">
        <v>4675.5</v>
      </c>
    </row>
    <row r="2473" spans="1:8" x14ac:dyDescent="0.3">
      <c r="A2473">
        <v>202212</v>
      </c>
      <c r="B2473" s="1">
        <v>44896</v>
      </c>
      <c r="C2473">
        <v>2022</v>
      </c>
      <c r="D2473" t="s">
        <v>19</v>
      </c>
      <c r="E2473" t="s">
        <v>7</v>
      </c>
      <c r="F2473" t="s">
        <v>7</v>
      </c>
      <c r="G2473" t="s">
        <v>8</v>
      </c>
      <c r="H2473">
        <v>4278.01</v>
      </c>
    </row>
    <row r="2474" spans="1:8" x14ac:dyDescent="0.3">
      <c r="A2474">
        <v>202201</v>
      </c>
      <c r="B2474" s="1">
        <v>44562</v>
      </c>
      <c r="C2474">
        <v>2022</v>
      </c>
      <c r="D2474" t="s">
        <v>6</v>
      </c>
      <c r="E2474" t="s">
        <v>7</v>
      </c>
      <c r="F2474" t="s">
        <v>7</v>
      </c>
      <c r="G2474" t="s">
        <v>8</v>
      </c>
      <c r="H2474">
        <v>619.04</v>
      </c>
    </row>
    <row r="2475" spans="1:8" x14ac:dyDescent="0.3">
      <c r="A2475">
        <v>202202</v>
      </c>
      <c r="B2475" s="1">
        <v>44593</v>
      </c>
      <c r="C2475">
        <v>2022</v>
      </c>
      <c r="D2475" t="s">
        <v>9</v>
      </c>
      <c r="E2475" t="s">
        <v>7</v>
      </c>
      <c r="F2475" t="s">
        <v>7</v>
      </c>
      <c r="G2475" t="s">
        <v>8</v>
      </c>
      <c r="H2475">
        <v>572.82000000000005</v>
      </c>
    </row>
    <row r="2476" spans="1:8" x14ac:dyDescent="0.3">
      <c r="A2476">
        <v>202203</v>
      </c>
      <c r="B2476" s="1">
        <v>44621</v>
      </c>
      <c r="C2476">
        <v>2022</v>
      </c>
      <c r="D2476" t="s">
        <v>10</v>
      </c>
      <c r="E2476" t="s">
        <v>7</v>
      </c>
      <c r="F2476" t="s">
        <v>7</v>
      </c>
      <c r="G2476" t="s">
        <v>8</v>
      </c>
      <c r="H2476">
        <v>598.80999999999995</v>
      </c>
    </row>
    <row r="2477" spans="1:8" x14ac:dyDescent="0.3">
      <c r="A2477">
        <v>202204</v>
      </c>
      <c r="B2477" s="1">
        <v>44652</v>
      </c>
      <c r="C2477">
        <v>2022</v>
      </c>
      <c r="D2477" t="s">
        <v>11</v>
      </c>
      <c r="E2477" t="s">
        <v>7</v>
      </c>
      <c r="F2477" t="s">
        <v>7</v>
      </c>
      <c r="G2477" t="s">
        <v>8</v>
      </c>
      <c r="H2477">
        <v>1019.94</v>
      </c>
    </row>
    <row r="2478" spans="1:8" x14ac:dyDescent="0.3">
      <c r="A2478">
        <v>202205</v>
      </c>
      <c r="B2478" s="1">
        <v>44682</v>
      </c>
      <c r="C2478">
        <v>2022</v>
      </c>
      <c r="D2478" t="s">
        <v>12</v>
      </c>
      <c r="E2478" t="s">
        <v>7</v>
      </c>
      <c r="F2478" t="s">
        <v>7</v>
      </c>
      <c r="G2478" t="s">
        <v>8</v>
      </c>
      <c r="H2478">
        <v>789.85</v>
      </c>
    </row>
    <row r="2479" spans="1:8" x14ac:dyDescent="0.3">
      <c r="A2479">
        <v>202206</v>
      </c>
      <c r="B2479" s="1">
        <v>44713</v>
      </c>
      <c r="C2479">
        <v>2022</v>
      </c>
      <c r="D2479" t="s">
        <v>13</v>
      </c>
      <c r="E2479" t="s">
        <v>7</v>
      </c>
      <c r="F2479" t="s">
        <v>7</v>
      </c>
      <c r="G2479" t="s">
        <v>8</v>
      </c>
      <c r="H2479">
        <v>687.87</v>
      </c>
    </row>
    <row r="2480" spans="1:8" x14ac:dyDescent="0.3">
      <c r="A2480">
        <v>202207</v>
      </c>
      <c r="B2480" s="1">
        <v>44743</v>
      </c>
      <c r="C2480">
        <v>2022</v>
      </c>
      <c r="D2480" t="s">
        <v>14</v>
      </c>
      <c r="E2480" t="s">
        <v>7</v>
      </c>
      <c r="F2480" t="s">
        <v>7</v>
      </c>
      <c r="G2480" t="s">
        <v>8</v>
      </c>
      <c r="H2480">
        <v>637.23</v>
      </c>
    </row>
    <row r="2481" spans="1:8" x14ac:dyDescent="0.3">
      <c r="A2481">
        <v>202208</v>
      </c>
      <c r="B2481" s="1">
        <v>44774</v>
      </c>
      <c r="C2481">
        <v>2022</v>
      </c>
      <c r="D2481" t="s">
        <v>15</v>
      </c>
      <c r="E2481" t="s">
        <v>7</v>
      </c>
      <c r="F2481" t="s">
        <v>7</v>
      </c>
      <c r="G2481" t="s">
        <v>8</v>
      </c>
      <c r="H2481">
        <v>703.69</v>
      </c>
    </row>
    <row r="2482" spans="1:8" x14ac:dyDescent="0.3">
      <c r="A2482">
        <v>202209</v>
      </c>
      <c r="B2482" s="1">
        <v>44805</v>
      </c>
      <c r="C2482">
        <v>2022</v>
      </c>
      <c r="D2482" t="s">
        <v>16</v>
      </c>
      <c r="E2482" t="s">
        <v>7</v>
      </c>
      <c r="F2482" t="s">
        <v>7</v>
      </c>
      <c r="G2482" t="s">
        <v>8</v>
      </c>
      <c r="H2482">
        <v>611.54</v>
      </c>
    </row>
    <row r="2483" spans="1:8" x14ac:dyDescent="0.3">
      <c r="A2483">
        <v>202210</v>
      </c>
      <c r="B2483" s="1">
        <v>44835</v>
      </c>
      <c r="C2483">
        <v>2022</v>
      </c>
      <c r="D2483" t="s">
        <v>17</v>
      </c>
      <c r="E2483" t="s">
        <v>7</v>
      </c>
      <c r="F2483" t="s">
        <v>7</v>
      </c>
      <c r="G2483" t="s">
        <v>8</v>
      </c>
      <c r="H2483">
        <v>644.62</v>
      </c>
    </row>
    <row r="2484" spans="1:8" x14ac:dyDescent="0.3">
      <c r="A2484">
        <v>202211</v>
      </c>
      <c r="B2484" s="1">
        <v>44866</v>
      </c>
      <c r="C2484">
        <v>2022</v>
      </c>
      <c r="D2484" t="s">
        <v>18</v>
      </c>
      <c r="E2484" t="s">
        <v>7</v>
      </c>
      <c r="F2484" t="s">
        <v>7</v>
      </c>
      <c r="G2484" t="s">
        <v>8</v>
      </c>
      <c r="H2484">
        <v>897.61</v>
      </c>
    </row>
    <row r="2485" spans="1:8" x14ac:dyDescent="0.3">
      <c r="A2485">
        <v>202212</v>
      </c>
      <c r="B2485" s="1">
        <v>44896</v>
      </c>
      <c r="C2485">
        <v>2022</v>
      </c>
      <c r="D2485" t="s">
        <v>19</v>
      </c>
      <c r="E2485" t="s">
        <v>7</v>
      </c>
      <c r="F2485" t="s">
        <v>7</v>
      </c>
      <c r="G2485" t="s">
        <v>8</v>
      </c>
      <c r="H2485">
        <v>679.67</v>
      </c>
    </row>
    <row r="2486" spans="1:8" x14ac:dyDescent="0.3">
      <c r="A2486">
        <v>202201</v>
      </c>
      <c r="B2486" s="1">
        <v>44562</v>
      </c>
      <c r="C2486">
        <v>2022</v>
      </c>
      <c r="D2486" t="s">
        <v>6</v>
      </c>
      <c r="E2486" t="s">
        <v>7</v>
      </c>
      <c r="F2486" t="s">
        <v>7</v>
      </c>
      <c r="G2486" t="s">
        <v>8</v>
      </c>
      <c r="H2486">
        <v>1217.57</v>
      </c>
    </row>
    <row r="2487" spans="1:8" x14ac:dyDescent="0.3">
      <c r="A2487">
        <v>202202</v>
      </c>
      <c r="B2487" s="1">
        <v>44593</v>
      </c>
      <c r="C2487">
        <v>2022</v>
      </c>
      <c r="D2487" t="s">
        <v>9</v>
      </c>
      <c r="E2487" t="s">
        <v>7</v>
      </c>
      <c r="F2487" t="s">
        <v>7</v>
      </c>
      <c r="G2487" t="s">
        <v>8</v>
      </c>
      <c r="H2487">
        <v>899.86</v>
      </c>
    </row>
    <row r="2488" spans="1:8" x14ac:dyDescent="0.3">
      <c r="A2488">
        <v>202203</v>
      </c>
      <c r="B2488" s="1">
        <v>44621</v>
      </c>
      <c r="C2488">
        <v>2022</v>
      </c>
      <c r="D2488" t="s">
        <v>10</v>
      </c>
      <c r="E2488" t="s">
        <v>7</v>
      </c>
      <c r="F2488" t="s">
        <v>7</v>
      </c>
      <c r="G2488" t="s">
        <v>8</v>
      </c>
      <c r="H2488">
        <v>1088.1400000000001</v>
      </c>
    </row>
    <row r="2489" spans="1:8" x14ac:dyDescent="0.3">
      <c r="A2489">
        <v>202204</v>
      </c>
      <c r="B2489" s="1">
        <v>44652</v>
      </c>
      <c r="C2489">
        <v>2022</v>
      </c>
      <c r="D2489" t="s">
        <v>11</v>
      </c>
      <c r="E2489" t="s">
        <v>7</v>
      </c>
      <c r="F2489" t="s">
        <v>7</v>
      </c>
      <c r="G2489" t="s">
        <v>8</v>
      </c>
      <c r="H2489">
        <v>1682.83</v>
      </c>
    </row>
    <row r="2490" spans="1:8" x14ac:dyDescent="0.3">
      <c r="A2490">
        <v>202205</v>
      </c>
      <c r="B2490" s="1">
        <v>44682</v>
      </c>
      <c r="C2490">
        <v>2022</v>
      </c>
      <c r="D2490" t="s">
        <v>12</v>
      </c>
      <c r="E2490" t="s">
        <v>7</v>
      </c>
      <c r="F2490" t="s">
        <v>7</v>
      </c>
      <c r="G2490" t="s">
        <v>8</v>
      </c>
      <c r="H2490">
        <v>1288.97</v>
      </c>
    </row>
    <row r="2491" spans="1:8" x14ac:dyDescent="0.3">
      <c r="A2491">
        <v>202206</v>
      </c>
      <c r="B2491" s="1">
        <v>44713</v>
      </c>
      <c r="C2491">
        <v>2022</v>
      </c>
      <c r="D2491" t="s">
        <v>13</v>
      </c>
      <c r="E2491" t="s">
        <v>7</v>
      </c>
      <c r="F2491" t="s">
        <v>7</v>
      </c>
      <c r="G2491" t="s">
        <v>8</v>
      </c>
      <c r="H2491">
        <v>1198.26</v>
      </c>
    </row>
    <row r="2492" spans="1:8" x14ac:dyDescent="0.3">
      <c r="A2492">
        <v>202207</v>
      </c>
      <c r="B2492" s="1">
        <v>44743</v>
      </c>
      <c r="C2492">
        <v>2022</v>
      </c>
      <c r="D2492" t="s">
        <v>14</v>
      </c>
      <c r="E2492" t="s">
        <v>7</v>
      </c>
      <c r="F2492" t="s">
        <v>7</v>
      </c>
      <c r="G2492" t="s">
        <v>8</v>
      </c>
      <c r="H2492">
        <v>1155.8900000000001</v>
      </c>
    </row>
    <row r="2493" spans="1:8" x14ac:dyDescent="0.3">
      <c r="A2493">
        <v>202208</v>
      </c>
      <c r="B2493" s="1">
        <v>44774</v>
      </c>
      <c r="C2493">
        <v>2022</v>
      </c>
      <c r="D2493" t="s">
        <v>15</v>
      </c>
      <c r="E2493" t="s">
        <v>7</v>
      </c>
      <c r="F2493" t="s">
        <v>7</v>
      </c>
      <c r="G2493" t="s">
        <v>8</v>
      </c>
      <c r="H2493">
        <v>1487.61</v>
      </c>
    </row>
    <row r="2494" spans="1:8" x14ac:dyDescent="0.3">
      <c r="A2494">
        <v>202209</v>
      </c>
      <c r="B2494" s="1">
        <v>44805</v>
      </c>
      <c r="C2494">
        <v>2022</v>
      </c>
      <c r="D2494" t="s">
        <v>16</v>
      </c>
      <c r="E2494" t="s">
        <v>7</v>
      </c>
      <c r="F2494" t="s">
        <v>7</v>
      </c>
      <c r="G2494" t="s">
        <v>8</v>
      </c>
      <c r="H2494">
        <v>1228.72</v>
      </c>
    </row>
    <row r="2495" spans="1:8" x14ac:dyDescent="0.3">
      <c r="A2495">
        <v>202210</v>
      </c>
      <c r="B2495" s="1">
        <v>44835</v>
      </c>
      <c r="C2495">
        <v>2022</v>
      </c>
      <c r="D2495" t="s">
        <v>17</v>
      </c>
      <c r="E2495" t="s">
        <v>7</v>
      </c>
      <c r="F2495" t="s">
        <v>7</v>
      </c>
      <c r="G2495" t="s">
        <v>8</v>
      </c>
      <c r="H2495">
        <v>1146.1300000000001</v>
      </c>
    </row>
    <row r="2496" spans="1:8" x14ac:dyDescent="0.3">
      <c r="A2496">
        <v>202211</v>
      </c>
      <c r="B2496" s="1">
        <v>44866</v>
      </c>
      <c r="C2496">
        <v>2022</v>
      </c>
      <c r="D2496" t="s">
        <v>18</v>
      </c>
      <c r="E2496" t="s">
        <v>7</v>
      </c>
      <c r="F2496" t="s">
        <v>7</v>
      </c>
      <c r="G2496" t="s">
        <v>8</v>
      </c>
      <c r="H2496">
        <v>1591.18</v>
      </c>
    </row>
    <row r="2497" spans="1:8" x14ac:dyDescent="0.3">
      <c r="A2497">
        <v>202212</v>
      </c>
      <c r="B2497" s="1">
        <v>44896</v>
      </c>
      <c r="C2497">
        <v>2022</v>
      </c>
      <c r="D2497" t="s">
        <v>19</v>
      </c>
      <c r="E2497" t="s">
        <v>7</v>
      </c>
      <c r="F2497" t="s">
        <v>7</v>
      </c>
      <c r="G2497" t="s">
        <v>8</v>
      </c>
      <c r="H2497">
        <v>1199.5999999999999</v>
      </c>
    </row>
    <row r="2498" spans="1:8" x14ac:dyDescent="0.3">
      <c r="A2498">
        <v>202201</v>
      </c>
      <c r="B2498" s="1">
        <v>44562</v>
      </c>
      <c r="C2498">
        <v>2022</v>
      </c>
      <c r="D2498" t="s">
        <v>6</v>
      </c>
      <c r="E2498" t="s">
        <v>7</v>
      </c>
      <c r="F2498" t="s">
        <v>7</v>
      </c>
      <c r="G2498" t="s">
        <v>8</v>
      </c>
      <c r="H2498">
        <v>2102.9499999999998</v>
      </c>
    </row>
    <row r="2499" spans="1:8" x14ac:dyDescent="0.3">
      <c r="A2499">
        <v>202202</v>
      </c>
      <c r="B2499" s="1">
        <v>44593</v>
      </c>
      <c r="C2499">
        <v>2022</v>
      </c>
      <c r="D2499" t="s">
        <v>9</v>
      </c>
      <c r="E2499" t="s">
        <v>7</v>
      </c>
      <c r="F2499" t="s">
        <v>7</v>
      </c>
      <c r="G2499" t="s">
        <v>8</v>
      </c>
      <c r="H2499">
        <v>1048.8800000000001</v>
      </c>
    </row>
    <row r="2500" spans="1:8" x14ac:dyDescent="0.3">
      <c r="A2500">
        <v>202203</v>
      </c>
      <c r="B2500" s="1">
        <v>44621</v>
      </c>
      <c r="C2500">
        <v>2022</v>
      </c>
      <c r="D2500" t="s">
        <v>10</v>
      </c>
      <c r="E2500" t="s">
        <v>7</v>
      </c>
      <c r="F2500" t="s">
        <v>7</v>
      </c>
      <c r="G2500" t="s">
        <v>8</v>
      </c>
      <c r="H2500">
        <v>1163.1600000000001</v>
      </c>
    </row>
    <row r="2501" spans="1:8" x14ac:dyDescent="0.3">
      <c r="A2501">
        <v>202204</v>
      </c>
      <c r="B2501" s="1">
        <v>44652</v>
      </c>
      <c r="C2501">
        <v>2022</v>
      </c>
      <c r="D2501" t="s">
        <v>11</v>
      </c>
      <c r="E2501" t="s">
        <v>7</v>
      </c>
      <c r="F2501" t="s">
        <v>7</v>
      </c>
      <c r="G2501" t="s">
        <v>8</v>
      </c>
      <c r="H2501">
        <v>1824.1</v>
      </c>
    </row>
    <row r="2502" spans="1:8" x14ac:dyDescent="0.3">
      <c r="A2502">
        <v>202205</v>
      </c>
      <c r="B2502" s="1">
        <v>44682</v>
      </c>
      <c r="C2502">
        <v>2022</v>
      </c>
      <c r="D2502" t="s">
        <v>12</v>
      </c>
      <c r="E2502" t="s">
        <v>7</v>
      </c>
      <c r="F2502" t="s">
        <v>7</v>
      </c>
      <c r="G2502" t="s">
        <v>8</v>
      </c>
      <c r="H2502">
        <v>1433.16</v>
      </c>
    </row>
    <row r="2503" spans="1:8" x14ac:dyDescent="0.3">
      <c r="A2503">
        <v>202206</v>
      </c>
      <c r="B2503" s="1">
        <v>44713</v>
      </c>
      <c r="C2503">
        <v>2022</v>
      </c>
      <c r="D2503" t="s">
        <v>13</v>
      </c>
      <c r="E2503" t="s">
        <v>7</v>
      </c>
      <c r="F2503" t="s">
        <v>7</v>
      </c>
      <c r="G2503" t="s">
        <v>8</v>
      </c>
      <c r="H2503">
        <v>1163.6300000000001</v>
      </c>
    </row>
    <row r="2504" spans="1:8" x14ac:dyDescent="0.3">
      <c r="A2504">
        <v>202207</v>
      </c>
      <c r="B2504" s="1">
        <v>44743</v>
      </c>
      <c r="C2504">
        <v>2022</v>
      </c>
      <c r="D2504" t="s">
        <v>14</v>
      </c>
      <c r="E2504" t="s">
        <v>7</v>
      </c>
      <c r="F2504" t="s">
        <v>7</v>
      </c>
      <c r="G2504" t="s">
        <v>8</v>
      </c>
      <c r="H2504">
        <v>1564.5</v>
      </c>
    </row>
    <row r="2505" spans="1:8" x14ac:dyDescent="0.3">
      <c r="A2505">
        <v>202208</v>
      </c>
      <c r="B2505" s="1">
        <v>44774</v>
      </c>
      <c r="C2505">
        <v>2022</v>
      </c>
      <c r="D2505" t="s">
        <v>15</v>
      </c>
      <c r="E2505" t="s">
        <v>7</v>
      </c>
      <c r="F2505" t="s">
        <v>7</v>
      </c>
      <c r="G2505" t="s">
        <v>8</v>
      </c>
      <c r="H2505">
        <v>1629.5</v>
      </c>
    </row>
    <row r="2506" spans="1:8" x14ac:dyDescent="0.3">
      <c r="A2506">
        <v>202209</v>
      </c>
      <c r="B2506" s="1">
        <v>44805</v>
      </c>
      <c r="C2506">
        <v>2022</v>
      </c>
      <c r="D2506" t="s">
        <v>16</v>
      </c>
      <c r="E2506" t="s">
        <v>7</v>
      </c>
      <c r="F2506" t="s">
        <v>7</v>
      </c>
      <c r="G2506" t="s">
        <v>8</v>
      </c>
      <c r="H2506">
        <v>1264.6600000000001</v>
      </c>
    </row>
    <row r="2507" spans="1:8" x14ac:dyDescent="0.3">
      <c r="A2507">
        <v>202210</v>
      </c>
      <c r="B2507" s="1">
        <v>44835</v>
      </c>
      <c r="C2507">
        <v>2022</v>
      </c>
      <c r="D2507" t="s">
        <v>17</v>
      </c>
      <c r="E2507" t="s">
        <v>7</v>
      </c>
      <c r="F2507" t="s">
        <v>7</v>
      </c>
      <c r="G2507" t="s">
        <v>8</v>
      </c>
      <c r="H2507">
        <v>1538.32</v>
      </c>
    </row>
    <row r="2508" spans="1:8" x14ac:dyDescent="0.3">
      <c r="A2508">
        <v>202211</v>
      </c>
      <c r="B2508" s="1">
        <v>44866</v>
      </c>
      <c r="C2508">
        <v>2022</v>
      </c>
      <c r="D2508" t="s">
        <v>18</v>
      </c>
      <c r="E2508" t="s">
        <v>7</v>
      </c>
      <c r="F2508" t="s">
        <v>7</v>
      </c>
      <c r="G2508" t="s">
        <v>8</v>
      </c>
      <c r="H2508">
        <v>1726.92</v>
      </c>
    </row>
    <row r="2509" spans="1:8" x14ac:dyDescent="0.3">
      <c r="A2509">
        <v>202212</v>
      </c>
      <c r="B2509" s="1">
        <v>44896</v>
      </c>
      <c r="C2509">
        <v>2022</v>
      </c>
      <c r="D2509" t="s">
        <v>19</v>
      </c>
      <c r="E2509" t="s">
        <v>7</v>
      </c>
      <c r="F2509" t="s">
        <v>7</v>
      </c>
      <c r="G2509" t="s">
        <v>8</v>
      </c>
      <c r="H2509">
        <v>1582.47</v>
      </c>
    </row>
    <row r="2510" spans="1:8" x14ac:dyDescent="0.3">
      <c r="A2510">
        <v>202201</v>
      </c>
      <c r="B2510" s="1">
        <v>44562</v>
      </c>
      <c r="C2510">
        <v>2022</v>
      </c>
      <c r="D2510" t="s">
        <v>6</v>
      </c>
      <c r="E2510" t="s">
        <v>7</v>
      </c>
      <c r="F2510" t="s">
        <v>7</v>
      </c>
      <c r="G2510" t="s">
        <v>8</v>
      </c>
      <c r="H2510">
        <v>2717.7</v>
      </c>
    </row>
    <row r="2511" spans="1:8" x14ac:dyDescent="0.3">
      <c r="A2511">
        <v>202202</v>
      </c>
      <c r="B2511" s="1">
        <v>44593</v>
      </c>
      <c r="C2511">
        <v>2022</v>
      </c>
      <c r="D2511" t="s">
        <v>9</v>
      </c>
      <c r="E2511" t="s">
        <v>7</v>
      </c>
      <c r="F2511" t="s">
        <v>7</v>
      </c>
      <c r="G2511" t="s">
        <v>8</v>
      </c>
      <c r="H2511">
        <v>1207.1199999999999</v>
      </c>
    </row>
    <row r="2512" spans="1:8" x14ac:dyDescent="0.3">
      <c r="A2512">
        <v>202203</v>
      </c>
      <c r="B2512" s="1">
        <v>44621</v>
      </c>
      <c r="C2512">
        <v>2022</v>
      </c>
      <c r="D2512" t="s">
        <v>10</v>
      </c>
      <c r="E2512" t="s">
        <v>7</v>
      </c>
      <c r="F2512" t="s">
        <v>7</v>
      </c>
      <c r="G2512" t="s">
        <v>8</v>
      </c>
      <c r="H2512">
        <v>2078.14</v>
      </c>
    </row>
    <row r="2513" spans="1:8" x14ac:dyDescent="0.3">
      <c r="A2513">
        <v>202204</v>
      </c>
      <c r="B2513" s="1">
        <v>44652</v>
      </c>
      <c r="C2513">
        <v>2022</v>
      </c>
      <c r="D2513" t="s">
        <v>11</v>
      </c>
      <c r="E2513" t="s">
        <v>7</v>
      </c>
      <c r="F2513" t="s">
        <v>7</v>
      </c>
      <c r="G2513" t="s">
        <v>8</v>
      </c>
      <c r="H2513">
        <v>2427.0100000000002</v>
      </c>
    </row>
    <row r="2514" spans="1:8" x14ac:dyDescent="0.3">
      <c r="A2514">
        <v>202205</v>
      </c>
      <c r="B2514" s="1">
        <v>44682</v>
      </c>
      <c r="C2514">
        <v>2022</v>
      </c>
      <c r="D2514" t="s">
        <v>12</v>
      </c>
      <c r="E2514" t="s">
        <v>7</v>
      </c>
      <c r="F2514" t="s">
        <v>7</v>
      </c>
      <c r="G2514" t="s">
        <v>8</v>
      </c>
      <c r="H2514">
        <v>2024.99</v>
      </c>
    </row>
    <row r="2515" spans="1:8" x14ac:dyDescent="0.3">
      <c r="A2515">
        <v>202206</v>
      </c>
      <c r="B2515" s="1">
        <v>44713</v>
      </c>
      <c r="C2515">
        <v>2022</v>
      </c>
      <c r="D2515" t="s">
        <v>13</v>
      </c>
      <c r="E2515" t="s">
        <v>7</v>
      </c>
      <c r="F2515" t="s">
        <v>7</v>
      </c>
      <c r="G2515" t="s">
        <v>8</v>
      </c>
      <c r="H2515">
        <v>1691.92</v>
      </c>
    </row>
    <row r="2516" spans="1:8" x14ac:dyDescent="0.3">
      <c r="A2516">
        <v>202207</v>
      </c>
      <c r="B2516" s="1">
        <v>44743</v>
      </c>
      <c r="C2516">
        <v>2022</v>
      </c>
      <c r="D2516" t="s">
        <v>14</v>
      </c>
      <c r="E2516" t="s">
        <v>7</v>
      </c>
      <c r="F2516" t="s">
        <v>7</v>
      </c>
      <c r="G2516" t="s">
        <v>8</v>
      </c>
      <c r="H2516">
        <v>2621.83</v>
      </c>
    </row>
    <row r="2517" spans="1:8" x14ac:dyDescent="0.3">
      <c r="A2517">
        <v>202208</v>
      </c>
      <c r="B2517" s="1">
        <v>44774</v>
      </c>
      <c r="C2517">
        <v>2022</v>
      </c>
      <c r="D2517" t="s">
        <v>15</v>
      </c>
      <c r="E2517" t="s">
        <v>7</v>
      </c>
      <c r="F2517" t="s">
        <v>7</v>
      </c>
      <c r="G2517" t="s">
        <v>8</v>
      </c>
      <c r="H2517">
        <v>2460.0300000000002</v>
      </c>
    </row>
    <row r="2518" spans="1:8" x14ac:dyDescent="0.3">
      <c r="A2518">
        <v>202209</v>
      </c>
      <c r="B2518" s="1">
        <v>44805</v>
      </c>
      <c r="C2518">
        <v>2022</v>
      </c>
      <c r="D2518" t="s">
        <v>16</v>
      </c>
      <c r="E2518" t="s">
        <v>7</v>
      </c>
      <c r="F2518" t="s">
        <v>7</v>
      </c>
      <c r="G2518" t="s">
        <v>8</v>
      </c>
      <c r="H2518">
        <v>1575.21</v>
      </c>
    </row>
    <row r="2519" spans="1:8" x14ac:dyDescent="0.3">
      <c r="A2519">
        <v>202210</v>
      </c>
      <c r="B2519" s="1">
        <v>44835</v>
      </c>
      <c r="C2519">
        <v>2022</v>
      </c>
      <c r="D2519" t="s">
        <v>17</v>
      </c>
      <c r="E2519" t="s">
        <v>7</v>
      </c>
      <c r="F2519" t="s">
        <v>7</v>
      </c>
      <c r="G2519" t="s">
        <v>8</v>
      </c>
      <c r="H2519">
        <v>1755.35</v>
      </c>
    </row>
    <row r="2520" spans="1:8" x14ac:dyDescent="0.3">
      <c r="A2520">
        <v>202211</v>
      </c>
      <c r="B2520" s="1">
        <v>44866</v>
      </c>
      <c r="C2520">
        <v>2022</v>
      </c>
      <c r="D2520" t="s">
        <v>18</v>
      </c>
      <c r="E2520" t="s">
        <v>7</v>
      </c>
      <c r="F2520" t="s">
        <v>7</v>
      </c>
      <c r="G2520" t="s">
        <v>8</v>
      </c>
      <c r="H2520">
        <v>2345.11</v>
      </c>
    </row>
    <row r="2521" spans="1:8" x14ac:dyDescent="0.3">
      <c r="A2521">
        <v>202212</v>
      </c>
      <c r="B2521" s="1">
        <v>44896</v>
      </c>
      <c r="C2521">
        <v>2022</v>
      </c>
      <c r="D2521" t="s">
        <v>19</v>
      </c>
      <c r="E2521" t="s">
        <v>7</v>
      </c>
      <c r="F2521" t="s">
        <v>7</v>
      </c>
      <c r="G2521" t="s">
        <v>8</v>
      </c>
      <c r="H2521">
        <v>1778.8</v>
      </c>
    </row>
    <row r="2522" spans="1:8" x14ac:dyDescent="0.3">
      <c r="A2522">
        <v>202201</v>
      </c>
      <c r="B2522" s="1">
        <v>44562</v>
      </c>
      <c r="C2522">
        <v>2022</v>
      </c>
      <c r="D2522" t="s">
        <v>6</v>
      </c>
      <c r="E2522" t="s">
        <v>7</v>
      </c>
      <c r="F2522" t="s">
        <v>7</v>
      </c>
      <c r="G2522" t="s">
        <v>8</v>
      </c>
      <c r="H2522">
        <v>4382.25</v>
      </c>
    </row>
    <row r="2523" spans="1:8" x14ac:dyDescent="0.3">
      <c r="A2523">
        <v>202202</v>
      </c>
      <c r="B2523" s="1">
        <v>44593</v>
      </c>
      <c r="C2523">
        <v>2022</v>
      </c>
      <c r="D2523" t="s">
        <v>9</v>
      </c>
      <c r="E2523" t="s">
        <v>7</v>
      </c>
      <c r="F2523" t="s">
        <v>7</v>
      </c>
      <c r="G2523" t="s">
        <v>8</v>
      </c>
      <c r="H2523">
        <v>2919.8</v>
      </c>
    </row>
    <row r="2524" spans="1:8" x14ac:dyDescent="0.3">
      <c r="A2524">
        <v>202203</v>
      </c>
      <c r="B2524" s="1">
        <v>44621</v>
      </c>
      <c r="C2524">
        <v>2022</v>
      </c>
      <c r="D2524" t="s">
        <v>10</v>
      </c>
      <c r="E2524" t="s">
        <v>7</v>
      </c>
      <c r="F2524" t="s">
        <v>7</v>
      </c>
      <c r="G2524" t="s">
        <v>8</v>
      </c>
      <c r="H2524">
        <v>3307.82</v>
      </c>
    </row>
    <row r="2525" spans="1:8" x14ac:dyDescent="0.3">
      <c r="A2525">
        <v>202204</v>
      </c>
      <c r="B2525" s="1">
        <v>44652</v>
      </c>
      <c r="C2525">
        <v>2022</v>
      </c>
      <c r="D2525" t="s">
        <v>11</v>
      </c>
      <c r="E2525" t="s">
        <v>7</v>
      </c>
      <c r="F2525" t="s">
        <v>7</v>
      </c>
      <c r="G2525" t="s">
        <v>8</v>
      </c>
      <c r="H2525">
        <v>5233.3</v>
      </c>
    </row>
    <row r="2526" spans="1:8" x14ac:dyDescent="0.3">
      <c r="A2526">
        <v>202205</v>
      </c>
      <c r="B2526" s="1">
        <v>44682</v>
      </c>
      <c r="C2526">
        <v>2022</v>
      </c>
      <c r="D2526" t="s">
        <v>12</v>
      </c>
      <c r="E2526" t="s">
        <v>7</v>
      </c>
      <c r="F2526" t="s">
        <v>7</v>
      </c>
      <c r="G2526" t="s">
        <v>8</v>
      </c>
      <c r="H2526">
        <v>4798.08</v>
      </c>
    </row>
    <row r="2527" spans="1:8" x14ac:dyDescent="0.3">
      <c r="A2527">
        <v>202206</v>
      </c>
      <c r="B2527" s="1">
        <v>44713</v>
      </c>
      <c r="C2527">
        <v>2022</v>
      </c>
      <c r="D2527" t="s">
        <v>13</v>
      </c>
      <c r="E2527" t="s">
        <v>7</v>
      </c>
      <c r="F2527" t="s">
        <v>7</v>
      </c>
      <c r="G2527" t="s">
        <v>8</v>
      </c>
      <c r="H2527">
        <v>3711.85</v>
      </c>
    </row>
    <row r="2528" spans="1:8" x14ac:dyDescent="0.3">
      <c r="A2528">
        <v>202207</v>
      </c>
      <c r="B2528" s="1">
        <v>44743</v>
      </c>
      <c r="C2528">
        <v>2022</v>
      </c>
      <c r="D2528" t="s">
        <v>14</v>
      </c>
      <c r="E2528" t="s">
        <v>7</v>
      </c>
      <c r="F2528" t="s">
        <v>7</v>
      </c>
      <c r="G2528" t="s">
        <v>8</v>
      </c>
      <c r="H2528">
        <v>3863.47</v>
      </c>
    </row>
    <row r="2529" spans="1:8" x14ac:dyDescent="0.3">
      <c r="A2529">
        <v>202208</v>
      </c>
      <c r="B2529" s="1">
        <v>44774</v>
      </c>
      <c r="C2529">
        <v>2022</v>
      </c>
      <c r="D2529" t="s">
        <v>15</v>
      </c>
      <c r="E2529" t="s">
        <v>7</v>
      </c>
      <c r="F2529" t="s">
        <v>7</v>
      </c>
      <c r="G2529" t="s">
        <v>8</v>
      </c>
      <c r="H2529">
        <v>4664.99</v>
      </c>
    </row>
    <row r="2530" spans="1:8" x14ac:dyDescent="0.3">
      <c r="A2530">
        <v>202209</v>
      </c>
      <c r="B2530" s="1">
        <v>44805</v>
      </c>
      <c r="C2530">
        <v>2022</v>
      </c>
      <c r="D2530" t="s">
        <v>16</v>
      </c>
      <c r="E2530" t="s">
        <v>7</v>
      </c>
      <c r="F2530" t="s">
        <v>7</v>
      </c>
      <c r="G2530" t="s">
        <v>8</v>
      </c>
      <c r="H2530">
        <v>2974.91</v>
      </c>
    </row>
    <row r="2531" spans="1:8" x14ac:dyDescent="0.3">
      <c r="A2531">
        <v>202210</v>
      </c>
      <c r="B2531" s="1">
        <v>44835</v>
      </c>
      <c r="C2531">
        <v>2022</v>
      </c>
      <c r="D2531" t="s">
        <v>17</v>
      </c>
      <c r="E2531" t="s">
        <v>7</v>
      </c>
      <c r="F2531" t="s">
        <v>7</v>
      </c>
      <c r="G2531" t="s">
        <v>8</v>
      </c>
      <c r="H2531">
        <v>4130.16</v>
      </c>
    </row>
    <row r="2532" spans="1:8" x14ac:dyDescent="0.3">
      <c r="A2532">
        <v>202211</v>
      </c>
      <c r="B2532" s="1">
        <v>44866</v>
      </c>
      <c r="C2532">
        <v>2022</v>
      </c>
      <c r="D2532" t="s">
        <v>18</v>
      </c>
      <c r="E2532" t="s">
        <v>7</v>
      </c>
      <c r="F2532" t="s">
        <v>7</v>
      </c>
      <c r="G2532" t="s">
        <v>8</v>
      </c>
      <c r="H2532">
        <v>4601.97</v>
      </c>
    </row>
    <row r="2533" spans="1:8" x14ac:dyDescent="0.3">
      <c r="A2533">
        <v>202212</v>
      </c>
      <c r="B2533" s="1">
        <v>44896</v>
      </c>
      <c r="C2533">
        <v>2022</v>
      </c>
      <c r="D2533" t="s">
        <v>19</v>
      </c>
      <c r="E2533" t="s">
        <v>7</v>
      </c>
      <c r="F2533" t="s">
        <v>7</v>
      </c>
      <c r="G2533" t="s">
        <v>8</v>
      </c>
      <c r="H2533">
        <v>3664.96</v>
      </c>
    </row>
    <row r="2534" spans="1:8" x14ac:dyDescent="0.3">
      <c r="A2534">
        <v>202201</v>
      </c>
      <c r="B2534" s="1">
        <v>44562</v>
      </c>
      <c r="C2534">
        <v>2022</v>
      </c>
      <c r="D2534" t="s">
        <v>6</v>
      </c>
      <c r="E2534" t="s">
        <v>7</v>
      </c>
      <c r="F2534" t="s">
        <v>7</v>
      </c>
      <c r="G2534" t="s">
        <v>8</v>
      </c>
      <c r="H2534">
        <v>7459.51</v>
      </c>
    </row>
    <row r="2535" spans="1:8" x14ac:dyDescent="0.3">
      <c r="A2535">
        <v>202202</v>
      </c>
      <c r="B2535" s="1">
        <v>44593</v>
      </c>
      <c r="C2535">
        <v>2022</v>
      </c>
      <c r="D2535" t="s">
        <v>9</v>
      </c>
      <c r="E2535" t="s">
        <v>7</v>
      </c>
      <c r="F2535" t="s">
        <v>7</v>
      </c>
      <c r="G2535" t="s">
        <v>8</v>
      </c>
      <c r="H2535">
        <v>6044.39</v>
      </c>
    </row>
    <row r="2536" spans="1:8" x14ac:dyDescent="0.3">
      <c r="A2536">
        <v>202203</v>
      </c>
      <c r="B2536" s="1">
        <v>44621</v>
      </c>
      <c r="C2536">
        <v>2022</v>
      </c>
      <c r="D2536" t="s">
        <v>10</v>
      </c>
      <c r="E2536" t="s">
        <v>7</v>
      </c>
      <c r="F2536" t="s">
        <v>7</v>
      </c>
      <c r="G2536" t="s">
        <v>8</v>
      </c>
      <c r="H2536">
        <v>6352.57</v>
      </c>
    </row>
    <row r="2537" spans="1:8" x14ac:dyDescent="0.3">
      <c r="A2537">
        <v>202204</v>
      </c>
      <c r="B2537" s="1">
        <v>44652</v>
      </c>
      <c r="C2537">
        <v>2022</v>
      </c>
      <c r="D2537" t="s">
        <v>11</v>
      </c>
      <c r="E2537" t="s">
        <v>7</v>
      </c>
      <c r="F2537" t="s">
        <v>7</v>
      </c>
      <c r="G2537" t="s">
        <v>8</v>
      </c>
      <c r="H2537">
        <v>10213.31</v>
      </c>
    </row>
    <row r="2538" spans="1:8" x14ac:dyDescent="0.3">
      <c r="A2538">
        <v>202205</v>
      </c>
      <c r="B2538" s="1">
        <v>44682</v>
      </c>
      <c r="C2538">
        <v>2022</v>
      </c>
      <c r="D2538" t="s">
        <v>12</v>
      </c>
      <c r="E2538" t="s">
        <v>7</v>
      </c>
      <c r="F2538" t="s">
        <v>7</v>
      </c>
      <c r="G2538" t="s">
        <v>8</v>
      </c>
      <c r="H2538">
        <v>7869.82</v>
      </c>
    </row>
    <row r="2539" spans="1:8" x14ac:dyDescent="0.3">
      <c r="A2539">
        <v>202206</v>
      </c>
      <c r="B2539" s="1">
        <v>44713</v>
      </c>
      <c r="C2539">
        <v>2022</v>
      </c>
      <c r="D2539" t="s">
        <v>13</v>
      </c>
      <c r="E2539" t="s">
        <v>7</v>
      </c>
      <c r="F2539" t="s">
        <v>7</v>
      </c>
      <c r="G2539" t="s">
        <v>8</v>
      </c>
      <c r="H2539">
        <v>6888.73</v>
      </c>
    </row>
    <row r="2540" spans="1:8" x14ac:dyDescent="0.3">
      <c r="A2540">
        <v>202207</v>
      </c>
      <c r="B2540" s="1">
        <v>44743</v>
      </c>
      <c r="C2540">
        <v>2022</v>
      </c>
      <c r="D2540" t="s">
        <v>14</v>
      </c>
      <c r="E2540" t="s">
        <v>7</v>
      </c>
      <c r="F2540" t="s">
        <v>7</v>
      </c>
      <c r="G2540" t="s">
        <v>8</v>
      </c>
      <c r="H2540">
        <v>6458.15</v>
      </c>
    </row>
    <row r="2541" spans="1:8" x14ac:dyDescent="0.3">
      <c r="A2541">
        <v>202208</v>
      </c>
      <c r="B2541" s="1">
        <v>44774</v>
      </c>
      <c r="C2541">
        <v>2022</v>
      </c>
      <c r="D2541" t="s">
        <v>15</v>
      </c>
      <c r="E2541" t="s">
        <v>7</v>
      </c>
      <c r="F2541" t="s">
        <v>7</v>
      </c>
      <c r="G2541" t="s">
        <v>8</v>
      </c>
      <c r="H2541">
        <v>8054.3</v>
      </c>
    </row>
    <row r="2542" spans="1:8" x14ac:dyDescent="0.3">
      <c r="A2542">
        <v>202209</v>
      </c>
      <c r="B2542" s="1">
        <v>44805</v>
      </c>
      <c r="C2542">
        <v>2022</v>
      </c>
      <c r="D2542" t="s">
        <v>16</v>
      </c>
      <c r="E2542" t="s">
        <v>7</v>
      </c>
      <c r="F2542" t="s">
        <v>7</v>
      </c>
      <c r="G2542" t="s">
        <v>8</v>
      </c>
      <c r="H2542">
        <v>6346.67</v>
      </c>
    </row>
    <row r="2543" spans="1:8" x14ac:dyDescent="0.3">
      <c r="A2543">
        <v>202210</v>
      </c>
      <c r="B2543" s="1">
        <v>44835</v>
      </c>
      <c r="C2543">
        <v>2022</v>
      </c>
      <c r="D2543" t="s">
        <v>17</v>
      </c>
      <c r="E2543" t="s">
        <v>7</v>
      </c>
      <c r="F2543" t="s">
        <v>7</v>
      </c>
      <c r="G2543" t="s">
        <v>8</v>
      </c>
      <c r="H2543">
        <v>7091.39</v>
      </c>
    </row>
    <row r="2544" spans="1:8" x14ac:dyDescent="0.3">
      <c r="A2544">
        <v>202211</v>
      </c>
      <c r="B2544" s="1">
        <v>44866</v>
      </c>
      <c r="C2544">
        <v>2022</v>
      </c>
      <c r="D2544" t="s">
        <v>18</v>
      </c>
      <c r="E2544" t="s">
        <v>7</v>
      </c>
      <c r="F2544" t="s">
        <v>7</v>
      </c>
      <c r="G2544" t="s">
        <v>8</v>
      </c>
      <c r="H2544">
        <v>8161.33</v>
      </c>
    </row>
    <row r="2545" spans="1:8" x14ac:dyDescent="0.3">
      <c r="A2545">
        <v>202212</v>
      </c>
      <c r="B2545" s="1">
        <v>44896</v>
      </c>
      <c r="C2545">
        <v>2022</v>
      </c>
      <c r="D2545" t="s">
        <v>19</v>
      </c>
      <c r="E2545" t="s">
        <v>7</v>
      </c>
      <c r="F2545" t="s">
        <v>7</v>
      </c>
      <c r="G2545" t="s">
        <v>8</v>
      </c>
      <c r="H2545">
        <v>6714.56</v>
      </c>
    </row>
    <row r="2546" spans="1:8" x14ac:dyDescent="0.3">
      <c r="A2546">
        <v>202201</v>
      </c>
      <c r="B2546" s="1">
        <v>44562</v>
      </c>
      <c r="C2546">
        <v>2022</v>
      </c>
      <c r="D2546" t="s">
        <v>6</v>
      </c>
      <c r="E2546" t="s">
        <v>7</v>
      </c>
      <c r="F2546" t="s">
        <v>7</v>
      </c>
      <c r="G2546" t="s">
        <v>8</v>
      </c>
      <c r="H2546">
        <v>581.76</v>
      </c>
    </row>
    <row r="2547" spans="1:8" x14ac:dyDescent="0.3">
      <c r="A2547">
        <v>202202</v>
      </c>
      <c r="B2547" s="1">
        <v>44593</v>
      </c>
      <c r="C2547">
        <v>2022</v>
      </c>
      <c r="D2547" t="s">
        <v>9</v>
      </c>
      <c r="E2547" t="s">
        <v>7</v>
      </c>
      <c r="F2547" t="s">
        <v>7</v>
      </c>
      <c r="G2547" t="s">
        <v>8</v>
      </c>
      <c r="H2547">
        <v>409.43</v>
      </c>
    </row>
    <row r="2548" spans="1:8" x14ac:dyDescent="0.3">
      <c r="A2548">
        <v>202203</v>
      </c>
      <c r="B2548" s="1">
        <v>44621</v>
      </c>
      <c r="C2548">
        <v>2022</v>
      </c>
      <c r="D2548" t="s">
        <v>10</v>
      </c>
      <c r="E2548" t="s">
        <v>7</v>
      </c>
      <c r="F2548" t="s">
        <v>7</v>
      </c>
      <c r="G2548" t="s">
        <v>8</v>
      </c>
      <c r="H2548">
        <v>471.34</v>
      </c>
    </row>
    <row r="2549" spans="1:8" x14ac:dyDescent="0.3">
      <c r="A2549">
        <v>202204</v>
      </c>
      <c r="B2549" s="1">
        <v>44652</v>
      </c>
      <c r="C2549">
        <v>2022</v>
      </c>
      <c r="D2549" t="s">
        <v>11</v>
      </c>
      <c r="E2549" t="s">
        <v>7</v>
      </c>
      <c r="F2549" t="s">
        <v>7</v>
      </c>
      <c r="G2549" t="s">
        <v>8</v>
      </c>
      <c r="H2549">
        <v>715.52</v>
      </c>
    </row>
    <row r="2550" spans="1:8" x14ac:dyDescent="0.3">
      <c r="A2550">
        <v>202205</v>
      </c>
      <c r="B2550" s="1">
        <v>44682</v>
      </c>
      <c r="C2550">
        <v>2022</v>
      </c>
      <c r="D2550" t="s">
        <v>12</v>
      </c>
      <c r="E2550" t="s">
        <v>7</v>
      </c>
      <c r="F2550" t="s">
        <v>7</v>
      </c>
      <c r="G2550" t="s">
        <v>8</v>
      </c>
      <c r="H2550">
        <v>622.35</v>
      </c>
    </row>
    <row r="2551" spans="1:8" x14ac:dyDescent="0.3">
      <c r="A2551">
        <v>202206</v>
      </c>
      <c r="B2551" s="1">
        <v>44713</v>
      </c>
      <c r="C2551">
        <v>2022</v>
      </c>
      <c r="D2551" t="s">
        <v>13</v>
      </c>
      <c r="E2551" t="s">
        <v>7</v>
      </c>
      <c r="F2551" t="s">
        <v>7</v>
      </c>
      <c r="G2551" t="s">
        <v>8</v>
      </c>
      <c r="H2551">
        <v>553.92999999999995</v>
      </c>
    </row>
    <row r="2552" spans="1:8" x14ac:dyDescent="0.3">
      <c r="A2552">
        <v>202207</v>
      </c>
      <c r="B2552" s="1">
        <v>44743</v>
      </c>
      <c r="C2552">
        <v>2022</v>
      </c>
      <c r="D2552" t="s">
        <v>14</v>
      </c>
      <c r="E2552" t="s">
        <v>7</v>
      </c>
      <c r="F2552" t="s">
        <v>7</v>
      </c>
      <c r="G2552" t="s">
        <v>8</v>
      </c>
      <c r="H2552">
        <v>473.57</v>
      </c>
    </row>
    <row r="2553" spans="1:8" x14ac:dyDescent="0.3">
      <c r="A2553">
        <v>202208</v>
      </c>
      <c r="B2553" s="1">
        <v>44774</v>
      </c>
      <c r="C2553">
        <v>2022</v>
      </c>
      <c r="D2553" t="s">
        <v>15</v>
      </c>
      <c r="E2553" t="s">
        <v>7</v>
      </c>
      <c r="F2553" t="s">
        <v>7</v>
      </c>
      <c r="G2553" t="s">
        <v>8</v>
      </c>
      <c r="H2553">
        <v>548.83000000000004</v>
      </c>
    </row>
    <row r="2554" spans="1:8" x14ac:dyDescent="0.3">
      <c r="A2554">
        <v>202209</v>
      </c>
      <c r="B2554" s="1">
        <v>44805</v>
      </c>
      <c r="C2554">
        <v>2022</v>
      </c>
      <c r="D2554" t="s">
        <v>16</v>
      </c>
      <c r="E2554" t="s">
        <v>7</v>
      </c>
      <c r="F2554" t="s">
        <v>7</v>
      </c>
      <c r="G2554" t="s">
        <v>8</v>
      </c>
      <c r="H2554">
        <v>491.14</v>
      </c>
    </row>
    <row r="2555" spans="1:8" x14ac:dyDescent="0.3">
      <c r="A2555">
        <v>202210</v>
      </c>
      <c r="B2555" s="1">
        <v>44835</v>
      </c>
      <c r="C2555">
        <v>2022</v>
      </c>
      <c r="D2555" t="s">
        <v>17</v>
      </c>
      <c r="E2555" t="s">
        <v>7</v>
      </c>
      <c r="F2555" t="s">
        <v>7</v>
      </c>
      <c r="G2555" t="s">
        <v>8</v>
      </c>
      <c r="H2555">
        <v>472.4</v>
      </c>
    </row>
    <row r="2556" spans="1:8" x14ac:dyDescent="0.3">
      <c r="A2556">
        <v>202211</v>
      </c>
      <c r="B2556" s="1">
        <v>44866</v>
      </c>
      <c r="C2556">
        <v>2022</v>
      </c>
      <c r="D2556" t="s">
        <v>18</v>
      </c>
      <c r="E2556" t="s">
        <v>7</v>
      </c>
      <c r="F2556" t="s">
        <v>7</v>
      </c>
      <c r="G2556" t="s">
        <v>8</v>
      </c>
      <c r="H2556">
        <v>668.82</v>
      </c>
    </row>
    <row r="2557" spans="1:8" x14ac:dyDescent="0.3">
      <c r="A2557">
        <v>202212</v>
      </c>
      <c r="B2557" s="1">
        <v>44896</v>
      </c>
      <c r="C2557">
        <v>2022</v>
      </c>
      <c r="D2557" t="s">
        <v>19</v>
      </c>
      <c r="E2557" t="s">
        <v>7</v>
      </c>
      <c r="F2557" t="s">
        <v>7</v>
      </c>
      <c r="G2557" t="s">
        <v>8</v>
      </c>
      <c r="H2557">
        <v>574.38</v>
      </c>
    </row>
    <row r="2558" spans="1:8" x14ac:dyDescent="0.3">
      <c r="A2558">
        <v>202201</v>
      </c>
      <c r="B2558" s="1">
        <v>44562</v>
      </c>
      <c r="C2558">
        <v>2022</v>
      </c>
      <c r="D2558" t="s">
        <v>6</v>
      </c>
      <c r="E2558" t="s">
        <v>7</v>
      </c>
      <c r="F2558" t="s">
        <v>7</v>
      </c>
      <c r="G2558" t="s">
        <v>8</v>
      </c>
      <c r="H2558">
        <v>7271.85</v>
      </c>
    </row>
    <row r="2559" spans="1:8" x14ac:dyDescent="0.3">
      <c r="A2559">
        <v>202202</v>
      </c>
      <c r="B2559" s="1">
        <v>44593</v>
      </c>
      <c r="C2559">
        <v>2022</v>
      </c>
      <c r="D2559" t="s">
        <v>9</v>
      </c>
      <c r="E2559" t="s">
        <v>7</v>
      </c>
      <c r="F2559" t="s">
        <v>7</v>
      </c>
      <c r="G2559" t="s">
        <v>8</v>
      </c>
      <c r="H2559">
        <v>5666.24</v>
      </c>
    </row>
    <row r="2560" spans="1:8" x14ac:dyDescent="0.3">
      <c r="A2560">
        <v>202203</v>
      </c>
      <c r="B2560" s="1">
        <v>44621</v>
      </c>
      <c r="C2560">
        <v>2022</v>
      </c>
      <c r="D2560" t="s">
        <v>10</v>
      </c>
      <c r="E2560" t="s">
        <v>7</v>
      </c>
      <c r="F2560" t="s">
        <v>7</v>
      </c>
      <c r="G2560" t="s">
        <v>8</v>
      </c>
      <c r="H2560">
        <v>5059.8900000000003</v>
      </c>
    </row>
    <row r="2561" spans="1:8" x14ac:dyDescent="0.3">
      <c r="A2561">
        <v>202204</v>
      </c>
      <c r="B2561" s="1">
        <v>44652</v>
      </c>
      <c r="C2561">
        <v>2022</v>
      </c>
      <c r="D2561" t="s">
        <v>11</v>
      </c>
      <c r="E2561" t="s">
        <v>7</v>
      </c>
      <c r="F2561" t="s">
        <v>7</v>
      </c>
      <c r="G2561" t="s">
        <v>8</v>
      </c>
      <c r="H2561">
        <v>8457.35</v>
      </c>
    </row>
    <row r="2562" spans="1:8" x14ac:dyDescent="0.3">
      <c r="A2562">
        <v>202205</v>
      </c>
      <c r="B2562" s="1">
        <v>44682</v>
      </c>
      <c r="C2562">
        <v>2022</v>
      </c>
      <c r="D2562" t="s">
        <v>12</v>
      </c>
      <c r="E2562" t="s">
        <v>7</v>
      </c>
      <c r="F2562" t="s">
        <v>7</v>
      </c>
      <c r="G2562" t="s">
        <v>8</v>
      </c>
      <c r="H2562">
        <v>7182.3</v>
      </c>
    </row>
    <row r="2563" spans="1:8" x14ac:dyDescent="0.3">
      <c r="A2563">
        <v>202206</v>
      </c>
      <c r="B2563" s="1">
        <v>44713</v>
      </c>
      <c r="C2563">
        <v>2022</v>
      </c>
      <c r="D2563" t="s">
        <v>13</v>
      </c>
      <c r="E2563" t="s">
        <v>7</v>
      </c>
      <c r="F2563" t="s">
        <v>7</v>
      </c>
      <c r="G2563" t="s">
        <v>8</v>
      </c>
      <c r="H2563">
        <v>5271.78</v>
      </c>
    </row>
    <row r="2564" spans="1:8" x14ac:dyDescent="0.3">
      <c r="A2564">
        <v>202207</v>
      </c>
      <c r="B2564" s="1">
        <v>44743</v>
      </c>
      <c r="C2564">
        <v>2022</v>
      </c>
      <c r="D2564" t="s">
        <v>14</v>
      </c>
      <c r="E2564" t="s">
        <v>7</v>
      </c>
      <c r="F2564" t="s">
        <v>7</v>
      </c>
      <c r="G2564" t="s">
        <v>8</v>
      </c>
      <c r="H2564">
        <v>6396.14</v>
      </c>
    </row>
    <row r="2565" spans="1:8" x14ac:dyDescent="0.3">
      <c r="A2565">
        <v>202208</v>
      </c>
      <c r="B2565" s="1">
        <v>44774</v>
      </c>
      <c r="C2565">
        <v>2022</v>
      </c>
      <c r="D2565" t="s">
        <v>15</v>
      </c>
      <c r="E2565" t="s">
        <v>7</v>
      </c>
      <c r="F2565" t="s">
        <v>7</v>
      </c>
      <c r="G2565" t="s">
        <v>8</v>
      </c>
      <c r="H2565">
        <v>7716.36</v>
      </c>
    </row>
    <row r="2566" spans="1:8" x14ac:dyDescent="0.3">
      <c r="A2566">
        <v>202209</v>
      </c>
      <c r="B2566" s="1">
        <v>44805</v>
      </c>
      <c r="C2566">
        <v>2022</v>
      </c>
      <c r="D2566" t="s">
        <v>16</v>
      </c>
      <c r="E2566" t="s">
        <v>7</v>
      </c>
      <c r="F2566" t="s">
        <v>7</v>
      </c>
      <c r="G2566" t="s">
        <v>8</v>
      </c>
      <c r="H2566">
        <v>6321.04</v>
      </c>
    </row>
    <row r="2567" spans="1:8" x14ac:dyDescent="0.3">
      <c r="A2567">
        <v>202210</v>
      </c>
      <c r="B2567" s="1">
        <v>44835</v>
      </c>
      <c r="C2567">
        <v>2022</v>
      </c>
      <c r="D2567" t="s">
        <v>17</v>
      </c>
      <c r="E2567" t="s">
        <v>7</v>
      </c>
      <c r="F2567" t="s">
        <v>7</v>
      </c>
      <c r="G2567" t="s">
        <v>8</v>
      </c>
      <c r="H2567">
        <v>7369.93</v>
      </c>
    </row>
    <row r="2568" spans="1:8" x14ac:dyDescent="0.3">
      <c r="A2568">
        <v>202211</v>
      </c>
      <c r="B2568" s="1">
        <v>44866</v>
      </c>
      <c r="C2568">
        <v>2022</v>
      </c>
      <c r="D2568" t="s">
        <v>18</v>
      </c>
      <c r="E2568" t="s">
        <v>7</v>
      </c>
      <c r="F2568" t="s">
        <v>7</v>
      </c>
      <c r="G2568" t="s">
        <v>8</v>
      </c>
      <c r="H2568">
        <v>9482.08</v>
      </c>
    </row>
    <row r="2569" spans="1:8" x14ac:dyDescent="0.3">
      <c r="A2569">
        <v>202212</v>
      </c>
      <c r="B2569" s="1">
        <v>44896</v>
      </c>
      <c r="C2569">
        <v>2022</v>
      </c>
      <c r="D2569" t="s">
        <v>19</v>
      </c>
      <c r="E2569" t="s">
        <v>7</v>
      </c>
      <c r="F2569" t="s">
        <v>7</v>
      </c>
      <c r="G2569" t="s">
        <v>8</v>
      </c>
      <c r="H2569">
        <v>7207.72</v>
      </c>
    </row>
    <row r="2570" spans="1:8" x14ac:dyDescent="0.3">
      <c r="A2570">
        <v>202201</v>
      </c>
      <c r="B2570" s="1">
        <v>44562</v>
      </c>
      <c r="C2570">
        <v>2022</v>
      </c>
      <c r="D2570" t="s">
        <v>6</v>
      </c>
      <c r="E2570" t="s">
        <v>7</v>
      </c>
      <c r="F2570" t="s">
        <v>7</v>
      </c>
      <c r="G2570" t="s">
        <v>8</v>
      </c>
      <c r="H2570">
        <v>483.35</v>
      </c>
    </row>
    <row r="2571" spans="1:8" x14ac:dyDescent="0.3">
      <c r="A2571">
        <v>202202</v>
      </c>
      <c r="B2571" s="1">
        <v>44593</v>
      </c>
      <c r="C2571">
        <v>2022</v>
      </c>
      <c r="D2571" t="s">
        <v>9</v>
      </c>
      <c r="E2571" t="s">
        <v>7</v>
      </c>
      <c r="F2571" t="s">
        <v>7</v>
      </c>
      <c r="G2571" t="s">
        <v>8</v>
      </c>
      <c r="H2571">
        <v>397.73</v>
      </c>
    </row>
    <row r="2572" spans="1:8" x14ac:dyDescent="0.3">
      <c r="A2572">
        <v>202203</v>
      </c>
      <c r="B2572" s="1">
        <v>44621</v>
      </c>
      <c r="C2572">
        <v>2022</v>
      </c>
      <c r="D2572" t="s">
        <v>10</v>
      </c>
      <c r="E2572" t="s">
        <v>7</v>
      </c>
      <c r="F2572" t="s">
        <v>7</v>
      </c>
      <c r="G2572" t="s">
        <v>8</v>
      </c>
      <c r="H2572">
        <v>504.02</v>
      </c>
    </row>
    <row r="2573" spans="1:8" x14ac:dyDescent="0.3">
      <c r="A2573">
        <v>202204</v>
      </c>
      <c r="B2573" s="1">
        <v>44652</v>
      </c>
      <c r="C2573">
        <v>2022</v>
      </c>
      <c r="D2573" t="s">
        <v>11</v>
      </c>
      <c r="E2573" t="s">
        <v>7</v>
      </c>
      <c r="F2573" t="s">
        <v>7</v>
      </c>
      <c r="G2573" t="s">
        <v>8</v>
      </c>
      <c r="H2573">
        <v>656.08</v>
      </c>
    </row>
    <row r="2574" spans="1:8" x14ac:dyDescent="0.3">
      <c r="A2574">
        <v>202205</v>
      </c>
      <c r="B2574" s="1">
        <v>44682</v>
      </c>
      <c r="C2574">
        <v>2022</v>
      </c>
      <c r="D2574" t="s">
        <v>12</v>
      </c>
      <c r="E2574" t="s">
        <v>7</v>
      </c>
      <c r="F2574" t="s">
        <v>7</v>
      </c>
      <c r="G2574" t="s">
        <v>8</v>
      </c>
      <c r="H2574">
        <v>497.15</v>
      </c>
    </row>
    <row r="2575" spans="1:8" x14ac:dyDescent="0.3">
      <c r="A2575">
        <v>202206</v>
      </c>
      <c r="B2575" s="1">
        <v>44713</v>
      </c>
      <c r="C2575">
        <v>2022</v>
      </c>
      <c r="D2575" t="s">
        <v>13</v>
      </c>
      <c r="E2575" t="s">
        <v>7</v>
      </c>
      <c r="F2575" t="s">
        <v>7</v>
      </c>
      <c r="G2575" t="s">
        <v>8</v>
      </c>
      <c r="H2575">
        <v>426.4</v>
      </c>
    </row>
    <row r="2576" spans="1:8" x14ac:dyDescent="0.3">
      <c r="A2576">
        <v>202207</v>
      </c>
      <c r="B2576" s="1">
        <v>44743</v>
      </c>
      <c r="C2576">
        <v>2022</v>
      </c>
      <c r="D2576" t="s">
        <v>14</v>
      </c>
      <c r="E2576" t="s">
        <v>7</v>
      </c>
      <c r="F2576" t="s">
        <v>7</v>
      </c>
      <c r="G2576" t="s">
        <v>8</v>
      </c>
      <c r="H2576">
        <v>446.38</v>
      </c>
    </row>
    <row r="2577" spans="1:8" x14ac:dyDescent="0.3">
      <c r="A2577">
        <v>202208</v>
      </c>
      <c r="B2577" s="1">
        <v>44774</v>
      </c>
      <c r="C2577">
        <v>2022</v>
      </c>
      <c r="D2577" t="s">
        <v>15</v>
      </c>
      <c r="E2577" t="s">
        <v>7</v>
      </c>
      <c r="F2577" t="s">
        <v>7</v>
      </c>
      <c r="G2577" t="s">
        <v>8</v>
      </c>
      <c r="H2577">
        <v>475.54</v>
      </c>
    </row>
    <row r="2578" spans="1:8" x14ac:dyDescent="0.3">
      <c r="A2578">
        <v>202209</v>
      </c>
      <c r="B2578" s="1">
        <v>44805</v>
      </c>
      <c r="C2578">
        <v>2022</v>
      </c>
      <c r="D2578" t="s">
        <v>16</v>
      </c>
      <c r="E2578" t="s">
        <v>7</v>
      </c>
      <c r="F2578" t="s">
        <v>7</v>
      </c>
      <c r="G2578" t="s">
        <v>8</v>
      </c>
      <c r="H2578">
        <v>377.08</v>
      </c>
    </row>
    <row r="2579" spans="1:8" x14ac:dyDescent="0.3">
      <c r="A2579">
        <v>202210</v>
      </c>
      <c r="B2579" s="1">
        <v>44835</v>
      </c>
      <c r="C2579">
        <v>2022</v>
      </c>
      <c r="D2579" t="s">
        <v>17</v>
      </c>
      <c r="E2579" t="s">
        <v>7</v>
      </c>
      <c r="F2579" t="s">
        <v>7</v>
      </c>
      <c r="G2579" t="s">
        <v>8</v>
      </c>
      <c r="H2579">
        <v>504.84</v>
      </c>
    </row>
    <row r="2580" spans="1:8" x14ac:dyDescent="0.3">
      <c r="A2580">
        <v>202211</v>
      </c>
      <c r="B2580" s="1">
        <v>44866</v>
      </c>
      <c r="C2580">
        <v>2022</v>
      </c>
      <c r="D2580" t="s">
        <v>18</v>
      </c>
      <c r="E2580" t="s">
        <v>7</v>
      </c>
      <c r="F2580" t="s">
        <v>7</v>
      </c>
      <c r="G2580" t="s">
        <v>8</v>
      </c>
      <c r="H2580">
        <v>515.42999999999995</v>
      </c>
    </row>
    <row r="2581" spans="1:8" x14ac:dyDescent="0.3">
      <c r="A2581">
        <v>202212</v>
      </c>
      <c r="B2581" s="1">
        <v>44896</v>
      </c>
      <c r="C2581">
        <v>2022</v>
      </c>
      <c r="D2581" t="s">
        <v>19</v>
      </c>
      <c r="E2581" t="s">
        <v>7</v>
      </c>
      <c r="F2581" t="s">
        <v>7</v>
      </c>
      <c r="G2581" t="s">
        <v>8</v>
      </c>
      <c r="H2581">
        <v>423.73</v>
      </c>
    </row>
    <row r="2582" spans="1:8" x14ac:dyDescent="0.3">
      <c r="A2582">
        <v>202201</v>
      </c>
      <c r="B2582" s="1">
        <v>44562</v>
      </c>
      <c r="C2582">
        <v>2022</v>
      </c>
      <c r="D2582" t="s">
        <v>6</v>
      </c>
      <c r="E2582" t="s">
        <v>7</v>
      </c>
      <c r="F2582" t="s">
        <v>7</v>
      </c>
      <c r="G2582" t="s">
        <v>8</v>
      </c>
      <c r="H2582">
        <v>107803.92</v>
      </c>
    </row>
    <row r="2583" spans="1:8" x14ac:dyDescent="0.3">
      <c r="A2583">
        <v>202202</v>
      </c>
      <c r="B2583" s="1">
        <v>44593</v>
      </c>
      <c r="C2583">
        <v>2022</v>
      </c>
      <c r="D2583" t="s">
        <v>9</v>
      </c>
      <c r="E2583" t="s">
        <v>7</v>
      </c>
      <c r="F2583" t="s">
        <v>7</v>
      </c>
      <c r="G2583" t="s">
        <v>8</v>
      </c>
      <c r="H2583">
        <v>77290.320000000007</v>
      </c>
    </row>
    <row r="2584" spans="1:8" x14ac:dyDescent="0.3">
      <c r="A2584">
        <v>202203</v>
      </c>
      <c r="B2584" s="1">
        <v>44621</v>
      </c>
      <c r="C2584">
        <v>2022</v>
      </c>
      <c r="D2584" t="s">
        <v>10</v>
      </c>
      <c r="E2584" t="s">
        <v>7</v>
      </c>
      <c r="F2584" t="s">
        <v>7</v>
      </c>
      <c r="G2584" t="s">
        <v>8</v>
      </c>
      <c r="H2584">
        <v>100956.15</v>
      </c>
    </row>
    <row r="2585" spans="1:8" x14ac:dyDescent="0.3">
      <c r="A2585">
        <v>202204</v>
      </c>
      <c r="B2585" s="1">
        <v>44652</v>
      </c>
      <c r="C2585">
        <v>2022</v>
      </c>
      <c r="D2585" t="s">
        <v>11</v>
      </c>
      <c r="E2585" t="s">
        <v>7</v>
      </c>
      <c r="F2585" t="s">
        <v>7</v>
      </c>
      <c r="G2585" t="s">
        <v>8</v>
      </c>
      <c r="H2585">
        <v>129561.04</v>
      </c>
    </row>
    <row r="2586" spans="1:8" x14ac:dyDescent="0.3">
      <c r="A2586">
        <v>202205</v>
      </c>
      <c r="B2586" s="1">
        <v>44682</v>
      </c>
      <c r="C2586">
        <v>2022</v>
      </c>
      <c r="D2586" t="s">
        <v>12</v>
      </c>
      <c r="E2586" t="s">
        <v>7</v>
      </c>
      <c r="F2586" t="s">
        <v>7</v>
      </c>
      <c r="G2586" t="s">
        <v>8</v>
      </c>
      <c r="H2586">
        <v>126788.61</v>
      </c>
    </row>
    <row r="2587" spans="1:8" x14ac:dyDescent="0.3">
      <c r="A2587">
        <v>202206</v>
      </c>
      <c r="B2587" s="1">
        <v>44713</v>
      </c>
      <c r="C2587">
        <v>2022</v>
      </c>
      <c r="D2587" t="s">
        <v>13</v>
      </c>
      <c r="E2587" t="s">
        <v>7</v>
      </c>
      <c r="F2587" t="s">
        <v>7</v>
      </c>
      <c r="G2587" t="s">
        <v>8</v>
      </c>
      <c r="H2587">
        <v>98915.42</v>
      </c>
    </row>
    <row r="2588" spans="1:8" x14ac:dyDescent="0.3">
      <c r="A2588">
        <v>202207</v>
      </c>
      <c r="B2588" s="1">
        <v>44743</v>
      </c>
      <c r="C2588">
        <v>2022</v>
      </c>
      <c r="D2588" t="s">
        <v>14</v>
      </c>
      <c r="E2588" t="s">
        <v>7</v>
      </c>
      <c r="F2588" t="s">
        <v>7</v>
      </c>
      <c r="G2588" t="s">
        <v>8</v>
      </c>
      <c r="H2588">
        <v>117242.97</v>
      </c>
    </row>
    <row r="2589" spans="1:8" x14ac:dyDescent="0.3">
      <c r="A2589">
        <v>202208</v>
      </c>
      <c r="B2589" s="1">
        <v>44774</v>
      </c>
      <c r="C2589">
        <v>2022</v>
      </c>
      <c r="D2589" t="s">
        <v>15</v>
      </c>
      <c r="E2589" t="s">
        <v>7</v>
      </c>
      <c r="F2589" t="s">
        <v>7</v>
      </c>
      <c r="G2589" t="s">
        <v>8</v>
      </c>
      <c r="H2589">
        <v>138000.23000000001</v>
      </c>
    </row>
    <row r="2590" spans="1:8" x14ac:dyDescent="0.3">
      <c r="A2590">
        <v>202209</v>
      </c>
      <c r="B2590" s="1">
        <v>44805</v>
      </c>
      <c r="C2590">
        <v>2022</v>
      </c>
      <c r="D2590" t="s">
        <v>16</v>
      </c>
      <c r="E2590" t="s">
        <v>7</v>
      </c>
      <c r="F2590" t="s">
        <v>7</v>
      </c>
      <c r="G2590" t="s">
        <v>8</v>
      </c>
      <c r="H2590">
        <v>99385.3</v>
      </c>
    </row>
    <row r="2591" spans="1:8" x14ac:dyDescent="0.3">
      <c r="A2591">
        <v>202210</v>
      </c>
      <c r="B2591" s="1">
        <v>44835</v>
      </c>
      <c r="C2591">
        <v>2022</v>
      </c>
      <c r="D2591" t="s">
        <v>17</v>
      </c>
      <c r="E2591" t="s">
        <v>7</v>
      </c>
      <c r="F2591" t="s">
        <v>7</v>
      </c>
      <c r="G2591" t="s">
        <v>8</v>
      </c>
      <c r="H2591">
        <v>109129.96</v>
      </c>
    </row>
    <row r="2592" spans="1:8" x14ac:dyDescent="0.3">
      <c r="A2592">
        <v>202211</v>
      </c>
      <c r="B2592" s="1">
        <v>44866</v>
      </c>
      <c r="C2592">
        <v>2022</v>
      </c>
      <c r="D2592" t="s">
        <v>18</v>
      </c>
      <c r="E2592" t="s">
        <v>7</v>
      </c>
      <c r="F2592" t="s">
        <v>7</v>
      </c>
      <c r="G2592" t="s">
        <v>8</v>
      </c>
      <c r="H2592">
        <v>140201.82999999999</v>
      </c>
    </row>
    <row r="2593" spans="1:8" x14ac:dyDescent="0.3">
      <c r="A2593">
        <v>202212</v>
      </c>
      <c r="B2593" s="1">
        <v>44896</v>
      </c>
      <c r="C2593">
        <v>2022</v>
      </c>
      <c r="D2593" t="s">
        <v>19</v>
      </c>
      <c r="E2593" t="s">
        <v>7</v>
      </c>
      <c r="F2593" t="s">
        <v>7</v>
      </c>
      <c r="G2593" t="s">
        <v>8</v>
      </c>
      <c r="H2593">
        <v>103451.23</v>
      </c>
    </row>
    <row r="2594" spans="1:8" x14ac:dyDescent="0.3">
      <c r="A2594">
        <v>202201</v>
      </c>
      <c r="B2594" s="1">
        <v>44562</v>
      </c>
      <c r="C2594">
        <v>2022</v>
      </c>
      <c r="D2594" t="s">
        <v>6</v>
      </c>
      <c r="E2594" t="s">
        <v>20</v>
      </c>
      <c r="F2594" t="s">
        <v>40</v>
      </c>
      <c r="G2594" t="s">
        <v>8</v>
      </c>
      <c r="H2594">
        <v>61.71</v>
      </c>
    </row>
    <row r="2595" spans="1:8" x14ac:dyDescent="0.3">
      <c r="A2595">
        <v>202202</v>
      </c>
      <c r="B2595" s="1">
        <v>44593</v>
      </c>
      <c r="C2595">
        <v>2022</v>
      </c>
      <c r="D2595" t="s">
        <v>9</v>
      </c>
      <c r="E2595" t="s">
        <v>20</v>
      </c>
      <c r="F2595" t="s">
        <v>40</v>
      </c>
      <c r="G2595" t="s">
        <v>8</v>
      </c>
      <c r="H2595">
        <v>53.68</v>
      </c>
    </row>
    <row r="2596" spans="1:8" x14ac:dyDescent="0.3">
      <c r="A2596">
        <v>202203</v>
      </c>
      <c r="B2596" s="1">
        <v>44621</v>
      </c>
      <c r="C2596">
        <v>2022</v>
      </c>
      <c r="D2596" t="s">
        <v>10</v>
      </c>
      <c r="E2596" t="s">
        <v>20</v>
      </c>
      <c r="F2596" t="s">
        <v>40</v>
      </c>
      <c r="G2596" t="s">
        <v>8</v>
      </c>
      <c r="H2596">
        <v>53.9</v>
      </c>
    </row>
    <row r="2597" spans="1:8" x14ac:dyDescent="0.3">
      <c r="A2597">
        <v>202204</v>
      </c>
      <c r="B2597" s="1">
        <v>44652</v>
      </c>
      <c r="C2597">
        <v>2022</v>
      </c>
      <c r="D2597" t="s">
        <v>11</v>
      </c>
      <c r="E2597" t="s">
        <v>20</v>
      </c>
      <c r="F2597" t="s">
        <v>40</v>
      </c>
      <c r="G2597" t="s">
        <v>8</v>
      </c>
      <c r="H2597">
        <v>106.63</v>
      </c>
    </row>
    <row r="2598" spans="1:8" x14ac:dyDescent="0.3">
      <c r="A2598">
        <v>202205</v>
      </c>
      <c r="B2598" s="1">
        <v>44682</v>
      </c>
      <c r="C2598">
        <v>2022</v>
      </c>
      <c r="D2598" t="s">
        <v>12</v>
      </c>
      <c r="E2598" t="s">
        <v>20</v>
      </c>
      <c r="F2598" t="s">
        <v>40</v>
      </c>
      <c r="G2598" t="s">
        <v>8</v>
      </c>
      <c r="H2598">
        <v>58.21</v>
      </c>
    </row>
    <row r="2599" spans="1:8" x14ac:dyDescent="0.3">
      <c r="A2599">
        <v>202206</v>
      </c>
      <c r="B2599" s="1">
        <v>44713</v>
      </c>
      <c r="C2599">
        <v>2022</v>
      </c>
      <c r="D2599" t="s">
        <v>13</v>
      </c>
      <c r="E2599" t="s">
        <v>20</v>
      </c>
      <c r="F2599" t="s">
        <v>40</v>
      </c>
      <c r="G2599" t="s">
        <v>8</v>
      </c>
      <c r="H2599">
        <v>50.99</v>
      </c>
    </row>
    <row r="2600" spans="1:8" x14ac:dyDescent="0.3">
      <c r="A2600">
        <v>202207</v>
      </c>
      <c r="B2600" s="1">
        <v>44743</v>
      </c>
      <c r="C2600">
        <v>2022</v>
      </c>
      <c r="D2600" t="s">
        <v>14</v>
      </c>
      <c r="E2600" t="s">
        <v>20</v>
      </c>
      <c r="F2600" t="s">
        <v>40</v>
      </c>
      <c r="G2600" t="s">
        <v>8</v>
      </c>
      <c r="H2600">
        <v>55.38</v>
      </c>
    </row>
    <row r="2601" spans="1:8" x14ac:dyDescent="0.3">
      <c r="A2601">
        <v>202208</v>
      </c>
      <c r="B2601" s="1">
        <v>44774</v>
      </c>
      <c r="C2601">
        <v>2022</v>
      </c>
      <c r="D2601" t="s">
        <v>15</v>
      </c>
      <c r="E2601" t="s">
        <v>20</v>
      </c>
      <c r="F2601" t="s">
        <v>40</v>
      </c>
      <c r="G2601" t="s">
        <v>8</v>
      </c>
      <c r="H2601">
        <v>50.68</v>
      </c>
    </row>
    <row r="2602" spans="1:8" x14ac:dyDescent="0.3">
      <c r="A2602">
        <v>202209</v>
      </c>
      <c r="B2602" s="1">
        <v>44805</v>
      </c>
      <c r="C2602">
        <v>2022</v>
      </c>
      <c r="D2602" t="s">
        <v>16</v>
      </c>
      <c r="E2602" t="s">
        <v>20</v>
      </c>
      <c r="F2602" t="s">
        <v>40</v>
      </c>
      <c r="G2602" t="s">
        <v>8</v>
      </c>
      <c r="H2602">
        <v>67.06</v>
      </c>
    </row>
    <row r="2603" spans="1:8" x14ac:dyDescent="0.3">
      <c r="A2603">
        <v>202210</v>
      </c>
      <c r="B2603" s="1">
        <v>44835</v>
      </c>
      <c r="C2603">
        <v>2022</v>
      </c>
      <c r="D2603" t="s">
        <v>17</v>
      </c>
      <c r="E2603" t="s">
        <v>20</v>
      </c>
      <c r="F2603" t="s">
        <v>40</v>
      </c>
      <c r="G2603" t="s">
        <v>8</v>
      </c>
      <c r="H2603">
        <v>58.09</v>
      </c>
    </row>
    <row r="2604" spans="1:8" x14ac:dyDescent="0.3">
      <c r="A2604">
        <v>202211</v>
      </c>
      <c r="B2604" s="1">
        <v>44866</v>
      </c>
      <c r="C2604">
        <v>2022</v>
      </c>
      <c r="D2604" t="s">
        <v>18</v>
      </c>
      <c r="E2604" t="s">
        <v>20</v>
      </c>
      <c r="F2604" t="s">
        <v>40</v>
      </c>
      <c r="G2604" t="s">
        <v>8</v>
      </c>
      <c r="H2604">
        <v>72.94</v>
      </c>
    </row>
    <row r="2605" spans="1:8" x14ac:dyDescent="0.3">
      <c r="A2605">
        <v>202212</v>
      </c>
      <c r="B2605" s="1">
        <v>44896</v>
      </c>
      <c r="C2605">
        <v>2022</v>
      </c>
      <c r="D2605" t="s">
        <v>19</v>
      </c>
      <c r="E2605" t="s">
        <v>20</v>
      </c>
      <c r="F2605" t="s">
        <v>40</v>
      </c>
      <c r="G2605" t="s">
        <v>8</v>
      </c>
      <c r="H2605">
        <v>63.53</v>
      </c>
    </row>
    <row r="2606" spans="1:8" x14ac:dyDescent="0.3">
      <c r="A2606">
        <v>202201</v>
      </c>
      <c r="B2606" s="1">
        <v>44562</v>
      </c>
      <c r="C2606">
        <v>2022</v>
      </c>
      <c r="D2606" t="s">
        <v>6</v>
      </c>
      <c r="E2606" t="s">
        <v>20</v>
      </c>
      <c r="F2606" t="s">
        <v>40</v>
      </c>
      <c r="G2606" t="s">
        <v>8</v>
      </c>
      <c r="H2606">
        <v>102.5</v>
      </c>
    </row>
    <row r="2607" spans="1:8" x14ac:dyDescent="0.3">
      <c r="A2607">
        <v>202202</v>
      </c>
      <c r="B2607" s="1">
        <v>44593</v>
      </c>
      <c r="C2607">
        <v>2022</v>
      </c>
      <c r="D2607" t="s">
        <v>9</v>
      </c>
      <c r="E2607" t="s">
        <v>20</v>
      </c>
      <c r="F2607" t="s">
        <v>40</v>
      </c>
      <c r="G2607" t="s">
        <v>8</v>
      </c>
      <c r="H2607">
        <v>48.54</v>
      </c>
    </row>
    <row r="2608" spans="1:8" x14ac:dyDescent="0.3">
      <c r="A2608">
        <v>202203</v>
      </c>
      <c r="B2608" s="1">
        <v>44621</v>
      </c>
      <c r="C2608">
        <v>2022</v>
      </c>
      <c r="D2608" t="s">
        <v>10</v>
      </c>
      <c r="E2608" t="s">
        <v>20</v>
      </c>
      <c r="F2608" t="s">
        <v>40</v>
      </c>
      <c r="G2608" t="s">
        <v>8</v>
      </c>
      <c r="H2608">
        <v>54.18</v>
      </c>
    </row>
    <row r="2609" spans="1:8" x14ac:dyDescent="0.3">
      <c r="A2609">
        <v>202204</v>
      </c>
      <c r="B2609" s="1">
        <v>44652</v>
      </c>
      <c r="C2609">
        <v>2022</v>
      </c>
      <c r="D2609" t="s">
        <v>11</v>
      </c>
      <c r="E2609" t="s">
        <v>20</v>
      </c>
      <c r="F2609" t="s">
        <v>40</v>
      </c>
      <c r="G2609" t="s">
        <v>8</v>
      </c>
      <c r="H2609">
        <v>95.12</v>
      </c>
    </row>
    <row r="2610" spans="1:8" x14ac:dyDescent="0.3">
      <c r="A2610">
        <v>202205</v>
      </c>
      <c r="B2610" s="1">
        <v>44682</v>
      </c>
      <c r="C2610">
        <v>2022</v>
      </c>
      <c r="D2610" t="s">
        <v>12</v>
      </c>
      <c r="E2610" t="s">
        <v>20</v>
      </c>
      <c r="F2610" t="s">
        <v>40</v>
      </c>
      <c r="G2610" t="s">
        <v>8</v>
      </c>
      <c r="H2610">
        <v>76.849999999999994</v>
      </c>
    </row>
    <row r="2611" spans="1:8" x14ac:dyDescent="0.3">
      <c r="A2611">
        <v>202206</v>
      </c>
      <c r="B2611" s="1">
        <v>44713</v>
      </c>
      <c r="C2611">
        <v>2022</v>
      </c>
      <c r="D2611" t="s">
        <v>13</v>
      </c>
      <c r="E2611" t="s">
        <v>20</v>
      </c>
      <c r="F2611" t="s">
        <v>40</v>
      </c>
      <c r="G2611" t="s">
        <v>8</v>
      </c>
      <c r="H2611">
        <v>79.59</v>
      </c>
    </row>
    <row r="2612" spans="1:8" x14ac:dyDescent="0.3">
      <c r="A2612">
        <v>202207</v>
      </c>
      <c r="B2612" s="1">
        <v>44743</v>
      </c>
      <c r="C2612">
        <v>2022</v>
      </c>
      <c r="D2612" t="s">
        <v>14</v>
      </c>
      <c r="E2612" t="s">
        <v>20</v>
      </c>
      <c r="F2612" t="s">
        <v>40</v>
      </c>
      <c r="G2612" t="s">
        <v>8</v>
      </c>
      <c r="H2612">
        <v>70.12</v>
      </c>
    </row>
    <row r="2613" spans="1:8" x14ac:dyDescent="0.3">
      <c r="A2613">
        <v>202208</v>
      </c>
      <c r="B2613" s="1">
        <v>44774</v>
      </c>
      <c r="C2613">
        <v>2022</v>
      </c>
      <c r="D2613" t="s">
        <v>15</v>
      </c>
      <c r="E2613" t="s">
        <v>20</v>
      </c>
      <c r="F2613" t="s">
        <v>40</v>
      </c>
      <c r="G2613" t="s">
        <v>8</v>
      </c>
      <c r="H2613">
        <v>69.61</v>
      </c>
    </row>
    <row r="2614" spans="1:8" x14ac:dyDescent="0.3">
      <c r="A2614">
        <v>202209</v>
      </c>
      <c r="B2614" s="1">
        <v>44805</v>
      </c>
      <c r="C2614">
        <v>2022</v>
      </c>
      <c r="D2614" t="s">
        <v>16</v>
      </c>
      <c r="E2614" t="s">
        <v>20</v>
      </c>
      <c r="F2614" t="s">
        <v>40</v>
      </c>
      <c r="G2614" t="s">
        <v>8</v>
      </c>
      <c r="H2614">
        <v>65.38</v>
      </c>
    </row>
    <row r="2615" spans="1:8" x14ac:dyDescent="0.3">
      <c r="A2615">
        <v>202210</v>
      </c>
      <c r="B2615" s="1">
        <v>44835</v>
      </c>
      <c r="C2615">
        <v>2022</v>
      </c>
      <c r="D2615" t="s">
        <v>17</v>
      </c>
      <c r="E2615" t="s">
        <v>20</v>
      </c>
      <c r="F2615" t="s">
        <v>40</v>
      </c>
      <c r="G2615" t="s">
        <v>8</v>
      </c>
      <c r="H2615">
        <v>77.11</v>
      </c>
    </row>
    <row r="2616" spans="1:8" x14ac:dyDescent="0.3">
      <c r="A2616">
        <v>202211</v>
      </c>
      <c r="B2616" s="1">
        <v>44866</v>
      </c>
      <c r="C2616">
        <v>2022</v>
      </c>
      <c r="D2616" t="s">
        <v>18</v>
      </c>
      <c r="E2616" t="s">
        <v>20</v>
      </c>
      <c r="F2616" t="s">
        <v>40</v>
      </c>
      <c r="G2616" t="s">
        <v>8</v>
      </c>
      <c r="H2616">
        <v>96.66</v>
      </c>
    </row>
    <row r="2617" spans="1:8" x14ac:dyDescent="0.3">
      <c r="A2617">
        <v>202212</v>
      </c>
      <c r="B2617" s="1">
        <v>44896</v>
      </c>
      <c r="C2617">
        <v>2022</v>
      </c>
      <c r="D2617" t="s">
        <v>19</v>
      </c>
      <c r="E2617" t="s">
        <v>20</v>
      </c>
      <c r="F2617" t="s">
        <v>40</v>
      </c>
      <c r="G2617" t="s">
        <v>8</v>
      </c>
      <c r="H2617">
        <v>74.27</v>
      </c>
    </row>
    <row r="2618" spans="1:8" x14ac:dyDescent="0.3">
      <c r="A2618">
        <v>202201</v>
      </c>
      <c r="B2618" s="1">
        <v>44562</v>
      </c>
      <c r="C2618">
        <v>2022</v>
      </c>
      <c r="D2618" t="s">
        <v>6</v>
      </c>
      <c r="E2618" t="s">
        <v>20</v>
      </c>
      <c r="F2618" t="s">
        <v>40</v>
      </c>
      <c r="G2618" t="s">
        <v>8</v>
      </c>
      <c r="H2618">
        <v>107.1</v>
      </c>
    </row>
    <row r="2619" spans="1:8" x14ac:dyDescent="0.3">
      <c r="A2619">
        <v>202202</v>
      </c>
      <c r="B2619" s="1">
        <v>44593</v>
      </c>
      <c r="C2619">
        <v>2022</v>
      </c>
      <c r="D2619" t="s">
        <v>9</v>
      </c>
      <c r="E2619" t="s">
        <v>20</v>
      </c>
      <c r="F2619" t="s">
        <v>40</v>
      </c>
      <c r="G2619" t="s">
        <v>8</v>
      </c>
      <c r="H2619">
        <v>85.23</v>
      </c>
    </row>
    <row r="2620" spans="1:8" x14ac:dyDescent="0.3">
      <c r="A2620">
        <v>202203</v>
      </c>
      <c r="B2620" s="1">
        <v>44621</v>
      </c>
      <c r="C2620">
        <v>2022</v>
      </c>
      <c r="D2620" t="s">
        <v>10</v>
      </c>
      <c r="E2620" t="s">
        <v>20</v>
      </c>
      <c r="F2620" t="s">
        <v>40</v>
      </c>
      <c r="G2620" t="s">
        <v>8</v>
      </c>
      <c r="H2620">
        <v>89.44</v>
      </c>
    </row>
    <row r="2621" spans="1:8" x14ac:dyDescent="0.3">
      <c r="A2621">
        <v>202204</v>
      </c>
      <c r="B2621" s="1">
        <v>44652</v>
      </c>
      <c r="C2621">
        <v>2022</v>
      </c>
      <c r="D2621" t="s">
        <v>11</v>
      </c>
      <c r="E2621" t="s">
        <v>20</v>
      </c>
      <c r="F2621" t="s">
        <v>40</v>
      </c>
      <c r="G2621" t="s">
        <v>8</v>
      </c>
      <c r="H2621">
        <v>117.5</v>
      </c>
    </row>
    <row r="2622" spans="1:8" x14ac:dyDescent="0.3">
      <c r="A2622">
        <v>202205</v>
      </c>
      <c r="B2622" s="1">
        <v>44682</v>
      </c>
      <c r="C2622">
        <v>2022</v>
      </c>
      <c r="D2622" t="s">
        <v>12</v>
      </c>
      <c r="E2622" t="s">
        <v>20</v>
      </c>
      <c r="F2622" t="s">
        <v>40</v>
      </c>
      <c r="G2622" t="s">
        <v>8</v>
      </c>
      <c r="H2622">
        <v>91.06</v>
      </c>
    </row>
    <row r="2623" spans="1:8" x14ac:dyDescent="0.3">
      <c r="A2623">
        <v>202206</v>
      </c>
      <c r="B2623" s="1">
        <v>44713</v>
      </c>
      <c r="C2623">
        <v>2022</v>
      </c>
      <c r="D2623" t="s">
        <v>13</v>
      </c>
      <c r="E2623" t="s">
        <v>20</v>
      </c>
      <c r="F2623" t="s">
        <v>40</v>
      </c>
      <c r="G2623" t="s">
        <v>8</v>
      </c>
      <c r="H2623">
        <v>106.27</v>
      </c>
    </row>
    <row r="2624" spans="1:8" x14ac:dyDescent="0.3">
      <c r="A2624">
        <v>202207</v>
      </c>
      <c r="B2624" s="1">
        <v>44743</v>
      </c>
      <c r="C2624">
        <v>2022</v>
      </c>
      <c r="D2624" t="s">
        <v>14</v>
      </c>
      <c r="E2624" t="s">
        <v>20</v>
      </c>
      <c r="F2624" t="s">
        <v>40</v>
      </c>
      <c r="G2624" t="s">
        <v>8</v>
      </c>
      <c r="H2624">
        <v>116.04</v>
      </c>
    </row>
    <row r="2625" spans="1:8" x14ac:dyDescent="0.3">
      <c r="A2625">
        <v>202208</v>
      </c>
      <c r="B2625" s="1">
        <v>44774</v>
      </c>
      <c r="C2625">
        <v>2022</v>
      </c>
      <c r="D2625" t="s">
        <v>15</v>
      </c>
      <c r="E2625" t="s">
        <v>20</v>
      </c>
      <c r="F2625" t="s">
        <v>40</v>
      </c>
      <c r="G2625" t="s">
        <v>8</v>
      </c>
      <c r="H2625">
        <v>96.26</v>
      </c>
    </row>
    <row r="2626" spans="1:8" x14ac:dyDescent="0.3">
      <c r="A2626">
        <v>202209</v>
      </c>
      <c r="B2626" s="1">
        <v>44805</v>
      </c>
      <c r="C2626">
        <v>2022</v>
      </c>
      <c r="D2626" t="s">
        <v>16</v>
      </c>
      <c r="E2626" t="s">
        <v>20</v>
      </c>
      <c r="F2626" t="s">
        <v>40</v>
      </c>
      <c r="G2626" t="s">
        <v>8</v>
      </c>
      <c r="H2626">
        <v>122.79</v>
      </c>
    </row>
    <row r="2627" spans="1:8" x14ac:dyDescent="0.3">
      <c r="A2627">
        <v>202210</v>
      </c>
      <c r="B2627" s="1">
        <v>44835</v>
      </c>
      <c r="C2627">
        <v>2022</v>
      </c>
      <c r="D2627" t="s">
        <v>17</v>
      </c>
      <c r="E2627" t="s">
        <v>20</v>
      </c>
      <c r="F2627" t="s">
        <v>40</v>
      </c>
      <c r="G2627" t="s">
        <v>8</v>
      </c>
      <c r="H2627">
        <v>108.4</v>
      </c>
    </row>
    <row r="2628" spans="1:8" x14ac:dyDescent="0.3">
      <c r="A2628">
        <v>202211</v>
      </c>
      <c r="B2628" s="1">
        <v>44866</v>
      </c>
      <c r="C2628">
        <v>2022</v>
      </c>
      <c r="D2628" t="s">
        <v>18</v>
      </c>
      <c r="E2628" t="s">
        <v>20</v>
      </c>
      <c r="F2628" t="s">
        <v>40</v>
      </c>
      <c r="G2628" t="s">
        <v>8</v>
      </c>
      <c r="H2628">
        <v>111.4</v>
      </c>
    </row>
    <row r="2629" spans="1:8" x14ac:dyDescent="0.3">
      <c r="A2629">
        <v>202212</v>
      </c>
      <c r="B2629" s="1">
        <v>44896</v>
      </c>
      <c r="C2629">
        <v>2022</v>
      </c>
      <c r="D2629" t="s">
        <v>19</v>
      </c>
      <c r="E2629" t="s">
        <v>20</v>
      </c>
      <c r="F2629" t="s">
        <v>40</v>
      </c>
      <c r="G2629" t="s">
        <v>8</v>
      </c>
      <c r="H2629">
        <v>139.61000000000001</v>
      </c>
    </row>
    <row r="2630" spans="1:8" x14ac:dyDescent="0.3">
      <c r="A2630">
        <v>202201</v>
      </c>
      <c r="B2630" s="1">
        <v>44562</v>
      </c>
      <c r="C2630">
        <v>2022</v>
      </c>
      <c r="D2630" t="s">
        <v>6</v>
      </c>
      <c r="E2630" t="s">
        <v>20</v>
      </c>
      <c r="F2630" t="s">
        <v>40</v>
      </c>
      <c r="G2630" t="s">
        <v>8</v>
      </c>
      <c r="H2630">
        <v>47.6</v>
      </c>
    </row>
    <row r="2631" spans="1:8" x14ac:dyDescent="0.3">
      <c r="A2631">
        <v>202202</v>
      </c>
      <c r="B2631" s="1">
        <v>44593</v>
      </c>
      <c r="C2631">
        <v>2022</v>
      </c>
      <c r="D2631" t="s">
        <v>9</v>
      </c>
      <c r="E2631" t="s">
        <v>20</v>
      </c>
      <c r="F2631" t="s">
        <v>40</v>
      </c>
      <c r="G2631" t="s">
        <v>8</v>
      </c>
      <c r="H2631">
        <v>24.44</v>
      </c>
    </row>
    <row r="2632" spans="1:8" x14ac:dyDescent="0.3">
      <c r="A2632">
        <v>202203</v>
      </c>
      <c r="B2632" s="1">
        <v>44621</v>
      </c>
      <c r="C2632">
        <v>2022</v>
      </c>
      <c r="D2632" t="s">
        <v>10</v>
      </c>
      <c r="E2632" t="s">
        <v>20</v>
      </c>
      <c r="F2632" t="s">
        <v>40</v>
      </c>
      <c r="G2632" t="s">
        <v>8</v>
      </c>
      <c r="H2632">
        <v>27.93</v>
      </c>
    </row>
    <row r="2633" spans="1:8" x14ac:dyDescent="0.3">
      <c r="A2633">
        <v>202204</v>
      </c>
      <c r="B2633" s="1">
        <v>44652</v>
      </c>
      <c r="C2633">
        <v>2022</v>
      </c>
      <c r="D2633" t="s">
        <v>11</v>
      </c>
      <c r="E2633" t="s">
        <v>20</v>
      </c>
      <c r="F2633" t="s">
        <v>40</v>
      </c>
      <c r="G2633" t="s">
        <v>8</v>
      </c>
      <c r="H2633">
        <v>34.04</v>
      </c>
    </row>
    <row r="2634" spans="1:8" x14ac:dyDescent="0.3">
      <c r="A2634">
        <v>202205</v>
      </c>
      <c r="B2634" s="1">
        <v>44682</v>
      </c>
      <c r="C2634">
        <v>2022</v>
      </c>
      <c r="D2634" t="s">
        <v>12</v>
      </c>
      <c r="E2634" t="s">
        <v>20</v>
      </c>
      <c r="F2634" t="s">
        <v>40</v>
      </c>
      <c r="G2634" t="s">
        <v>8</v>
      </c>
      <c r="H2634">
        <v>30.05</v>
      </c>
    </row>
    <row r="2635" spans="1:8" x14ac:dyDescent="0.3">
      <c r="A2635">
        <v>202206</v>
      </c>
      <c r="B2635" s="1">
        <v>44713</v>
      </c>
      <c r="C2635">
        <v>2022</v>
      </c>
      <c r="D2635" t="s">
        <v>13</v>
      </c>
      <c r="E2635" t="s">
        <v>20</v>
      </c>
      <c r="F2635" t="s">
        <v>40</v>
      </c>
      <c r="G2635" t="s">
        <v>8</v>
      </c>
      <c r="H2635">
        <v>38.1</v>
      </c>
    </row>
    <row r="2636" spans="1:8" x14ac:dyDescent="0.3">
      <c r="A2636">
        <v>202207</v>
      </c>
      <c r="B2636" s="1">
        <v>44743</v>
      </c>
      <c r="C2636">
        <v>2022</v>
      </c>
      <c r="D2636" t="s">
        <v>14</v>
      </c>
      <c r="E2636" t="s">
        <v>20</v>
      </c>
      <c r="F2636" t="s">
        <v>40</v>
      </c>
      <c r="G2636" t="s">
        <v>8</v>
      </c>
      <c r="H2636">
        <v>33.67</v>
      </c>
    </row>
    <row r="2637" spans="1:8" x14ac:dyDescent="0.3">
      <c r="A2637">
        <v>202208</v>
      </c>
      <c r="B2637" s="1">
        <v>44774</v>
      </c>
      <c r="C2637">
        <v>2022</v>
      </c>
      <c r="D2637" t="s">
        <v>15</v>
      </c>
      <c r="E2637" t="s">
        <v>20</v>
      </c>
      <c r="F2637" t="s">
        <v>40</v>
      </c>
      <c r="G2637" t="s">
        <v>8</v>
      </c>
      <c r="H2637">
        <v>30.15</v>
      </c>
    </row>
    <row r="2638" spans="1:8" x14ac:dyDescent="0.3">
      <c r="A2638">
        <v>202209</v>
      </c>
      <c r="B2638" s="1">
        <v>44805</v>
      </c>
      <c r="C2638">
        <v>2022</v>
      </c>
      <c r="D2638" t="s">
        <v>16</v>
      </c>
      <c r="E2638" t="s">
        <v>20</v>
      </c>
      <c r="F2638" t="s">
        <v>40</v>
      </c>
      <c r="G2638" t="s">
        <v>8</v>
      </c>
      <c r="H2638">
        <v>35.44</v>
      </c>
    </row>
    <row r="2639" spans="1:8" x14ac:dyDescent="0.3">
      <c r="A2639">
        <v>202210</v>
      </c>
      <c r="B2639" s="1">
        <v>44835</v>
      </c>
      <c r="C2639">
        <v>2022</v>
      </c>
      <c r="D2639" t="s">
        <v>17</v>
      </c>
      <c r="E2639" t="s">
        <v>20</v>
      </c>
      <c r="F2639" t="s">
        <v>40</v>
      </c>
      <c r="G2639" t="s">
        <v>8</v>
      </c>
      <c r="H2639">
        <v>41.66</v>
      </c>
    </row>
    <row r="2640" spans="1:8" x14ac:dyDescent="0.3">
      <c r="A2640">
        <v>202211</v>
      </c>
      <c r="B2640" s="1">
        <v>44866</v>
      </c>
      <c r="C2640">
        <v>2022</v>
      </c>
      <c r="D2640" t="s">
        <v>18</v>
      </c>
      <c r="E2640" t="s">
        <v>20</v>
      </c>
      <c r="F2640" t="s">
        <v>40</v>
      </c>
      <c r="G2640" t="s">
        <v>8</v>
      </c>
      <c r="H2640">
        <v>33.07</v>
      </c>
    </row>
    <row r="2641" spans="1:8" x14ac:dyDescent="0.3">
      <c r="A2641">
        <v>202212</v>
      </c>
      <c r="B2641" s="1">
        <v>44896</v>
      </c>
      <c r="C2641">
        <v>2022</v>
      </c>
      <c r="D2641" t="s">
        <v>19</v>
      </c>
      <c r="E2641" t="s">
        <v>20</v>
      </c>
      <c r="F2641" t="s">
        <v>40</v>
      </c>
      <c r="G2641" t="s">
        <v>8</v>
      </c>
      <c r="H2641">
        <v>45.51</v>
      </c>
    </row>
    <row r="2642" spans="1:8" x14ac:dyDescent="0.3">
      <c r="A2642">
        <v>202201</v>
      </c>
      <c r="B2642" s="1">
        <v>44562</v>
      </c>
      <c r="C2642">
        <v>2022</v>
      </c>
      <c r="D2642" t="s">
        <v>6</v>
      </c>
      <c r="E2642" t="s">
        <v>20</v>
      </c>
      <c r="F2642" t="s">
        <v>40</v>
      </c>
      <c r="G2642" t="s">
        <v>8</v>
      </c>
      <c r="H2642">
        <v>45.71</v>
      </c>
    </row>
    <row r="2643" spans="1:8" x14ac:dyDescent="0.3">
      <c r="A2643">
        <v>202202</v>
      </c>
      <c r="B2643" s="1">
        <v>44593</v>
      </c>
      <c r="C2643">
        <v>2022</v>
      </c>
      <c r="D2643" t="s">
        <v>9</v>
      </c>
      <c r="E2643" t="s">
        <v>20</v>
      </c>
      <c r="F2643" t="s">
        <v>40</v>
      </c>
      <c r="G2643" t="s">
        <v>8</v>
      </c>
      <c r="H2643">
        <v>25.1</v>
      </c>
    </row>
    <row r="2644" spans="1:8" x14ac:dyDescent="0.3">
      <c r="A2644">
        <v>202203</v>
      </c>
      <c r="B2644" s="1">
        <v>44621</v>
      </c>
      <c r="C2644">
        <v>2022</v>
      </c>
      <c r="D2644" t="s">
        <v>10</v>
      </c>
      <c r="E2644" t="s">
        <v>20</v>
      </c>
      <c r="F2644" t="s">
        <v>40</v>
      </c>
      <c r="G2644" t="s">
        <v>8</v>
      </c>
      <c r="H2644">
        <v>27.17</v>
      </c>
    </row>
    <row r="2645" spans="1:8" x14ac:dyDescent="0.3">
      <c r="A2645">
        <v>202204</v>
      </c>
      <c r="B2645" s="1">
        <v>44652</v>
      </c>
      <c r="C2645">
        <v>2022</v>
      </c>
      <c r="D2645" t="s">
        <v>11</v>
      </c>
      <c r="E2645" t="s">
        <v>20</v>
      </c>
      <c r="F2645" t="s">
        <v>40</v>
      </c>
      <c r="G2645" t="s">
        <v>8</v>
      </c>
      <c r="H2645">
        <v>53.94</v>
      </c>
    </row>
    <row r="2646" spans="1:8" x14ac:dyDescent="0.3">
      <c r="A2646">
        <v>202205</v>
      </c>
      <c r="B2646" s="1">
        <v>44682</v>
      </c>
      <c r="C2646">
        <v>2022</v>
      </c>
      <c r="D2646" t="s">
        <v>12</v>
      </c>
      <c r="E2646" t="s">
        <v>20</v>
      </c>
      <c r="F2646" t="s">
        <v>40</v>
      </c>
      <c r="G2646" t="s">
        <v>8</v>
      </c>
      <c r="H2646">
        <v>40.86</v>
      </c>
    </row>
    <row r="2647" spans="1:8" x14ac:dyDescent="0.3">
      <c r="A2647">
        <v>202206</v>
      </c>
      <c r="B2647" s="1">
        <v>44713</v>
      </c>
      <c r="C2647">
        <v>2022</v>
      </c>
      <c r="D2647" t="s">
        <v>13</v>
      </c>
      <c r="E2647" t="s">
        <v>20</v>
      </c>
      <c r="F2647" t="s">
        <v>40</v>
      </c>
      <c r="G2647" t="s">
        <v>8</v>
      </c>
      <c r="H2647">
        <v>32.299999999999997</v>
      </c>
    </row>
    <row r="2648" spans="1:8" x14ac:dyDescent="0.3">
      <c r="A2648">
        <v>202207</v>
      </c>
      <c r="B2648" s="1">
        <v>44743</v>
      </c>
      <c r="C2648">
        <v>2022</v>
      </c>
      <c r="D2648" t="s">
        <v>14</v>
      </c>
      <c r="E2648" t="s">
        <v>20</v>
      </c>
      <c r="F2648" t="s">
        <v>40</v>
      </c>
      <c r="G2648" t="s">
        <v>8</v>
      </c>
      <c r="H2648">
        <v>34.93</v>
      </c>
    </row>
    <row r="2649" spans="1:8" x14ac:dyDescent="0.3">
      <c r="A2649">
        <v>202208</v>
      </c>
      <c r="B2649" s="1">
        <v>44774</v>
      </c>
      <c r="C2649">
        <v>2022</v>
      </c>
      <c r="D2649" t="s">
        <v>15</v>
      </c>
      <c r="E2649" t="s">
        <v>20</v>
      </c>
      <c r="F2649" t="s">
        <v>40</v>
      </c>
      <c r="G2649" t="s">
        <v>8</v>
      </c>
      <c r="H2649">
        <v>29.6</v>
      </c>
    </row>
    <row r="2650" spans="1:8" x14ac:dyDescent="0.3">
      <c r="A2650">
        <v>202209</v>
      </c>
      <c r="B2650" s="1">
        <v>44805</v>
      </c>
      <c r="C2650">
        <v>2022</v>
      </c>
      <c r="D2650" t="s">
        <v>16</v>
      </c>
      <c r="E2650" t="s">
        <v>20</v>
      </c>
      <c r="F2650" t="s">
        <v>40</v>
      </c>
      <c r="G2650" t="s">
        <v>8</v>
      </c>
      <c r="H2650">
        <v>31.12</v>
      </c>
    </row>
    <row r="2651" spans="1:8" x14ac:dyDescent="0.3">
      <c r="A2651">
        <v>202210</v>
      </c>
      <c r="B2651" s="1">
        <v>44835</v>
      </c>
      <c r="C2651">
        <v>2022</v>
      </c>
      <c r="D2651" t="s">
        <v>17</v>
      </c>
      <c r="E2651" t="s">
        <v>20</v>
      </c>
      <c r="F2651" t="s">
        <v>40</v>
      </c>
      <c r="G2651" t="s">
        <v>8</v>
      </c>
      <c r="H2651">
        <v>38.53</v>
      </c>
    </row>
    <row r="2652" spans="1:8" x14ac:dyDescent="0.3">
      <c r="A2652">
        <v>202211</v>
      </c>
      <c r="B2652" s="1">
        <v>44866</v>
      </c>
      <c r="C2652">
        <v>2022</v>
      </c>
      <c r="D2652" t="s">
        <v>18</v>
      </c>
      <c r="E2652" t="s">
        <v>20</v>
      </c>
      <c r="F2652" t="s">
        <v>40</v>
      </c>
      <c r="G2652" t="s">
        <v>8</v>
      </c>
      <c r="H2652">
        <v>40.76</v>
      </c>
    </row>
    <row r="2653" spans="1:8" x14ac:dyDescent="0.3">
      <c r="A2653">
        <v>202212</v>
      </c>
      <c r="B2653" s="1">
        <v>44896</v>
      </c>
      <c r="C2653">
        <v>2022</v>
      </c>
      <c r="D2653" t="s">
        <v>19</v>
      </c>
      <c r="E2653" t="s">
        <v>20</v>
      </c>
      <c r="F2653" t="s">
        <v>40</v>
      </c>
      <c r="G2653" t="s">
        <v>8</v>
      </c>
      <c r="H2653">
        <v>47.55</v>
      </c>
    </row>
    <row r="2654" spans="1:8" x14ac:dyDescent="0.3">
      <c r="A2654">
        <v>202201</v>
      </c>
      <c r="B2654" s="1">
        <v>44562</v>
      </c>
      <c r="C2654">
        <v>2022</v>
      </c>
      <c r="D2654" t="s">
        <v>6</v>
      </c>
      <c r="E2654" t="s">
        <v>20</v>
      </c>
      <c r="F2654" t="s">
        <v>40</v>
      </c>
      <c r="G2654" t="s">
        <v>8</v>
      </c>
      <c r="H2654">
        <v>285.99</v>
      </c>
    </row>
    <row r="2655" spans="1:8" x14ac:dyDescent="0.3">
      <c r="A2655">
        <v>202202</v>
      </c>
      <c r="B2655" s="1">
        <v>44593</v>
      </c>
      <c r="C2655">
        <v>2022</v>
      </c>
      <c r="D2655" t="s">
        <v>9</v>
      </c>
      <c r="E2655" t="s">
        <v>20</v>
      </c>
      <c r="F2655" t="s">
        <v>40</v>
      </c>
      <c r="G2655" t="s">
        <v>8</v>
      </c>
      <c r="H2655">
        <v>194.3</v>
      </c>
    </row>
    <row r="2656" spans="1:8" x14ac:dyDescent="0.3">
      <c r="A2656">
        <v>202203</v>
      </c>
      <c r="B2656" s="1">
        <v>44621</v>
      </c>
      <c r="C2656">
        <v>2022</v>
      </c>
      <c r="D2656" t="s">
        <v>10</v>
      </c>
      <c r="E2656" t="s">
        <v>20</v>
      </c>
      <c r="F2656" t="s">
        <v>40</v>
      </c>
      <c r="G2656" t="s">
        <v>8</v>
      </c>
      <c r="H2656">
        <v>245.93</v>
      </c>
    </row>
    <row r="2657" spans="1:8" x14ac:dyDescent="0.3">
      <c r="A2657">
        <v>202204</v>
      </c>
      <c r="B2657" s="1">
        <v>44652</v>
      </c>
      <c r="C2657">
        <v>2022</v>
      </c>
      <c r="D2657" t="s">
        <v>11</v>
      </c>
      <c r="E2657" t="s">
        <v>20</v>
      </c>
      <c r="F2657" t="s">
        <v>40</v>
      </c>
      <c r="G2657" t="s">
        <v>8</v>
      </c>
      <c r="H2657">
        <v>383.82</v>
      </c>
    </row>
    <row r="2658" spans="1:8" x14ac:dyDescent="0.3">
      <c r="A2658">
        <v>202205</v>
      </c>
      <c r="B2658" s="1">
        <v>44682</v>
      </c>
      <c r="C2658">
        <v>2022</v>
      </c>
      <c r="D2658" t="s">
        <v>12</v>
      </c>
      <c r="E2658" t="s">
        <v>20</v>
      </c>
      <c r="F2658" t="s">
        <v>40</v>
      </c>
      <c r="G2658" t="s">
        <v>8</v>
      </c>
      <c r="H2658">
        <v>353.66</v>
      </c>
    </row>
    <row r="2659" spans="1:8" x14ac:dyDescent="0.3">
      <c r="A2659">
        <v>202206</v>
      </c>
      <c r="B2659" s="1">
        <v>44713</v>
      </c>
      <c r="C2659">
        <v>2022</v>
      </c>
      <c r="D2659" t="s">
        <v>13</v>
      </c>
      <c r="E2659" t="s">
        <v>20</v>
      </c>
      <c r="F2659" t="s">
        <v>40</v>
      </c>
      <c r="G2659" t="s">
        <v>8</v>
      </c>
      <c r="H2659">
        <v>346.24</v>
      </c>
    </row>
    <row r="2660" spans="1:8" x14ac:dyDescent="0.3">
      <c r="A2660">
        <v>202207</v>
      </c>
      <c r="B2660" s="1">
        <v>44743</v>
      </c>
      <c r="C2660">
        <v>2022</v>
      </c>
      <c r="D2660" t="s">
        <v>14</v>
      </c>
      <c r="E2660" t="s">
        <v>20</v>
      </c>
      <c r="F2660" t="s">
        <v>40</v>
      </c>
      <c r="G2660" t="s">
        <v>8</v>
      </c>
      <c r="H2660">
        <v>372.03</v>
      </c>
    </row>
    <row r="2661" spans="1:8" x14ac:dyDescent="0.3">
      <c r="A2661">
        <v>202208</v>
      </c>
      <c r="B2661" s="1">
        <v>44774</v>
      </c>
      <c r="C2661">
        <v>2022</v>
      </c>
      <c r="D2661" t="s">
        <v>15</v>
      </c>
      <c r="E2661" t="s">
        <v>20</v>
      </c>
      <c r="F2661" t="s">
        <v>40</v>
      </c>
      <c r="G2661" t="s">
        <v>8</v>
      </c>
      <c r="H2661">
        <v>363.47</v>
      </c>
    </row>
    <row r="2662" spans="1:8" x14ac:dyDescent="0.3">
      <c r="A2662">
        <v>202209</v>
      </c>
      <c r="B2662" s="1">
        <v>44805</v>
      </c>
      <c r="C2662">
        <v>2022</v>
      </c>
      <c r="D2662" t="s">
        <v>16</v>
      </c>
      <c r="E2662" t="s">
        <v>20</v>
      </c>
      <c r="F2662" t="s">
        <v>40</v>
      </c>
      <c r="G2662" t="s">
        <v>8</v>
      </c>
      <c r="H2662">
        <v>281.85000000000002</v>
      </c>
    </row>
    <row r="2663" spans="1:8" x14ac:dyDescent="0.3">
      <c r="A2663">
        <v>202210</v>
      </c>
      <c r="B2663" s="1">
        <v>44835</v>
      </c>
      <c r="C2663">
        <v>2022</v>
      </c>
      <c r="D2663" t="s">
        <v>17</v>
      </c>
      <c r="E2663" t="s">
        <v>20</v>
      </c>
      <c r="F2663" t="s">
        <v>40</v>
      </c>
      <c r="G2663" t="s">
        <v>8</v>
      </c>
      <c r="H2663">
        <v>308.56</v>
      </c>
    </row>
    <row r="2664" spans="1:8" x14ac:dyDescent="0.3">
      <c r="A2664">
        <v>202211</v>
      </c>
      <c r="B2664" s="1">
        <v>44866</v>
      </c>
      <c r="C2664">
        <v>2022</v>
      </c>
      <c r="D2664" t="s">
        <v>18</v>
      </c>
      <c r="E2664" t="s">
        <v>20</v>
      </c>
      <c r="F2664" t="s">
        <v>40</v>
      </c>
      <c r="G2664" t="s">
        <v>8</v>
      </c>
      <c r="H2664">
        <v>351.18</v>
      </c>
    </row>
    <row r="2665" spans="1:8" x14ac:dyDescent="0.3">
      <c r="A2665">
        <v>202212</v>
      </c>
      <c r="B2665" s="1">
        <v>44896</v>
      </c>
      <c r="C2665">
        <v>2022</v>
      </c>
      <c r="D2665" t="s">
        <v>19</v>
      </c>
      <c r="E2665" t="s">
        <v>20</v>
      </c>
      <c r="F2665" t="s">
        <v>40</v>
      </c>
      <c r="G2665" t="s">
        <v>8</v>
      </c>
      <c r="H2665">
        <v>303.3</v>
      </c>
    </row>
    <row r="2666" spans="1:8" x14ac:dyDescent="0.3">
      <c r="A2666">
        <v>202201</v>
      </c>
      <c r="B2666" s="1">
        <v>44562</v>
      </c>
      <c r="C2666">
        <v>2022</v>
      </c>
      <c r="D2666" t="s">
        <v>6</v>
      </c>
      <c r="E2666" t="s">
        <v>21</v>
      </c>
      <c r="F2666" t="s">
        <v>40</v>
      </c>
      <c r="G2666" t="s">
        <v>8</v>
      </c>
      <c r="H2666">
        <v>202.59</v>
      </c>
    </row>
    <row r="2667" spans="1:8" x14ac:dyDescent="0.3">
      <c r="A2667">
        <v>202202</v>
      </c>
      <c r="B2667" s="1">
        <v>44593</v>
      </c>
      <c r="C2667">
        <v>2022</v>
      </c>
      <c r="D2667" t="s">
        <v>9</v>
      </c>
      <c r="E2667" t="s">
        <v>21</v>
      </c>
      <c r="F2667" t="s">
        <v>40</v>
      </c>
      <c r="G2667" t="s">
        <v>8</v>
      </c>
      <c r="H2667">
        <v>108.35</v>
      </c>
    </row>
    <row r="2668" spans="1:8" x14ac:dyDescent="0.3">
      <c r="A2668">
        <v>202203</v>
      </c>
      <c r="B2668" s="1">
        <v>44621</v>
      </c>
      <c r="C2668">
        <v>2022</v>
      </c>
      <c r="D2668" t="s">
        <v>10</v>
      </c>
      <c r="E2668" t="s">
        <v>21</v>
      </c>
      <c r="F2668" t="s">
        <v>40</v>
      </c>
      <c r="G2668" t="s">
        <v>8</v>
      </c>
      <c r="H2668">
        <v>163.38</v>
      </c>
    </row>
    <row r="2669" spans="1:8" x14ac:dyDescent="0.3">
      <c r="A2669">
        <v>202204</v>
      </c>
      <c r="B2669" s="1">
        <v>44652</v>
      </c>
      <c r="C2669">
        <v>2022</v>
      </c>
      <c r="D2669" t="s">
        <v>11</v>
      </c>
      <c r="E2669" t="s">
        <v>21</v>
      </c>
      <c r="F2669" t="s">
        <v>40</v>
      </c>
      <c r="G2669" t="s">
        <v>8</v>
      </c>
      <c r="H2669">
        <v>207.82</v>
      </c>
    </row>
    <row r="2670" spans="1:8" x14ac:dyDescent="0.3">
      <c r="A2670">
        <v>202205</v>
      </c>
      <c r="B2670" s="1">
        <v>44682</v>
      </c>
      <c r="C2670">
        <v>2022</v>
      </c>
      <c r="D2670" t="s">
        <v>12</v>
      </c>
      <c r="E2670" t="s">
        <v>21</v>
      </c>
      <c r="F2670" t="s">
        <v>40</v>
      </c>
      <c r="G2670" t="s">
        <v>8</v>
      </c>
      <c r="H2670">
        <v>190.69</v>
      </c>
    </row>
    <row r="2671" spans="1:8" x14ac:dyDescent="0.3">
      <c r="A2671">
        <v>202206</v>
      </c>
      <c r="B2671" s="1">
        <v>44713</v>
      </c>
      <c r="C2671">
        <v>2022</v>
      </c>
      <c r="D2671" t="s">
        <v>13</v>
      </c>
      <c r="E2671" t="s">
        <v>21</v>
      </c>
      <c r="F2671" t="s">
        <v>40</v>
      </c>
      <c r="G2671" t="s">
        <v>8</v>
      </c>
      <c r="H2671">
        <v>193.07</v>
      </c>
    </row>
    <row r="2672" spans="1:8" x14ac:dyDescent="0.3">
      <c r="A2672">
        <v>202207</v>
      </c>
      <c r="B2672" s="1">
        <v>44743</v>
      </c>
      <c r="C2672">
        <v>2022</v>
      </c>
      <c r="D2672" t="s">
        <v>14</v>
      </c>
      <c r="E2672" t="s">
        <v>21</v>
      </c>
      <c r="F2672" t="s">
        <v>40</v>
      </c>
      <c r="G2672" t="s">
        <v>8</v>
      </c>
      <c r="H2672">
        <v>169.89</v>
      </c>
    </row>
    <row r="2673" spans="1:8" x14ac:dyDescent="0.3">
      <c r="A2673">
        <v>202208</v>
      </c>
      <c r="B2673" s="1">
        <v>44774</v>
      </c>
      <c r="C2673">
        <v>2022</v>
      </c>
      <c r="D2673" t="s">
        <v>15</v>
      </c>
      <c r="E2673" t="s">
        <v>21</v>
      </c>
      <c r="F2673" t="s">
        <v>40</v>
      </c>
      <c r="G2673" t="s">
        <v>8</v>
      </c>
      <c r="H2673">
        <v>205.68</v>
      </c>
    </row>
    <row r="2674" spans="1:8" x14ac:dyDescent="0.3">
      <c r="A2674">
        <v>202209</v>
      </c>
      <c r="B2674" s="1">
        <v>44805</v>
      </c>
      <c r="C2674">
        <v>2022</v>
      </c>
      <c r="D2674" t="s">
        <v>16</v>
      </c>
      <c r="E2674" t="s">
        <v>21</v>
      </c>
      <c r="F2674" t="s">
        <v>40</v>
      </c>
      <c r="G2674" t="s">
        <v>8</v>
      </c>
      <c r="H2674">
        <v>153.71</v>
      </c>
    </row>
    <row r="2675" spans="1:8" x14ac:dyDescent="0.3">
      <c r="A2675">
        <v>202210</v>
      </c>
      <c r="B2675" s="1">
        <v>44835</v>
      </c>
      <c r="C2675">
        <v>2022</v>
      </c>
      <c r="D2675" t="s">
        <v>17</v>
      </c>
      <c r="E2675" t="s">
        <v>21</v>
      </c>
      <c r="F2675" t="s">
        <v>40</v>
      </c>
      <c r="G2675" t="s">
        <v>8</v>
      </c>
      <c r="H2675">
        <v>183.27</v>
      </c>
    </row>
    <row r="2676" spans="1:8" x14ac:dyDescent="0.3">
      <c r="A2676">
        <v>202211</v>
      </c>
      <c r="B2676" s="1">
        <v>44866</v>
      </c>
      <c r="C2676">
        <v>2022</v>
      </c>
      <c r="D2676" t="s">
        <v>18</v>
      </c>
      <c r="E2676" t="s">
        <v>21</v>
      </c>
      <c r="F2676" t="s">
        <v>40</v>
      </c>
      <c r="G2676" t="s">
        <v>8</v>
      </c>
      <c r="H2676">
        <v>189.49</v>
      </c>
    </row>
    <row r="2677" spans="1:8" x14ac:dyDescent="0.3">
      <c r="A2677">
        <v>202212</v>
      </c>
      <c r="B2677" s="1">
        <v>44896</v>
      </c>
      <c r="C2677">
        <v>2022</v>
      </c>
      <c r="D2677" t="s">
        <v>19</v>
      </c>
      <c r="E2677" t="s">
        <v>21</v>
      </c>
      <c r="F2677" t="s">
        <v>40</v>
      </c>
      <c r="G2677" t="s">
        <v>8</v>
      </c>
      <c r="H2677">
        <v>203.22</v>
      </c>
    </row>
    <row r="2678" spans="1:8" x14ac:dyDescent="0.3">
      <c r="A2678">
        <v>202201</v>
      </c>
      <c r="B2678" s="1">
        <v>44562</v>
      </c>
      <c r="C2678">
        <v>2022</v>
      </c>
      <c r="D2678" t="s">
        <v>6</v>
      </c>
      <c r="E2678" t="s">
        <v>21</v>
      </c>
      <c r="F2678" t="s">
        <v>40</v>
      </c>
      <c r="G2678" t="s">
        <v>8</v>
      </c>
      <c r="H2678">
        <v>294.82</v>
      </c>
    </row>
    <row r="2679" spans="1:8" x14ac:dyDescent="0.3">
      <c r="A2679">
        <v>202202</v>
      </c>
      <c r="B2679" s="1">
        <v>44593</v>
      </c>
      <c r="C2679">
        <v>2022</v>
      </c>
      <c r="D2679" t="s">
        <v>9</v>
      </c>
      <c r="E2679" t="s">
        <v>21</v>
      </c>
      <c r="F2679" t="s">
        <v>40</v>
      </c>
      <c r="G2679" t="s">
        <v>8</v>
      </c>
      <c r="H2679">
        <v>126.18</v>
      </c>
    </row>
    <row r="2680" spans="1:8" x14ac:dyDescent="0.3">
      <c r="A2680">
        <v>202203</v>
      </c>
      <c r="B2680" s="1">
        <v>44621</v>
      </c>
      <c r="C2680">
        <v>2022</v>
      </c>
      <c r="D2680" t="s">
        <v>10</v>
      </c>
      <c r="E2680" t="s">
        <v>21</v>
      </c>
      <c r="F2680" t="s">
        <v>40</v>
      </c>
      <c r="G2680" t="s">
        <v>8</v>
      </c>
      <c r="H2680">
        <v>170.53</v>
      </c>
    </row>
    <row r="2681" spans="1:8" x14ac:dyDescent="0.3">
      <c r="A2681">
        <v>202204</v>
      </c>
      <c r="B2681" s="1">
        <v>44652</v>
      </c>
      <c r="C2681">
        <v>2022</v>
      </c>
      <c r="D2681" t="s">
        <v>11</v>
      </c>
      <c r="E2681" t="s">
        <v>21</v>
      </c>
      <c r="F2681" t="s">
        <v>40</v>
      </c>
      <c r="G2681" t="s">
        <v>8</v>
      </c>
      <c r="H2681">
        <v>310.75</v>
      </c>
    </row>
    <row r="2682" spans="1:8" x14ac:dyDescent="0.3">
      <c r="A2682">
        <v>202205</v>
      </c>
      <c r="B2682" s="1">
        <v>44682</v>
      </c>
      <c r="C2682">
        <v>2022</v>
      </c>
      <c r="D2682" t="s">
        <v>12</v>
      </c>
      <c r="E2682" t="s">
        <v>21</v>
      </c>
      <c r="F2682" t="s">
        <v>40</v>
      </c>
      <c r="G2682" t="s">
        <v>8</v>
      </c>
      <c r="H2682">
        <v>215.79</v>
      </c>
    </row>
    <row r="2683" spans="1:8" x14ac:dyDescent="0.3">
      <c r="A2683">
        <v>202206</v>
      </c>
      <c r="B2683" s="1">
        <v>44713</v>
      </c>
      <c r="C2683">
        <v>2022</v>
      </c>
      <c r="D2683" t="s">
        <v>13</v>
      </c>
      <c r="E2683" t="s">
        <v>21</v>
      </c>
      <c r="F2683" t="s">
        <v>40</v>
      </c>
      <c r="G2683" t="s">
        <v>8</v>
      </c>
      <c r="H2683">
        <v>204.59</v>
      </c>
    </row>
    <row r="2684" spans="1:8" x14ac:dyDescent="0.3">
      <c r="A2684">
        <v>202207</v>
      </c>
      <c r="B2684" s="1">
        <v>44743</v>
      </c>
      <c r="C2684">
        <v>2022</v>
      </c>
      <c r="D2684" t="s">
        <v>14</v>
      </c>
      <c r="E2684" t="s">
        <v>21</v>
      </c>
      <c r="F2684" t="s">
        <v>40</v>
      </c>
      <c r="G2684" t="s">
        <v>8</v>
      </c>
      <c r="H2684">
        <v>211.58</v>
      </c>
    </row>
    <row r="2685" spans="1:8" x14ac:dyDescent="0.3">
      <c r="A2685">
        <v>202208</v>
      </c>
      <c r="B2685" s="1">
        <v>44774</v>
      </c>
      <c r="C2685">
        <v>2022</v>
      </c>
      <c r="D2685" t="s">
        <v>15</v>
      </c>
      <c r="E2685" t="s">
        <v>21</v>
      </c>
      <c r="F2685" t="s">
        <v>40</v>
      </c>
      <c r="G2685" t="s">
        <v>8</v>
      </c>
      <c r="H2685">
        <v>210.25</v>
      </c>
    </row>
    <row r="2686" spans="1:8" x14ac:dyDescent="0.3">
      <c r="A2686">
        <v>202209</v>
      </c>
      <c r="B2686" s="1">
        <v>44805</v>
      </c>
      <c r="C2686">
        <v>2022</v>
      </c>
      <c r="D2686" t="s">
        <v>16</v>
      </c>
      <c r="E2686" t="s">
        <v>21</v>
      </c>
      <c r="F2686" t="s">
        <v>40</v>
      </c>
      <c r="G2686" t="s">
        <v>8</v>
      </c>
      <c r="H2686">
        <v>178.82</v>
      </c>
    </row>
    <row r="2687" spans="1:8" x14ac:dyDescent="0.3">
      <c r="A2687">
        <v>202210</v>
      </c>
      <c r="B2687" s="1">
        <v>44835</v>
      </c>
      <c r="C2687">
        <v>2022</v>
      </c>
      <c r="D2687" t="s">
        <v>17</v>
      </c>
      <c r="E2687" t="s">
        <v>21</v>
      </c>
      <c r="F2687" t="s">
        <v>40</v>
      </c>
      <c r="G2687" t="s">
        <v>8</v>
      </c>
      <c r="H2687">
        <v>207.02</v>
      </c>
    </row>
    <row r="2688" spans="1:8" x14ac:dyDescent="0.3">
      <c r="A2688">
        <v>202211</v>
      </c>
      <c r="B2688" s="1">
        <v>44866</v>
      </c>
      <c r="C2688">
        <v>2022</v>
      </c>
      <c r="D2688" t="s">
        <v>18</v>
      </c>
      <c r="E2688" t="s">
        <v>21</v>
      </c>
      <c r="F2688" t="s">
        <v>40</v>
      </c>
      <c r="G2688" t="s">
        <v>8</v>
      </c>
      <c r="H2688">
        <v>215.33</v>
      </c>
    </row>
    <row r="2689" spans="1:8" x14ac:dyDescent="0.3">
      <c r="A2689">
        <v>202212</v>
      </c>
      <c r="B2689" s="1">
        <v>44896</v>
      </c>
      <c r="C2689">
        <v>2022</v>
      </c>
      <c r="D2689" t="s">
        <v>19</v>
      </c>
      <c r="E2689" t="s">
        <v>21</v>
      </c>
      <c r="F2689" t="s">
        <v>40</v>
      </c>
      <c r="G2689" t="s">
        <v>8</v>
      </c>
      <c r="H2689">
        <v>192.08</v>
      </c>
    </row>
    <row r="2690" spans="1:8" x14ac:dyDescent="0.3">
      <c r="A2690">
        <v>202201</v>
      </c>
      <c r="B2690" s="1">
        <v>44562</v>
      </c>
      <c r="C2690">
        <v>2022</v>
      </c>
      <c r="D2690" t="s">
        <v>6</v>
      </c>
      <c r="E2690" t="s">
        <v>21</v>
      </c>
      <c r="F2690" t="s">
        <v>40</v>
      </c>
      <c r="G2690" t="s">
        <v>8</v>
      </c>
      <c r="H2690">
        <v>334.63</v>
      </c>
    </row>
    <row r="2691" spans="1:8" x14ac:dyDescent="0.3">
      <c r="A2691">
        <v>202202</v>
      </c>
      <c r="B2691" s="1">
        <v>44593</v>
      </c>
      <c r="C2691">
        <v>2022</v>
      </c>
      <c r="D2691" t="s">
        <v>9</v>
      </c>
      <c r="E2691" t="s">
        <v>21</v>
      </c>
      <c r="F2691" t="s">
        <v>40</v>
      </c>
      <c r="G2691" t="s">
        <v>8</v>
      </c>
      <c r="H2691">
        <v>203.7</v>
      </c>
    </row>
    <row r="2692" spans="1:8" x14ac:dyDescent="0.3">
      <c r="A2692">
        <v>202203</v>
      </c>
      <c r="B2692" s="1">
        <v>44621</v>
      </c>
      <c r="C2692">
        <v>2022</v>
      </c>
      <c r="D2692" t="s">
        <v>10</v>
      </c>
      <c r="E2692" t="s">
        <v>21</v>
      </c>
      <c r="F2692" t="s">
        <v>40</v>
      </c>
      <c r="G2692" t="s">
        <v>8</v>
      </c>
      <c r="H2692">
        <v>206.22</v>
      </c>
    </row>
    <row r="2693" spans="1:8" x14ac:dyDescent="0.3">
      <c r="A2693">
        <v>202204</v>
      </c>
      <c r="B2693" s="1">
        <v>44652</v>
      </c>
      <c r="C2693">
        <v>2022</v>
      </c>
      <c r="D2693" t="s">
        <v>11</v>
      </c>
      <c r="E2693" t="s">
        <v>21</v>
      </c>
      <c r="F2693" t="s">
        <v>40</v>
      </c>
      <c r="G2693" t="s">
        <v>8</v>
      </c>
      <c r="H2693">
        <v>348.58</v>
      </c>
    </row>
    <row r="2694" spans="1:8" x14ac:dyDescent="0.3">
      <c r="A2694">
        <v>202205</v>
      </c>
      <c r="B2694" s="1">
        <v>44682</v>
      </c>
      <c r="C2694">
        <v>2022</v>
      </c>
      <c r="D2694" t="s">
        <v>12</v>
      </c>
      <c r="E2694" t="s">
        <v>21</v>
      </c>
      <c r="F2694" t="s">
        <v>40</v>
      </c>
      <c r="G2694" t="s">
        <v>8</v>
      </c>
      <c r="H2694">
        <v>345.82</v>
      </c>
    </row>
    <row r="2695" spans="1:8" x14ac:dyDescent="0.3">
      <c r="A2695">
        <v>202206</v>
      </c>
      <c r="B2695" s="1">
        <v>44713</v>
      </c>
      <c r="C2695">
        <v>2022</v>
      </c>
      <c r="D2695" t="s">
        <v>13</v>
      </c>
      <c r="E2695" t="s">
        <v>21</v>
      </c>
      <c r="F2695" t="s">
        <v>40</v>
      </c>
      <c r="G2695" t="s">
        <v>8</v>
      </c>
      <c r="H2695">
        <v>265.38</v>
      </c>
    </row>
    <row r="2696" spans="1:8" x14ac:dyDescent="0.3">
      <c r="A2696">
        <v>202207</v>
      </c>
      <c r="B2696" s="1">
        <v>44743</v>
      </c>
      <c r="C2696">
        <v>2022</v>
      </c>
      <c r="D2696" t="s">
        <v>14</v>
      </c>
      <c r="E2696" t="s">
        <v>21</v>
      </c>
      <c r="F2696" t="s">
        <v>40</v>
      </c>
      <c r="G2696" t="s">
        <v>8</v>
      </c>
      <c r="H2696">
        <v>265.52999999999997</v>
      </c>
    </row>
    <row r="2697" spans="1:8" x14ac:dyDescent="0.3">
      <c r="A2697">
        <v>202208</v>
      </c>
      <c r="B2697" s="1">
        <v>44774</v>
      </c>
      <c r="C2697">
        <v>2022</v>
      </c>
      <c r="D2697" t="s">
        <v>15</v>
      </c>
      <c r="E2697" t="s">
        <v>21</v>
      </c>
      <c r="F2697" t="s">
        <v>40</v>
      </c>
      <c r="G2697" t="s">
        <v>8</v>
      </c>
      <c r="H2697">
        <v>309.72000000000003</v>
      </c>
    </row>
    <row r="2698" spans="1:8" x14ac:dyDescent="0.3">
      <c r="A2698">
        <v>202209</v>
      </c>
      <c r="B2698" s="1">
        <v>44805</v>
      </c>
      <c r="C2698">
        <v>2022</v>
      </c>
      <c r="D2698" t="s">
        <v>16</v>
      </c>
      <c r="E2698" t="s">
        <v>21</v>
      </c>
      <c r="F2698" t="s">
        <v>40</v>
      </c>
      <c r="G2698" t="s">
        <v>8</v>
      </c>
      <c r="H2698">
        <v>250.53</v>
      </c>
    </row>
    <row r="2699" spans="1:8" x14ac:dyDescent="0.3">
      <c r="A2699">
        <v>202210</v>
      </c>
      <c r="B2699" s="1">
        <v>44835</v>
      </c>
      <c r="C2699">
        <v>2022</v>
      </c>
      <c r="D2699" t="s">
        <v>17</v>
      </c>
      <c r="E2699" t="s">
        <v>21</v>
      </c>
      <c r="F2699" t="s">
        <v>40</v>
      </c>
      <c r="G2699" t="s">
        <v>8</v>
      </c>
      <c r="H2699">
        <v>278.69</v>
      </c>
    </row>
    <row r="2700" spans="1:8" x14ac:dyDescent="0.3">
      <c r="A2700">
        <v>202211</v>
      </c>
      <c r="B2700" s="1">
        <v>44866</v>
      </c>
      <c r="C2700">
        <v>2022</v>
      </c>
      <c r="D2700" t="s">
        <v>18</v>
      </c>
      <c r="E2700" t="s">
        <v>21</v>
      </c>
      <c r="F2700" t="s">
        <v>40</v>
      </c>
      <c r="G2700" t="s">
        <v>8</v>
      </c>
      <c r="H2700">
        <v>347.25</v>
      </c>
    </row>
    <row r="2701" spans="1:8" x14ac:dyDescent="0.3">
      <c r="A2701">
        <v>202212</v>
      </c>
      <c r="B2701" s="1">
        <v>44896</v>
      </c>
      <c r="C2701">
        <v>2022</v>
      </c>
      <c r="D2701" t="s">
        <v>19</v>
      </c>
      <c r="E2701" t="s">
        <v>21</v>
      </c>
      <c r="F2701" t="s">
        <v>40</v>
      </c>
      <c r="G2701" t="s">
        <v>8</v>
      </c>
      <c r="H2701">
        <v>371.83</v>
      </c>
    </row>
    <row r="2702" spans="1:8" x14ac:dyDescent="0.3">
      <c r="A2702">
        <v>202201</v>
      </c>
      <c r="B2702" s="1">
        <v>44562</v>
      </c>
      <c r="C2702">
        <v>2022</v>
      </c>
      <c r="D2702" t="s">
        <v>6</v>
      </c>
      <c r="E2702" t="s">
        <v>21</v>
      </c>
      <c r="F2702" t="s">
        <v>40</v>
      </c>
      <c r="G2702" t="s">
        <v>8</v>
      </c>
      <c r="H2702">
        <v>706.92</v>
      </c>
    </row>
    <row r="2703" spans="1:8" x14ac:dyDescent="0.3">
      <c r="A2703">
        <v>202202</v>
      </c>
      <c r="B2703" s="1">
        <v>44593</v>
      </c>
      <c r="C2703">
        <v>2022</v>
      </c>
      <c r="D2703" t="s">
        <v>9</v>
      </c>
      <c r="E2703" t="s">
        <v>21</v>
      </c>
      <c r="F2703" t="s">
        <v>40</v>
      </c>
      <c r="G2703" t="s">
        <v>8</v>
      </c>
      <c r="H2703">
        <v>567.72</v>
      </c>
    </row>
    <row r="2704" spans="1:8" x14ac:dyDescent="0.3">
      <c r="A2704">
        <v>202203</v>
      </c>
      <c r="B2704" s="1">
        <v>44621</v>
      </c>
      <c r="C2704">
        <v>2022</v>
      </c>
      <c r="D2704" t="s">
        <v>10</v>
      </c>
      <c r="E2704" t="s">
        <v>21</v>
      </c>
      <c r="F2704" t="s">
        <v>40</v>
      </c>
      <c r="G2704" t="s">
        <v>8</v>
      </c>
      <c r="H2704">
        <v>619.30999999999995</v>
      </c>
    </row>
    <row r="2705" spans="1:8" x14ac:dyDescent="0.3">
      <c r="A2705">
        <v>202204</v>
      </c>
      <c r="B2705" s="1">
        <v>44652</v>
      </c>
      <c r="C2705">
        <v>2022</v>
      </c>
      <c r="D2705" t="s">
        <v>11</v>
      </c>
      <c r="E2705" t="s">
        <v>21</v>
      </c>
      <c r="F2705" t="s">
        <v>40</v>
      </c>
      <c r="G2705" t="s">
        <v>8</v>
      </c>
      <c r="H2705">
        <v>920.58</v>
      </c>
    </row>
    <row r="2706" spans="1:8" x14ac:dyDescent="0.3">
      <c r="A2706">
        <v>202205</v>
      </c>
      <c r="B2706" s="1">
        <v>44682</v>
      </c>
      <c r="C2706">
        <v>2022</v>
      </c>
      <c r="D2706" t="s">
        <v>12</v>
      </c>
      <c r="E2706" t="s">
        <v>21</v>
      </c>
      <c r="F2706" t="s">
        <v>40</v>
      </c>
      <c r="G2706" t="s">
        <v>8</v>
      </c>
      <c r="H2706">
        <v>713.65</v>
      </c>
    </row>
    <row r="2707" spans="1:8" x14ac:dyDescent="0.3">
      <c r="A2707">
        <v>202206</v>
      </c>
      <c r="B2707" s="1">
        <v>44713</v>
      </c>
      <c r="C2707">
        <v>2022</v>
      </c>
      <c r="D2707" t="s">
        <v>13</v>
      </c>
      <c r="E2707" t="s">
        <v>21</v>
      </c>
      <c r="F2707" t="s">
        <v>40</v>
      </c>
      <c r="G2707" t="s">
        <v>8</v>
      </c>
      <c r="H2707">
        <v>795.17</v>
      </c>
    </row>
    <row r="2708" spans="1:8" x14ac:dyDescent="0.3">
      <c r="A2708">
        <v>202207</v>
      </c>
      <c r="B2708" s="1">
        <v>44743</v>
      </c>
      <c r="C2708">
        <v>2022</v>
      </c>
      <c r="D2708" t="s">
        <v>14</v>
      </c>
      <c r="E2708" t="s">
        <v>21</v>
      </c>
      <c r="F2708" t="s">
        <v>40</v>
      </c>
      <c r="G2708" t="s">
        <v>8</v>
      </c>
      <c r="H2708">
        <v>739.01</v>
      </c>
    </row>
    <row r="2709" spans="1:8" x14ac:dyDescent="0.3">
      <c r="A2709">
        <v>202208</v>
      </c>
      <c r="B2709" s="1">
        <v>44774</v>
      </c>
      <c r="C2709">
        <v>2022</v>
      </c>
      <c r="D2709" t="s">
        <v>15</v>
      </c>
      <c r="E2709" t="s">
        <v>21</v>
      </c>
      <c r="F2709" t="s">
        <v>40</v>
      </c>
      <c r="G2709" t="s">
        <v>8</v>
      </c>
      <c r="H2709">
        <v>801.18</v>
      </c>
    </row>
    <row r="2710" spans="1:8" x14ac:dyDescent="0.3">
      <c r="A2710">
        <v>202209</v>
      </c>
      <c r="B2710" s="1">
        <v>44805</v>
      </c>
      <c r="C2710">
        <v>2022</v>
      </c>
      <c r="D2710" t="s">
        <v>16</v>
      </c>
      <c r="E2710" t="s">
        <v>21</v>
      </c>
      <c r="F2710" t="s">
        <v>40</v>
      </c>
      <c r="G2710" t="s">
        <v>8</v>
      </c>
      <c r="H2710">
        <v>684.37</v>
      </c>
    </row>
    <row r="2711" spans="1:8" x14ac:dyDescent="0.3">
      <c r="A2711">
        <v>202210</v>
      </c>
      <c r="B2711" s="1">
        <v>44835</v>
      </c>
      <c r="C2711">
        <v>2022</v>
      </c>
      <c r="D2711" t="s">
        <v>17</v>
      </c>
      <c r="E2711" t="s">
        <v>21</v>
      </c>
      <c r="F2711" t="s">
        <v>40</v>
      </c>
      <c r="G2711" t="s">
        <v>8</v>
      </c>
      <c r="H2711">
        <v>671.53</v>
      </c>
    </row>
    <row r="2712" spans="1:8" x14ac:dyDescent="0.3">
      <c r="A2712">
        <v>202211</v>
      </c>
      <c r="B2712" s="1">
        <v>44866</v>
      </c>
      <c r="C2712">
        <v>2022</v>
      </c>
      <c r="D2712" t="s">
        <v>18</v>
      </c>
      <c r="E2712" t="s">
        <v>21</v>
      </c>
      <c r="F2712" t="s">
        <v>40</v>
      </c>
      <c r="G2712" t="s">
        <v>8</v>
      </c>
      <c r="H2712">
        <v>882.77</v>
      </c>
    </row>
    <row r="2713" spans="1:8" x14ac:dyDescent="0.3">
      <c r="A2713">
        <v>202212</v>
      </c>
      <c r="B2713" s="1">
        <v>44896</v>
      </c>
      <c r="C2713">
        <v>2022</v>
      </c>
      <c r="D2713" t="s">
        <v>19</v>
      </c>
      <c r="E2713" t="s">
        <v>21</v>
      </c>
      <c r="F2713" t="s">
        <v>40</v>
      </c>
      <c r="G2713" t="s">
        <v>8</v>
      </c>
      <c r="H2713">
        <v>652</v>
      </c>
    </row>
    <row r="2714" spans="1:8" x14ac:dyDescent="0.3">
      <c r="A2714">
        <v>202201</v>
      </c>
      <c r="B2714" s="1">
        <v>44562</v>
      </c>
      <c r="C2714">
        <v>2022</v>
      </c>
      <c r="D2714" t="s">
        <v>6</v>
      </c>
      <c r="E2714" t="s">
        <v>22</v>
      </c>
      <c r="F2714" t="s">
        <v>40</v>
      </c>
      <c r="G2714" t="s">
        <v>8</v>
      </c>
      <c r="H2714">
        <v>352.04</v>
      </c>
    </row>
    <row r="2715" spans="1:8" x14ac:dyDescent="0.3">
      <c r="A2715">
        <v>202202</v>
      </c>
      <c r="B2715" s="1">
        <v>44593</v>
      </c>
      <c r="C2715">
        <v>2022</v>
      </c>
      <c r="D2715" t="s">
        <v>9</v>
      </c>
      <c r="E2715" t="s">
        <v>22</v>
      </c>
      <c r="F2715" t="s">
        <v>40</v>
      </c>
      <c r="G2715" t="s">
        <v>8</v>
      </c>
      <c r="H2715">
        <v>231.69</v>
      </c>
    </row>
    <row r="2716" spans="1:8" x14ac:dyDescent="0.3">
      <c r="A2716">
        <v>202203</v>
      </c>
      <c r="B2716" s="1">
        <v>44621</v>
      </c>
      <c r="C2716">
        <v>2022</v>
      </c>
      <c r="D2716" t="s">
        <v>10</v>
      </c>
      <c r="E2716" t="s">
        <v>22</v>
      </c>
      <c r="F2716" t="s">
        <v>40</v>
      </c>
      <c r="G2716" t="s">
        <v>8</v>
      </c>
      <c r="H2716">
        <v>285.52</v>
      </c>
    </row>
    <row r="2717" spans="1:8" x14ac:dyDescent="0.3">
      <c r="A2717">
        <v>202204</v>
      </c>
      <c r="B2717" s="1">
        <v>44652</v>
      </c>
      <c r="C2717">
        <v>2022</v>
      </c>
      <c r="D2717" t="s">
        <v>11</v>
      </c>
      <c r="E2717" t="s">
        <v>22</v>
      </c>
      <c r="F2717" t="s">
        <v>40</v>
      </c>
      <c r="G2717" t="s">
        <v>8</v>
      </c>
      <c r="H2717">
        <v>394.67</v>
      </c>
    </row>
    <row r="2718" spans="1:8" x14ac:dyDescent="0.3">
      <c r="A2718">
        <v>202205</v>
      </c>
      <c r="B2718" s="1">
        <v>44682</v>
      </c>
      <c r="C2718">
        <v>2022</v>
      </c>
      <c r="D2718" t="s">
        <v>12</v>
      </c>
      <c r="E2718" t="s">
        <v>22</v>
      </c>
      <c r="F2718" t="s">
        <v>40</v>
      </c>
      <c r="G2718" t="s">
        <v>8</v>
      </c>
      <c r="H2718">
        <v>312.8</v>
      </c>
    </row>
    <row r="2719" spans="1:8" x14ac:dyDescent="0.3">
      <c r="A2719">
        <v>202206</v>
      </c>
      <c r="B2719" s="1">
        <v>44713</v>
      </c>
      <c r="C2719">
        <v>2022</v>
      </c>
      <c r="D2719" t="s">
        <v>13</v>
      </c>
      <c r="E2719" t="s">
        <v>22</v>
      </c>
      <c r="F2719" t="s">
        <v>40</v>
      </c>
      <c r="G2719" t="s">
        <v>8</v>
      </c>
      <c r="H2719">
        <v>338.49</v>
      </c>
    </row>
    <row r="2720" spans="1:8" x14ac:dyDescent="0.3">
      <c r="A2720">
        <v>202207</v>
      </c>
      <c r="B2720" s="1">
        <v>44743</v>
      </c>
      <c r="C2720">
        <v>2022</v>
      </c>
      <c r="D2720" t="s">
        <v>14</v>
      </c>
      <c r="E2720" t="s">
        <v>22</v>
      </c>
      <c r="F2720" t="s">
        <v>40</v>
      </c>
      <c r="G2720" t="s">
        <v>8</v>
      </c>
      <c r="H2720">
        <v>279.56</v>
      </c>
    </row>
    <row r="2721" spans="1:8" x14ac:dyDescent="0.3">
      <c r="A2721">
        <v>202208</v>
      </c>
      <c r="B2721" s="1">
        <v>44774</v>
      </c>
      <c r="C2721">
        <v>2022</v>
      </c>
      <c r="D2721" t="s">
        <v>15</v>
      </c>
      <c r="E2721" t="s">
        <v>22</v>
      </c>
      <c r="F2721" t="s">
        <v>40</v>
      </c>
      <c r="G2721" t="s">
        <v>8</v>
      </c>
      <c r="H2721">
        <v>355.35</v>
      </c>
    </row>
    <row r="2722" spans="1:8" x14ac:dyDescent="0.3">
      <c r="A2722">
        <v>202209</v>
      </c>
      <c r="B2722" s="1">
        <v>44805</v>
      </c>
      <c r="C2722">
        <v>2022</v>
      </c>
      <c r="D2722" t="s">
        <v>16</v>
      </c>
      <c r="E2722" t="s">
        <v>22</v>
      </c>
      <c r="F2722" t="s">
        <v>40</v>
      </c>
      <c r="G2722" t="s">
        <v>8</v>
      </c>
      <c r="H2722">
        <v>310.79000000000002</v>
      </c>
    </row>
    <row r="2723" spans="1:8" x14ac:dyDescent="0.3">
      <c r="A2723">
        <v>202210</v>
      </c>
      <c r="B2723" s="1">
        <v>44835</v>
      </c>
      <c r="C2723">
        <v>2022</v>
      </c>
      <c r="D2723" t="s">
        <v>17</v>
      </c>
      <c r="E2723" t="s">
        <v>22</v>
      </c>
      <c r="F2723" t="s">
        <v>40</v>
      </c>
      <c r="G2723" t="s">
        <v>8</v>
      </c>
      <c r="H2723">
        <v>298.16000000000003</v>
      </c>
    </row>
    <row r="2724" spans="1:8" x14ac:dyDescent="0.3">
      <c r="A2724">
        <v>202211</v>
      </c>
      <c r="B2724" s="1">
        <v>44866</v>
      </c>
      <c r="C2724">
        <v>2022</v>
      </c>
      <c r="D2724" t="s">
        <v>18</v>
      </c>
      <c r="E2724" t="s">
        <v>22</v>
      </c>
      <c r="F2724" t="s">
        <v>40</v>
      </c>
      <c r="G2724" t="s">
        <v>8</v>
      </c>
      <c r="H2724">
        <v>372.31</v>
      </c>
    </row>
    <row r="2725" spans="1:8" x14ac:dyDescent="0.3">
      <c r="A2725">
        <v>202212</v>
      </c>
      <c r="B2725" s="1">
        <v>44896</v>
      </c>
      <c r="C2725">
        <v>2022</v>
      </c>
      <c r="D2725" t="s">
        <v>19</v>
      </c>
      <c r="E2725" t="s">
        <v>22</v>
      </c>
      <c r="F2725" t="s">
        <v>40</v>
      </c>
      <c r="G2725" t="s">
        <v>8</v>
      </c>
      <c r="H2725">
        <v>375.27</v>
      </c>
    </row>
    <row r="2726" spans="1:8" x14ac:dyDescent="0.3">
      <c r="A2726">
        <v>202201</v>
      </c>
      <c r="B2726" s="1">
        <v>44562</v>
      </c>
      <c r="C2726">
        <v>2022</v>
      </c>
      <c r="D2726" t="s">
        <v>6</v>
      </c>
      <c r="E2726" t="s">
        <v>22</v>
      </c>
      <c r="F2726" t="s">
        <v>40</v>
      </c>
      <c r="G2726" t="s">
        <v>8</v>
      </c>
      <c r="H2726">
        <v>441.63</v>
      </c>
    </row>
    <row r="2727" spans="1:8" x14ac:dyDescent="0.3">
      <c r="A2727">
        <v>202202</v>
      </c>
      <c r="B2727" s="1">
        <v>44593</v>
      </c>
      <c r="C2727">
        <v>2022</v>
      </c>
      <c r="D2727" t="s">
        <v>9</v>
      </c>
      <c r="E2727" t="s">
        <v>22</v>
      </c>
      <c r="F2727" t="s">
        <v>40</v>
      </c>
      <c r="G2727" t="s">
        <v>8</v>
      </c>
      <c r="H2727">
        <v>283.43</v>
      </c>
    </row>
    <row r="2728" spans="1:8" x14ac:dyDescent="0.3">
      <c r="A2728">
        <v>202203</v>
      </c>
      <c r="B2728" s="1">
        <v>44621</v>
      </c>
      <c r="C2728">
        <v>2022</v>
      </c>
      <c r="D2728" t="s">
        <v>10</v>
      </c>
      <c r="E2728" t="s">
        <v>22</v>
      </c>
      <c r="F2728" t="s">
        <v>40</v>
      </c>
      <c r="G2728" t="s">
        <v>8</v>
      </c>
      <c r="H2728">
        <v>316.64</v>
      </c>
    </row>
    <row r="2729" spans="1:8" x14ac:dyDescent="0.3">
      <c r="A2729">
        <v>202204</v>
      </c>
      <c r="B2729" s="1">
        <v>44652</v>
      </c>
      <c r="C2729">
        <v>2022</v>
      </c>
      <c r="D2729" t="s">
        <v>11</v>
      </c>
      <c r="E2729" t="s">
        <v>22</v>
      </c>
      <c r="F2729" t="s">
        <v>40</v>
      </c>
      <c r="G2729" t="s">
        <v>8</v>
      </c>
      <c r="H2729">
        <v>583.33000000000004</v>
      </c>
    </row>
    <row r="2730" spans="1:8" x14ac:dyDescent="0.3">
      <c r="A2730">
        <v>202205</v>
      </c>
      <c r="B2730" s="1">
        <v>44682</v>
      </c>
      <c r="C2730">
        <v>2022</v>
      </c>
      <c r="D2730" t="s">
        <v>12</v>
      </c>
      <c r="E2730" t="s">
        <v>22</v>
      </c>
      <c r="F2730" t="s">
        <v>40</v>
      </c>
      <c r="G2730" t="s">
        <v>8</v>
      </c>
      <c r="H2730">
        <v>361.32</v>
      </c>
    </row>
    <row r="2731" spans="1:8" x14ac:dyDescent="0.3">
      <c r="A2731">
        <v>202206</v>
      </c>
      <c r="B2731" s="1">
        <v>44713</v>
      </c>
      <c r="C2731">
        <v>2022</v>
      </c>
      <c r="D2731" t="s">
        <v>13</v>
      </c>
      <c r="E2731" t="s">
        <v>22</v>
      </c>
      <c r="F2731" t="s">
        <v>40</v>
      </c>
      <c r="G2731" t="s">
        <v>8</v>
      </c>
      <c r="H2731">
        <v>388.38</v>
      </c>
    </row>
    <row r="2732" spans="1:8" x14ac:dyDescent="0.3">
      <c r="A2732">
        <v>202207</v>
      </c>
      <c r="B2732" s="1">
        <v>44743</v>
      </c>
      <c r="C2732">
        <v>2022</v>
      </c>
      <c r="D2732" t="s">
        <v>14</v>
      </c>
      <c r="E2732" t="s">
        <v>22</v>
      </c>
      <c r="F2732" t="s">
        <v>40</v>
      </c>
      <c r="G2732" t="s">
        <v>8</v>
      </c>
      <c r="H2732">
        <v>393.37</v>
      </c>
    </row>
    <row r="2733" spans="1:8" x14ac:dyDescent="0.3">
      <c r="A2733">
        <v>202208</v>
      </c>
      <c r="B2733" s="1">
        <v>44774</v>
      </c>
      <c r="C2733">
        <v>2022</v>
      </c>
      <c r="D2733" t="s">
        <v>15</v>
      </c>
      <c r="E2733" t="s">
        <v>22</v>
      </c>
      <c r="F2733" t="s">
        <v>40</v>
      </c>
      <c r="G2733" t="s">
        <v>8</v>
      </c>
      <c r="H2733">
        <v>422.54</v>
      </c>
    </row>
    <row r="2734" spans="1:8" x14ac:dyDescent="0.3">
      <c r="A2734">
        <v>202209</v>
      </c>
      <c r="B2734" s="1">
        <v>44805</v>
      </c>
      <c r="C2734">
        <v>2022</v>
      </c>
      <c r="D2734" t="s">
        <v>16</v>
      </c>
      <c r="E2734" t="s">
        <v>22</v>
      </c>
      <c r="F2734" t="s">
        <v>40</v>
      </c>
      <c r="G2734" t="s">
        <v>8</v>
      </c>
      <c r="H2734">
        <v>378.35</v>
      </c>
    </row>
    <row r="2735" spans="1:8" x14ac:dyDescent="0.3">
      <c r="A2735">
        <v>202210</v>
      </c>
      <c r="B2735" s="1">
        <v>44835</v>
      </c>
      <c r="C2735">
        <v>2022</v>
      </c>
      <c r="D2735" t="s">
        <v>17</v>
      </c>
      <c r="E2735" t="s">
        <v>22</v>
      </c>
      <c r="F2735" t="s">
        <v>40</v>
      </c>
      <c r="G2735" t="s">
        <v>8</v>
      </c>
      <c r="H2735">
        <v>325.44</v>
      </c>
    </row>
    <row r="2736" spans="1:8" x14ac:dyDescent="0.3">
      <c r="A2736">
        <v>202211</v>
      </c>
      <c r="B2736" s="1">
        <v>44866</v>
      </c>
      <c r="C2736">
        <v>2022</v>
      </c>
      <c r="D2736" t="s">
        <v>18</v>
      </c>
      <c r="E2736" t="s">
        <v>22</v>
      </c>
      <c r="F2736" t="s">
        <v>40</v>
      </c>
      <c r="G2736" t="s">
        <v>8</v>
      </c>
      <c r="H2736">
        <v>410.95</v>
      </c>
    </row>
    <row r="2737" spans="1:8" x14ac:dyDescent="0.3">
      <c r="A2737">
        <v>202212</v>
      </c>
      <c r="B2737" s="1">
        <v>44896</v>
      </c>
      <c r="C2737">
        <v>2022</v>
      </c>
      <c r="D2737" t="s">
        <v>19</v>
      </c>
      <c r="E2737" t="s">
        <v>22</v>
      </c>
      <c r="F2737" t="s">
        <v>40</v>
      </c>
      <c r="G2737" t="s">
        <v>8</v>
      </c>
      <c r="H2737">
        <v>366.36</v>
      </c>
    </row>
    <row r="2738" spans="1:8" x14ac:dyDescent="0.3">
      <c r="A2738">
        <v>202201</v>
      </c>
      <c r="B2738" s="1">
        <v>44562</v>
      </c>
      <c r="C2738">
        <v>2022</v>
      </c>
      <c r="D2738" t="s">
        <v>6</v>
      </c>
      <c r="E2738" t="s">
        <v>22</v>
      </c>
      <c r="F2738" t="s">
        <v>40</v>
      </c>
      <c r="G2738" t="s">
        <v>8</v>
      </c>
      <c r="H2738">
        <v>144.34</v>
      </c>
    </row>
    <row r="2739" spans="1:8" x14ac:dyDescent="0.3">
      <c r="A2739">
        <v>202202</v>
      </c>
      <c r="B2739" s="1">
        <v>44593</v>
      </c>
      <c r="C2739">
        <v>2022</v>
      </c>
      <c r="D2739" t="s">
        <v>9</v>
      </c>
      <c r="E2739" t="s">
        <v>22</v>
      </c>
      <c r="F2739" t="s">
        <v>40</v>
      </c>
      <c r="G2739" t="s">
        <v>8</v>
      </c>
      <c r="H2739">
        <v>78.150000000000006</v>
      </c>
    </row>
    <row r="2740" spans="1:8" x14ac:dyDescent="0.3">
      <c r="A2740">
        <v>202203</v>
      </c>
      <c r="B2740" s="1">
        <v>44621</v>
      </c>
      <c r="C2740">
        <v>2022</v>
      </c>
      <c r="D2740" t="s">
        <v>10</v>
      </c>
      <c r="E2740" t="s">
        <v>22</v>
      </c>
      <c r="F2740" t="s">
        <v>40</v>
      </c>
      <c r="G2740" t="s">
        <v>8</v>
      </c>
      <c r="H2740">
        <v>103.26</v>
      </c>
    </row>
    <row r="2741" spans="1:8" x14ac:dyDescent="0.3">
      <c r="A2741">
        <v>202204</v>
      </c>
      <c r="B2741" s="1">
        <v>44652</v>
      </c>
      <c r="C2741">
        <v>2022</v>
      </c>
      <c r="D2741" t="s">
        <v>11</v>
      </c>
      <c r="E2741" t="s">
        <v>22</v>
      </c>
      <c r="F2741" t="s">
        <v>40</v>
      </c>
      <c r="G2741" t="s">
        <v>8</v>
      </c>
      <c r="H2741">
        <v>152.04</v>
      </c>
    </row>
    <row r="2742" spans="1:8" x14ac:dyDescent="0.3">
      <c r="A2742">
        <v>202205</v>
      </c>
      <c r="B2742" s="1">
        <v>44682</v>
      </c>
      <c r="C2742">
        <v>2022</v>
      </c>
      <c r="D2742" t="s">
        <v>12</v>
      </c>
      <c r="E2742" t="s">
        <v>22</v>
      </c>
      <c r="F2742" t="s">
        <v>40</v>
      </c>
      <c r="G2742" t="s">
        <v>8</v>
      </c>
      <c r="H2742">
        <v>98.39</v>
      </c>
    </row>
    <row r="2743" spans="1:8" x14ac:dyDescent="0.3">
      <c r="A2743">
        <v>202206</v>
      </c>
      <c r="B2743" s="1">
        <v>44713</v>
      </c>
      <c r="C2743">
        <v>2022</v>
      </c>
      <c r="D2743" t="s">
        <v>13</v>
      </c>
      <c r="E2743" t="s">
        <v>22</v>
      </c>
      <c r="F2743" t="s">
        <v>40</v>
      </c>
      <c r="G2743" t="s">
        <v>8</v>
      </c>
      <c r="H2743">
        <v>106.51</v>
      </c>
    </row>
    <row r="2744" spans="1:8" x14ac:dyDescent="0.3">
      <c r="A2744">
        <v>202207</v>
      </c>
      <c r="B2744" s="1">
        <v>44743</v>
      </c>
      <c r="C2744">
        <v>2022</v>
      </c>
      <c r="D2744" t="s">
        <v>14</v>
      </c>
      <c r="E2744" t="s">
        <v>22</v>
      </c>
      <c r="F2744" t="s">
        <v>40</v>
      </c>
      <c r="G2744" t="s">
        <v>8</v>
      </c>
      <c r="H2744">
        <v>120.67</v>
      </c>
    </row>
    <row r="2745" spans="1:8" x14ac:dyDescent="0.3">
      <c r="A2745">
        <v>202208</v>
      </c>
      <c r="B2745" s="1">
        <v>44774</v>
      </c>
      <c r="C2745">
        <v>2022</v>
      </c>
      <c r="D2745" t="s">
        <v>15</v>
      </c>
      <c r="E2745" t="s">
        <v>22</v>
      </c>
      <c r="F2745" t="s">
        <v>40</v>
      </c>
      <c r="G2745" t="s">
        <v>8</v>
      </c>
      <c r="H2745">
        <v>158.30000000000001</v>
      </c>
    </row>
    <row r="2746" spans="1:8" x14ac:dyDescent="0.3">
      <c r="A2746">
        <v>202209</v>
      </c>
      <c r="B2746" s="1">
        <v>44805</v>
      </c>
      <c r="C2746">
        <v>2022</v>
      </c>
      <c r="D2746" t="s">
        <v>16</v>
      </c>
      <c r="E2746" t="s">
        <v>22</v>
      </c>
      <c r="F2746" t="s">
        <v>40</v>
      </c>
      <c r="G2746" t="s">
        <v>8</v>
      </c>
      <c r="H2746">
        <v>99.82</v>
      </c>
    </row>
    <row r="2747" spans="1:8" x14ac:dyDescent="0.3">
      <c r="A2747">
        <v>202210</v>
      </c>
      <c r="B2747" s="1">
        <v>44835</v>
      </c>
      <c r="C2747">
        <v>2022</v>
      </c>
      <c r="D2747" t="s">
        <v>17</v>
      </c>
      <c r="E2747" t="s">
        <v>22</v>
      </c>
      <c r="F2747" t="s">
        <v>40</v>
      </c>
      <c r="G2747" t="s">
        <v>8</v>
      </c>
      <c r="H2747">
        <v>116.82</v>
      </c>
    </row>
    <row r="2748" spans="1:8" x14ac:dyDescent="0.3">
      <c r="A2748">
        <v>202211</v>
      </c>
      <c r="B2748" s="1">
        <v>44866</v>
      </c>
      <c r="C2748">
        <v>2022</v>
      </c>
      <c r="D2748" t="s">
        <v>18</v>
      </c>
      <c r="E2748" t="s">
        <v>22</v>
      </c>
      <c r="F2748" t="s">
        <v>40</v>
      </c>
      <c r="G2748" t="s">
        <v>8</v>
      </c>
      <c r="H2748">
        <v>118.04</v>
      </c>
    </row>
    <row r="2749" spans="1:8" x14ac:dyDescent="0.3">
      <c r="A2749">
        <v>202212</v>
      </c>
      <c r="B2749" s="1">
        <v>44896</v>
      </c>
      <c r="C2749">
        <v>2022</v>
      </c>
      <c r="D2749" t="s">
        <v>19</v>
      </c>
      <c r="E2749" t="s">
        <v>22</v>
      </c>
      <c r="F2749" t="s">
        <v>40</v>
      </c>
      <c r="G2749" t="s">
        <v>8</v>
      </c>
      <c r="H2749">
        <v>79.58</v>
      </c>
    </row>
    <row r="2750" spans="1:8" x14ac:dyDescent="0.3">
      <c r="A2750">
        <v>202201</v>
      </c>
      <c r="B2750" s="1">
        <v>44562</v>
      </c>
      <c r="C2750">
        <v>2022</v>
      </c>
      <c r="D2750" t="s">
        <v>6</v>
      </c>
      <c r="E2750" t="s">
        <v>22</v>
      </c>
      <c r="F2750" t="s">
        <v>40</v>
      </c>
      <c r="G2750" t="s">
        <v>8</v>
      </c>
      <c r="H2750">
        <v>32.799999999999997</v>
      </c>
    </row>
    <row r="2751" spans="1:8" x14ac:dyDescent="0.3">
      <c r="A2751">
        <v>202202</v>
      </c>
      <c r="B2751" s="1">
        <v>44593</v>
      </c>
      <c r="C2751">
        <v>2022</v>
      </c>
      <c r="D2751" t="s">
        <v>9</v>
      </c>
      <c r="E2751" t="s">
        <v>22</v>
      </c>
      <c r="F2751" t="s">
        <v>40</v>
      </c>
      <c r="G2751" t="s">
        <v>8</v>
      </c>
      <c r="H2751">
        <v>20.93</v>
      </c>
    </row>
    <row r="2752" spans="1:8" x14ac:dyDescent="0.3">
      <c r="A2752">
        <v>202203</v>
      </c>
      <c r="B2752" s="1">
        <v>44621</v>
      </c>
      <c r="C2752">
        <v>2022</v>
      </c>
      <c r="D2752" t="s">
        <v>10</v>
      </c>
      <c r="E2752" t="s">
        <v>22</v>
      </c>
      <c r="F2752" t="s">
        <v>40</v>
      </c>
      <c r="G2752" t="s">
        <v>8</v>
      </c>
      <c r="H2752">
        <v>28.15</v>
      </c>
    </row>
    <row r="2753" spans="1:8" x14ac:dyDescent="0.3">
      <c r="A2753">
        <v>202204</v>
      </c>
      <c r="B2753" s="1">
        <v>44652</v>
      </c>
      <c r="C2753">
        <v>2022</v>
      </c>
      <c r="D2753" t="s">
        <v>11</v>
      </c>
      <c r="E2753" t="s">
        <v>22</v>
      </c>
      <c r="F2753" t="s">
        <v>40</v>
      </c>
      <c r="G2753" t="s">
        <v>8</v>
      </c>
      <c r="H2753">
        <v>43.66</v>
      </c>
    </row>
    <row r="2754" spans="1:8" x14ac:dyDescent="0.3">
      <c r="A2754">
        <v>202205</v>
      </c>
      <c r="B2754" s="1">
        <v>44682</v>
      </c>
      <c r="C2754">
        <v>2022</v>
      </c>
      <c r="D2754" t="s">
        <v>12</v>
      </c>
      <c r="E2754" t="s">
        <v>22</v>
      </c>
      <c r="F2754" t="s">
        <v>40</v>
      </c>
      <c r="G2754" t="s">
        <v>8</v>
      </c>
      <c r="H2754">
        <v>30.69</v>
      </c>
    </row>
    <row r="2755" spans="1:8" x14ac:dyDescent="0.3">
      <c r="A2755">
        <v>202206</v>
      </c>
      <c r="B2755" s="1">
        <v>44713</v>
      </c>
      <c r="C2755">
        <v>2022</v>
      </c>
      <c r="D2755" t="s">
        <v>13</v>
      </c>
      <c r="E2755" t="s">
        <v>22</v>
      </c>
      <c r="F2755" t="s">
        <v>40</v>
      </c>
      <c r="G2755" t="s">
        <v>8</v>
      </c>
      <c r="H2755">
        <v>31.4</v>
      </c>
    </row>
    <row r="2756" spans="1:8" x14ac:dyDescent="0.3">
      <c r="A2756">
        <v>202207</v>
      </c>
      <c r="B2756" s="1">
        <v>44743</v>
      </c>
      <c r="C2756">
        <v>2022</v>
      </c>
      <c r="D2756" t="s">
        <v>14</v>
      </c>
      <c r="E2756" t="s">
        <v>22</v>
      </c>
      <c r="F2756" t="s">
        <v>40</v>
      </c>
      <c r="G2756" t="s">
        <v>8</v>
      </c>
      <c r="H2756">
        <v>21.34</v>
      </c>
    </row>
    <row r="2757" spans="1:8" x14ac:dyDescent="0.3">
      <c r="A2757">
        <v>202208</v>
      </c>
      <c r="B2757" s="1">
        <v>44774</v>
      </c>
      <c r="C2757">
        <v>2022</v>
      </c>
      <c r="D2757" t="s">
        <v>15</v>
      </c>
      <c r="E2757" t="s">
        <v>22</v>
      </c>
      <c r="F2757" t="s">
        <v>40</v>
      </c>
      <c r="G2757" t="s">
        <v>8</v>
      </c>
      <c r="H2757">
        <v>34.57</v>
      </c>
    </row>
    <row r="2758" spans="1:8" x14ac:dyDescent="0.3">
      <c r="A2758">
        <v>202209</v>
      </c>
      <c r="B2758" s="1">
        <v>44805</v>
      </c>
      <c r="C2758">
        <v>2022</v>
      </c>
      <c r="D2758" t="s">
        <v>16</v>
      </c>
      <c r="E2758" t="s">
        <v>22</v>
      </c>
      <c r="F2758" t="s">
        <v>40</v>
      </c>
      <c r="G2758" t="s">
        <v>8</v>
      </c>
      <c r="H2758">
        <v>18.059999999999999</v>
      </c>
    </row>
    <row r="2759" spans="1:8" x14ac:dyDescent="0.3">
      <c r="A2759">
        <v>202210</v>
      </c>
      <c r="B2759" s="1">
        <v>44835</v>
      </c>
      <c r="C2759">
        <v>2022</v>
      </c>
      <c r="D2759" t="s">
        <v>17</v>
      </c>
      <c r="E2759" t="s">
        <v>22</v>
      </c>
      <c r="F2759" t="s">
        <v>40</v>
      </c>
      <c r="G2759" t="s">
        <v>8</v>
      </c>
      <c r="H2759">
        <v>32.89</v>
      </c>
    </row>
    <row r="2760" spans="1:8" x14ac:dyDescent="0.3">
      <c r="A2760">
        <v>202211</v>
      </c>
      <c r="B2760" s="1">
        <v>44866</v>
      </c>
      <c r="C2760">
        <v>2022</v>
      </c>
      <c r="D2760" t="s">
        <v>18</v>
      </c>
      <c r="E2760" t="s">
        <v>22</v>
      </c>
      <c r="F2760" t="s">
        <v>40</v>
      </c>
      <c r="G2760" t="s">
        <v>8</v>
      </c>
      <c r="H2760">
        <v>33.049999999999997</v>
      </c>
    </row>
    <row r="2761" spans="1:8" x14ac:dyDescent="0.3">
      <c r="A2761">
        <v>202212</v>
      </c>
      <c r="B2761" s="1">
        <v>44896</v>
      </c>
      <c r="C2761">
        <v>2022</v>
      </c>
      <c r="D2761" t="s">
        <v>19</v>
      </c>
      <c r="E2761" t="s">
        <v>22</v>
      </c>
      <c r="F2761" t="s">
        <v>40</v>
      </c>
      <c r="G2761" t="s">
        <v>8</v>
      </c>
      <c r="H2761">
        <v>33.25</v>
      </c>
    </row>
    <row r="2762" spans="1:8" x14ac:dyDescent="0.3">
      <c r="A2762">
        <v>202201</v>
      </c>
      <c r="B2762" s="1">
        <v>44562</v>
      </c>
      <c r="C2762">
        <v>2022</v>
      </c>
      <c r="D2762" t="s">
        <v>6</v>
      </c>
      <c r="E2762" t="s">
        <v>23</v>
      </c>
      <c r="F2762" t="s">
        <v>40</v>
      </c>
      <c r="G2762" t="s">
        <v>8</v>
      </c>
      <c r="H2762">
        <v>43.49</v>
      </c>
    </row>
    <row r="2763" spans="1:8" x14ac:dyDescent="0.3">
      <c r="A2763">
        <v>202202</v>
      </c>
      <c r="B2763" s="1">
        <v>44593</v>
      </c>
      <c r="C2763">
        <v>2022</v>
      </c>
      <c r="D2763" t="s">
        <v>9</v>
      </c>
      <c r="E2763" t="s">
        <v>23</v>
      </c>
      <c r="F2763" t="s">
        <v>40</v>
      </c>
      <c r="G2763" t="s">
        <v>8</v>
      </c>
      <c r="H2763">
        <v>31.48</v>
      </c>
    </row>
    <row r="2764" spans="1:8" x14ac:dyDescent="0.3">
      <c r="A2764">
        <v>202203</v>
      </c>
      <c r="B2764" s="1">
        <v>44621</v>
      </c>
      <c r="C2764">
        <v>2022</v>
      </c>
      <c r="D2764" t="s">
        <v>10</v>
      </c>
      <c r="E2764" t="s">
        <v>23</v>
      </c>
      <c r="F2764" t="s">
        <v>40</v>
      </c>
      <c r="G2764" t="s">
        <v>8</v>
      </c>
      <c r="H2764">
        <v>31.29</v>
      </c>
    </row>
    <row r="2765" spans="1:8" x14ac:dyDescent="0.3">
      <c r="A2765">
        <v>202204</v>
      </c>
      <c r="B2765" s="1">
        <v>44652</v>
      </c>
      <c r="C2765">
        <v>2022</v>
      </c>
      <c r="D2765" t="s">
        <v>11</v>
      </c>
      <c r="E2765" t="s">
        <v>23</v>
      </c>
      <c r="F2765" t="s">
        <v>40</v>
      </c>
      <c r="G2765" t="s">
        <v>8</v>
      </c>
      <c r="H2765">
        <v>48.9</v>
      </c>
    </row>
    <row r="2766" spans="1:8" x14ac:dyDescent="0.3">
      <c r="A2766">
        <v>202205</v>
      </c>
      <c r="B2766" s="1">
        <v>44682</v>
      </c>
      <c r="C2766">
        <v>2022</v>
      </c>
      <c r="D2766" t="s">
        <v>12</v>
      </c>
      <c r="E2766" t="s">
        <v>23</v>
      </c>
      <c r="F2766" t="s">
        <v>40</v>
      </c>
      <c r="G2766" t="s">
        <v>8</v>
      </c>
      <c r="H2766">
        <v>34.549999999999997</v>
      </c>
    </row>
    <row r="2767" spans="1:8" x14ac:dyDescent="0.3">
      <c r="A2767">
        <v>202206</v>
      </c>
      <c r="B2767" s="1">
        <v>44713</v>
      </c>
      <c r="C2767">
        <v>2022</v>
      </c>
      <c r="D2767" t="s">
        <v>13</v>
      </c>
      <c r="E2767" t="s">
        <v>23</v>
      </c>
      <c r="F2767" t="s">
        <v>40</v>
      </c>
      <c r="G2767" t="s">
        <v>8</v>
      </c>
      <c r="H2767">
        <v>39.299999999999997</v>
      </c>
    </row>
    <row r="2768" spans="1:8" x14ac:dyDescent="0.3">
      <c r="A2768">
        <v>202207</v>
      </c>
      <c r="B2768" s="1">
        <v>44743</v>
      </c>
      <c r="C2768">
        <v>2022</v>
      </c>
      <c r="D2768" t="s">
        <v>14</v>
      </c>
      <c r="E2768" t="s">
        <v>23</v>
      </c>
      <c r="F2768" t="s">
        <v>40</v>
      </c>
      <c r="G2768" t="s">
        <v>8</v>
      </c>
      <c r="H2768">
        <v>44.06</v>
      </c>
    </row>
    <row r="2769" spans="1:8" x14ac:dyDescent="0.3">
      <c r="A2769">
        <v>202208</v>
      </c>
      <c r="B2769" s="1">
        <v>44774</v>
      </c>
      <c r="C2769">
        <v>2022</v>
      </c>
      <c r="D2769" t="s">
        <v>15</v>
      </c>
      <c r="E2769" t="s">
        <v>23</v>
      </c>
      <c r="F2769" t="s">
        <v>40</v>
      </c>
      <c r="G2769" t="s">
        <v>8</v>
      </c>
      <c r="H2769">
        <v>41.78</v>
      </c>
    </row>
    <row r="2770" spans="1:8" x14ac:dyDescent="0.3">
      <c r="A2770">
        <v>202209</v>
      </c>
      <c r="B2770" s="1">
        <v>44805</v>
      </c>
      <c r="C2770">
        <v>2022</v>
      </c>
      <c r="D2770" t="s">
        <v>16</v>
      </c>
      <c r="E2770" t="s">
        <v>23</v>
      </c>
      <c r="F2770" t="s">
        <v>40</v>
      </c>
      <c r="G2770" t="s">
        <v>8</v>
      </c>
      <c r="H2770">
        <v>37.590000000000003</v>
      </c>
    </row>
    <row r="2771" spans="1:8" x14ac:dyDescent="0.3">
      <c r="A2771">
        <v>202210</v>
      </c>
      <c r="B2771" s="1">
        <v>44835</v>
      </c>
      <c r="C2771">
        <v>2022</v>
      </c>
      <c r="D2771" t="s">
        <v>17</v>
      </c>
      <c r="E2771" t="s">
        <v>23</v>
      </c>
      <c r="F2771" t="s">
        <v>40</v>
      </c>
      <c r="G2771" t="s">
        <v>8</v>
      </c>
      <c r="H2771">
        <v>37.39</v>
      </c>
    </row>
    <row r="2772" spans="1:8" x14ac:dyDescent="0.3">
      <c r="A2772">
        <v>202211</v>
      </c>
      <c r="B2772" s="1">
        <v>44866</v>
      </c>
      <c r="C2772">
        <v>2022</v>
      </c>
      <c r="D2772" t="s">
        <v>18</v>
      </c>
      <c r="E2772" t="s">
        <v>23</v>
      </c>
      <c r="F2772" t="s">
        <v>40</v>
      </c>
      <c r="G2772" t="s">
        <v>8</v>
      </c>
      <c r="H2772">
        <v>42.95</v>
      </c>
    </row>
    <row r="2773" spans="1:8" x14ac:dyDescent="0.3">
      <c r="A2773">
        <v>202212</v>
      </c>
      <c r="B2773" s="1">
        <v>44896</v>
      </c>
      <c r="C2773">
        <v>2022</v>
      </c>
      <c r="D2773" t="s">
        <v>19</v>
      </c>
      <c r="E2773" t="s">
        <v>23</v>
      </c>
      <c r="F2773" t="s">
        <v>40</v>
      </c>
      <c r="G2773" t="s">
        <v>8</v>
      </c>
      <c r="H2773">
        <v>39.380000000000003</v>
      </c>
    </row>
    <row r="2774" spans="1:8" x14ac:dyDescent="0.3">
      <c r="A2774">
        <v>202201</v>
      </c>
      <c r="B2774" s="1">
        <v>44562</v>
      </c>
      <c r="C2774">
        <v>2022</v>
      </c>
      <c r="D2774" t="s">
        <v>6</v>
      </c>
      <c r="E2774" t="s">
        <v>23</v>
      </c>
      <c r="F2774" t="s">
        <v>40</v>
      </c>
      <c r="G2774" t="s">
        <v>8</v>
      </c>
      <c r="H2774">
        <v>419.48</v>
      </c>
    </row>
    <row r="2775" spans="1:8" x14ac:dyDescent="0.3">
      <c r="A2775">
        <v>202202</v>
      </c>
      <c r="B2775" s="1">
        <v>44593</v>
      </c>
      <c r="C2775">
        <v>2022</v>
      </c>
      <c r="D2775" t="s">
        <v>9</v>
      </c>
      <c r="E2775" t="s">
        <v>23</v>
      </c>
      <c r="F2775" t="s">
        <v>40</v>
      </c>
      <c r="G2775" t="s">
        <v>8</v>
      </c>
      <c r="H2775">
        <v>325.64</v>
      </c>
    </row>
    <row r="2776" spans="1:8" x14ac:dyDescent="0.3">
      <c r="A2776">
        <v>202203</v>
      </c>
      <c r="B2776" s="1">
        <v>44621</v>
      </c>
      <c r="C2776">
        <v>2022</v>
      </c>
      <c r="D2776" t="s">
        <v>10</v>
      </c>
      <c r="E2776" t="s">
        <v>23</v>
      </c>
      <c r="F2776" t="s">
        <v>40</v>
      </c>
      <c r="G2776" t="s">
        <v>8</v>
      </c>
      <c r="H2776">
        <v>313.13</v>
      </c>
    </row>
    <row r="2777" spans="1:8" x14ac:dyDescent="0.3">
      <c r="A2777">
        <v>202204</v>
      </c>
      <c r="B2777" s="1">
        <v>44652</v>
      </c>
      <c r="C2777">
        <v>2022</v>
      </c>
      <c r="D2777" t="s">
        <v>11</v>
      </c>
      <c r="E2777" t="s">
        <v>23</v>
      </c>
      <c r="F2777" t="s">
        <v>40</v>
      </c>
      <c r="G2777" t="s">
        <v>8</v>
      </c>
      <c r="H2777">
        <v>407.39</v>
      </c>
    </row>
    <row r="2778" spans="1:8" x14ac:dyDescent="0.3">
      <c r="A2778">
        <v>202205</v>
      </c>
      <c r="B2778" s="1">
        <v>44682</v>
      </c>
      <c r="C2778">
        <v>2022</v>
      </c>
      <c r="D2778" t="s">
        <v>12</v>
      </c>
      <c r="E2778" t="s">
        <v>23</v>
      </c>
      <c r="F2778" t="s">
        <v>40</v>
      </c>
      <c r="G2778" t="s">
        <v>8</v>
      </c>
      <c r="H2778">
        <v>468.18</v>
      </c>
    </row>
    <row r="2779" spans="1:8" x14ac:dyDescent="0.3">
      <c r="A2779">
        <v>202206</v>
      </c>
      <c r="B2779" s="1">
        <v>44713</v>
      </c>
      <c r="C2779">
        <v>2022</v>
      </c>
      <c r="D2779" t="s">
        <v>13</v>
      </c>
      <c r="E2779" t="s">
        <v>23</v>
      </c>
      <c r="F2779" t="s">
        <v>40</v>
      </c>
      <c r="G2779" t="s">
        <v>8</v>
      </c>
      <c r="H2779">
        <v>379.1</v>
      </c>
    </row>
    <row r="2780" spans="1:8" x14ac:dyDescent="0.3">
      <c r="A2780">
        <v>202207</v>
      </c>
      <c r="B2780" s="1">
        <v>44743</v>
      </c>
      <c r="C2780">
        <v>2022</v>
      </c>
      <c r="D2780" t="s">
        <v>14</v>
      </c>
      <c r="E2780" t="s">
        <v>23</v>
      </c>
      <c r="F2780" t="s">
        <v>40</v>
      </c>
      <c r="G2780" t="s">
        <v>8</v>
      </c>
      <c r="H2780">
        <v>438.28</v>
      </c>
    </row>
    <row r="2781" spans="1:8" x14ac:dyDescent="0.3">
      <c r="A2781">
        <v>202208</v>
      </c>
      <c r="B2781" s="1">
        <v>44774</v>
      </c>
      <c r="C2781">
        <v>2022</v>
      </c>
      <c r="D2781" t="s">
        <v>15</v>
      </c>
      <c r="E2781" t="s">
        <v>23</v>
      </c>
      <c r="F2781" t="s">
        <v>40</v>
      </c>
      <c r="G2781" t="s">
        <v>8</v>
      </c>
      <c r="H2781">
        <v>418.34</v>
      </c>
    </row>
    <row r="2782" spans="1:8" x14ac:dyDescent="0.3">
      <c r="A2782">
        <v>202209</v>
      </c>
      <c r="B2782" s="1">
        <v>44805</v>
      </c>
      <c r="C2782">
        <v>2022</v>
      </c>
      <c r="D2782" t="s">
        <v>16</v>
      </c>
      <c r="E2782" t="s">
        <v>23</v>
      </c>
      <c r="F2782" t="s">
        <v>40</v>
      </c>
      <c r="G2782" t="s">
        <v>8</v>
      </c>
      <c r="H2782">
        <v>372.29</v>
      </c>
    </row>
    <row r="2783" spans="1:8" x14ac:dyDescent="0.3">
      <c r="A2783">
        <v>202210</v>
      </c>
      <c r="B2783" s="1">
        <v>44835</v>
      </c>
      <c r="C2783">
        <v>2022</v>
      </c>
      <c r="D2783" t="s">
        <v>17</v>
      </c>
      <c r="E2783" t="s">
        <v>23</v>
      </c>
      <c r="F2783" t="s">
        <v>40</v>
      </c>
      <c r="G2783" t="s">
        <v>8</v>
      </c>
      <c r="H2783">
        <v>426.3</v>
      </c>
    </row>
    <row r="2784" spans="1:8" x14ac:dyDescent="0.3">
      <c r="A2784">
        <v>202211</v>
      </c>
      <c r="B2784" s="1">
        <v>44866</v>
      </c>
      <c r="C2784">
        <v>2022</v>
      </c>
      <c r="D2784" t="s">
        <v>18</v>
      </c>
      <c r="E2784" t="s">
        <v>23</v>
      </c>
      <c r="F2784" t="s">
        <v>40</v>
      </c>
      <c r="G2784" t="s">
        <v>8</v>
      </c>
      <c r="H2784">
        <v>392.71</v>
      </c>
    </row>
    <row r="2785" spans="1:8" x14ac:dyDescent="0.3">
      <c r="A2785">
        <v>202212</v>
      </c>
      <c r="B2785" s="1">
        <v>44896</v>
      </c>
      <c r="C2785">
        <v>2022</v>
      </c>
      <c r="D2785" t="s">
        <v>19</v>
      </c>
      <c r="E2785" t="s">
        <v>23</v>
      </c>
      <c r="F2785" t="s">
        <v>40</v>
      </c>
      <c r="G2785" t="s">
        <v>8</v>
      </c>
      <c r="H2785">
        <v>412.99</v>
      </c>
    </row>
    <row r="2786" spans="1:8" x14ac:dyDescent="0.3">
      <c r="A2786">
        <v>202201</v>
      </c>
      <c r="B2786" s="1">
        <v>44562</v>
      </c>
      <c r="C2786">
        <v>2022</v>
      </c>
      <c r="D2786" t="s">
        <v>6</v>
      </c>
      <c r="E2786" t="s">
        <v>23</v>
      </c>
      <c r="F2786" t="s">
        <v>40</v>
      </c>
      <c r="G2786" t="s">
        <v>8</v>
      </c>
      <c r="H2786">
        <v>1318.67</v>
      </c>
    </row>
    <row r="2787" spans="1:8" x14ac:dyDescent="0.3">
      <c r="A2787">
        <v>202202</v>
      </c>
      <c r="B2787" s="1">
        <v>44593</v>
      </c>
      <c r="C2787">
        <v>2022</v>
      </c>
      <c r="D2787" t="s">
        <v>9</v>
      </c>
      <c r="E2787" t="s">
        <v>23</v>
      </c>
      <c r="F2787" t="s">
        <v>40</v>
      </c>
      <c r="G2787" t="s">
        <v>8</v>
      </c>
      <c r="H2787">
        <v>929.38</v>
      </c>
    </row>
    <row r="2788" spans="1:8" x14ac:dyDescent="0.3">
      <c r="A2788">
        <v>202203</v>
      </c>
      <c r="B2788" s="1">
        <v>44621</v>
      </c>
      <c r="C2788">
        <v>2022</v>
      </c>
      <c r="D2788" t="s">
        <v>10</v>
      </c>
      <c r="E2788" t="s">
        <v>23</v>
      </c>
      <c r="F2788" t="s">
        <v>40</v>
      </c>
      <c r="G2788" t="s">
        <v>8</v>
      </c>
      <c r="H2788">
        <v>1194.8499999999999</v>
      </c>
    </row>
    <row r="2789" spans="1:8" x14ac:dyDescent="0.3">
      <c r="A2789">
        <v>202204</v>
      </c>
      <c r="B2789" s="1">
        <v>44652</v>
      </c>
      <c r="C2789">
        <v>2022</v>
      </c>
      <c r="D2789" t="s">
        <v>11</v>
      </c>
      <c r="E2789" t="s">
        <v>23</v>
      </c>
      <c r="F2789" t="s">
        <v>40</v>
      </c>
      <c r="G2789" t="s">
        <v>8</v>
      </c>
      <c r="H2789">
        <v>1645.56</v>
      </c>
    </row>
    <row r="2790" spans="1:8" x14ac:dyDescent="0.3">
      <c r="A2790">
        <v>202205</v>
      </c>
      <c r="B2790" s="1">
        <v>44682</v>
      </c>
      <c r="C2790">
        <v>2022</v>
      </c>
      <c r="D2790" t="s">
        <v>12</v>
      </c>
      <c r="E2790" t="s">
        <v>23</v>
      </c>
      <c r="F2790" t="s">
        <v>40</v>
      </c>
      <c r="G2790" t="s">
        <v>8</v>
      </c>
      <c r="H2790">
        <v>1222.5999999999999</v>
      </c>
    </row>
    <row r="2791" spans="1:8" x14ac:dyDescent="0.3">
      <c r="A2791">
        <v>202206</v>
      </c>
      <c r="B2791" s="1">
        <v>44713</v>
      </c>
      <c r="C2791">
        <v>2022</v>
      </c>
      <c r="D2791" t="s">
        <v>13</v>
      </c>
      <c r="E2791" t="s">
        <v>23</v>
      </c>
      <c r="F2791" t="s">
        <v>40</v>
      </c>
      <c r="G2791" t="s">
        <v>8</v>
      </c>
      <c r="H2791">
        <v>1415.95</v>
      </c>
    </row>
    <row r="2792" spans="1:8" x14ac:dyDescent="0.3">
      <c r="A2792">
        <v>202207</v>
      </c>
      <c r="B2792" s="1">
        <v>44743</v>
      </c>
      <c r="C2792">
        <v>2022</v>
      </c>
      <c r="D2792" t="s">
        <v>14</v>
      </c>
      <c r="E2792" t="s">
        <v>23</v>
      </c>
      <c r="F2792" t="s">
        <v>40</v>
      </c>
      <c r="G2792" t="s">
        <v>8</v>
      </c>
      <c r="H2792">
        <v>1592.73</v>
      </c>
    </row>
    <row r="2793" spans="1:8" x14ac:dyDescent="0.3">
      <c r="A2793">
        <v>202208</v>
      </c>
      <c r="B2793" s="1">
        <v>44774</v>
      </c>
      <c r="C2793">
        <v>2022</v>
      </c>
      <c r="D2793" t="s">
        <v>15</v>
      </c>
      <c r="E2793" t="s">
        <v>23</v>
      </c>
      <c r="F2793" t="s">
        <v>40</v>
      </c>
      <c r="G2793" t="s">
        <v>8</v>
      </c>
      <c r="H2793">
        <v>1308.8900000000001</v>
      </c>
    </row>
    <row r="2794" spans="1:8" x14ac:dyDescent="0.3">
      <c r="A2794">
        <v>202209</v>
      </c>
      <c r="B2794" s="1">
        <v>44805</v>
      </c>
      <c r="C2794">
        <v>2022</v>
      </c>
      <c r="D2794" t="s">
        <v>16</v>
      </c>
      <c r="E2794" t="s">
        <v>23</v>
      </c>
      <c r="F2794" t="s">
        <v>40</v>
      </c>
      <c r="G2794" t="s">
        <v>8</v>
      </c>
      <c r="H2794">
        <v>1102.03</v>
      </c>
    </row>
    <row r="2795" spans="1:8" x14ac:dyDescent="0.3">
      <c r="A2795">
        <v>202210</v>
      </c>
      <c r="B2795" s="1">
        <v>44835</v>
      </c>
      <c r="C2795">
        <v>2022</v>
      </c>
      <c r="D2795" t="s">
        <v>17</v>
      </c>
      <c r="E2795" t="s">
        <v>23</v>
      </c>
      <c r="F2795" t="s">
        <v>40</v>
      </c>
      <c r="G2795" t="s">
        <v>8</v>
      </c>
      <c r="H2795">
        <v>1486.42</v>
      </c>
    </row>
    <row r="2796" spans="1:8" x14ac:dyDescent="0.3">
      <c r="A2796">
        <v>202211</v>
      </c>
      <c r="B2796" s="1">
        <v>44866</v>
      </c>
      <c r="C2796">
        <v>2022</v>
      </c>
      <c r="D2796" t="s">
        <v>18</v>
      </c>
      <c r="E2796" t="s">
        <v>23</v>
      </c>
      <c r="F2796" t="s">
        <v>40</v>
      </c>
      <c r="G2796" t="s">
        <v>8</v>
      </c>
      <c r="H2796">
        <v>1438.9</v>
      </c>
    </row>
    <row r="2797" spans="1:8" x14ac:dyDescent="0.3">
      <c r="A2797">
        <v>202212</v>
      </c>
      <c r="B2797" s="1">
        <v>44896</v>
      </c>
      <c r="C2797">
        <v>2022</v>
      </c>
      <c r="D2797" t="s">
        <v>19</v>
      </c>
      <c r="E2797" t="s">
        <v>23</v>
      </c>
      <c r="F2797" t="s">
        <v>40</v>
      </c>
      <c r="G2797" t="s">
        <v>8</v>
      </c>
      <c r="H2797">
        <v>1177.7</v>
      </c>
    </row>
    <row r="2798" spans="1:8" x14ac:dyDescent="0.3">
      <c r="A2798">
        <v>202201</v>
      </c>
      <c r="B2798" s="1">
        <v>44562</v>
      </c>
      <c r="C2798">
        <v>2022</v>
      </c>
      <c r="D2798" t="s">
        <v>6</v>
      </c>
      <c r="E2798" t="s">
        <v>23</v>
      </c>
      <c r="F2798" t="s">
        <v>40</v>
      </c>
      <c r="G2798" t="s">
        <v>8</v>
      </c>
      <c r="H2798">
        <v>620.95000000000005</v>
      </c>
    </row>
    <row r="2799" spans="1:8" x14ac:dyDescent="0.3">
      <c r="A2799">
        <v>202202</v>
      </c>
      <c r="B2799" s="1">
        <v>44593</v>
      </c>
      <c r="C2799">
        <v>2022</v>
      </c>
      <c r="D2799" t="s">
        <v>9</v>
      </c>
      <c r="E2799" t="s">
        <v>23</v>
      </c>
      <c r="F2799" t="s">
        <v>40</v>
      </c>
      <c r="G2799" t="s">
        <v>8</v>
      </c>
      <c r="H2799">
        <v>393.15</v>
      </c>
    </row>
    <row r="2800" spans="1:8" x14ac:dyDescent="0.3">
      <c r="A2800">
        <v>202203</v>
      </c>
      <c r="B2800" s="1">
        <v>44621</v>
      </c>
      <c r="C2800">
        <v>2022</v>
      </c>
      <c r="D2800" t="s">
        <v>10</v>
      </c>
      <c r="E2800" t="s">
        <v>23</v>
      </c>
      <c r="F2800" t="s">
        <v>40</v>
      </c>
      <c r="G2800" t="s">
        <v>8</v>
      </c>
      <c r="H2800">
        <v>465.94</v>
      </c>
    </row>
    <row r="2801" spans="1:8" x14ac:dyDescent="0.3">
      <c r="A2801">
        <v>202204</v>
      </c>
      <c r="B2801" s="1">
        <v>44652</v>
      </c>
      <c r="C2801">
        <v>2022</v>
      </c>
      <c r="D2801" t="s">
        <v>11</v>
      </c>
      <c r="E2801" t="s">
        <v>23</v>
      </c>
      <c r="F2801" t="s">
        <v>40</v>
      </c>
      <c r="G2801" t="s">
        <v>8</v>
      </c>
      <c r="H2801">
        <v>691.25</v>
      </c>
    </row>
    <row r="2802" spans="1:8" x14ac:dyDescent="0.3">
      <c r="A2802">
        <v>202205</v>
      </c>
      <c r="B2802" s="1">
        <v>44682</v>
      </c>
      <c r="C2802">
        <v>2022</v>
      </c>
      <c r="D2802" t="s">
        <v>12</v>
      </c>
      <c r="E2802" t="s">
        <v>23</v>
      </c>
      <c r="F2802" t="s">
        <v>40</v>
      </c>
      <c r="G2802" t="s">
        <v>8</v>
      </c>
      <c r="H2802">
        <v>663.5</v>
      </c>
    </row>
    <row r="2803" spans="1:8" x14ac:dyDescent="0.3">
      <c r="A2803">
        <v>202206</v>
      </c>
      <c r="B2803" s="1">
        <v>44713</v>
      </c>
      <c r="C2803">
        <v>2022</v>
      </c>
      <c r="D2803" t="s">
        <v>13</v>
      </c>
      <c r="E2803" t="s">
        <v>23</v>
      </c>
      <c r="F2803" t="s">
        <v>40</v>
      </c>
      <c r="G2803" t="s">
        <v>8</v>
      </c>
      <c r="H2803">
        <v>538.91</v>
      </c>
    </row>
    <row r="2804" spans="1:8" x14ac:dyDescent="0.3">
      <c r="A2804">
        <v>202207</v>
      </c>
      <c r="B2804" s="1">
        <v>44743</v>
      </c>
      <c r="C2804">
        <v>2022</v>
      </c>
      <c r="D2804" t="s">
        <v>14</v>
      </c>
      <c r="E2804" t="s">
        <v>23</v>
      </c>
      <c r="F2804" t="s">
        <v>40</v>
      </c>
      <c r="G2804" t="s">
        <v>8</v>
      </c>
      <c r="H2804">
        <v>622.58000000000004</v>
      </c>
    </row>
    <row r="2805" spans="1:8" x14ac:dyDescent="0.3">
      <c r="A2805">
        <v>202208</v>
      </c>
      <c r="B2805" s="1">
        <v>44774</v>
      </c>
      <c r="C2805">
        <v>2022</v>
      </c>
      <c r="D2805" t="s">
        <v>15</v>
      </c>
      <c r="E2805" t="s">
        <v>23</v>
      </c>
      <c r="F2805" t="s">
        <v>40</v>
      </c>
      <c r="G2805" t="s">
        <v>8</v>
      </c>
      <c r="H2805">
        <v>642.83000000000004</v>
      </c>
    </row>
    <row r="2806" spans="1:8" x14ac:dyDescent="0.3">
      <c r="A2806">
        <v>202209</v>
      </c>
      <c r="B2806" s="1">
        <v>44805</v>
      </c>
      <c r="C2806">
        <v>2022</v>
      </c>
      <c r="D2806" t="s">
        <v>16</v>
      </c>
      <c r="E2806" t="s">
        <v>23</v>
      </c>
      <c r="F2806" t="s">
        <v>40</v>
      </c>
      <c r="G2806" t="s">
        <v>8</v>
      </c>
      <c r="H2806">
        <v>413.12</v>
      </c>
    </row>
    <row r="2807" spans="1:8" x14ac:dyDescent="0.3">
      <c r="A2807">
        <v>202210</v>
      </c>
      <c r="B2807" s="1">
        <v>44835</v>
      </c>
      <c r="C2807">
        <v>2022</v>
      </c>
      <c r="D2807" t="s">
        <v>17</v>
      </c>
      <c r="E2807" t="s">
        <v>23</v>
      </c>
      <c r="F2807" t="s">
        <v>40</v>
      </c>
      <c r="G2807" t="s">
        <v>8</v>
      </c>
      <c r="H2807">
        <v>592.41</v>
      </c>
    </row>
    <row r="2808" spans="1:8" x14ac:dyDescent="0.3">
      <c r="A2808">
        <v>202211</v>
      </c>
      <c r="B2808" s="1">
        <v>44866</v>
      </c>
      <c r="C2808">
        <v>2022</v>
      </c>
      <c r="D2808" t="s">
        <v>18</v>
      </c>
      <c r="E2808" t="s">
        <v>23</v>
      </c>
      <c r="F2808" t="s">
        <v>40</v>
      </c>
      <c r="G2808" t="s">
        <v>8</v>
      </c>
      <c r="H2808">
        <v>634.41</v>
      </c>
    </row>
    <row r="2809" spans="1:8" x14ac:dyDescent="0.3">
      <c r="A2809">
        <v>202212</v>
      </c>
      <c r="B2809" s="1">
        <v>44896</v>
      </c>
      <c r="C2809">
        <v>2022</v>
      </c>
      <c r="D2809" t="s">
        <v>19</v>
      </c>
      <c r="E2809" t="s">
        <v>23</v>
      </c>
      <c r="F2809" t="s">
        <v>40</v>
      </c>
      <c r="G2809" t="s">
        <v>8</v>
      </c>
      <c r="H2809">
        <v>471.33</v>
      </c>
    </row>
    <row r="2810" spans="1:8" x14ac:dyDescent="0.3">
      <c r="A2810">
        <v>202201</v>
      </c>
      <c r="B2810" s="1">
        <v>44562</v>
      </c>
      <c r="C2810">
        <v>2022</v>
      </c>
      <c r="D2810" t="s">
        <v>6</v>
      </c>
      <c r="E2810" t="s">
        <v>23</v>
      </c>
      <c r="F2810" t="s">
        <v>40</v>
      </c>
      <c r="G2810" t="s">
        <v>8</v>
      </c>
      <c r="H2810">
        <v>1225.76</v>
      </c>
    </row>
    <row r="2811" spans="1:8" x14ac:dyDescent="0.3">
      <c r="A2811">
        <v>202202</v>
      </c>
      <c r="B2811" s="1">
        <v>44593</v>
      </c>
      <c r="C2811">
        <v>2022</v>
      </c>
      <c r="D2811" t="s">
        <v>9</v>
      </c>
      <c r="E2811" t="s">
        <v>23</v>
      </c>
      <c r="F2811" t="s">
        <v>40</v>
      </c>
      <c r="G2811" t="s">
        <v>8</v>
      </c>
      <c r="H2811">
        <v>794.3</v>
      </c>
    </row>
    <row r="2812" spans="1:8" x14ac:dyDescent="0.3">
      <c r="A2812">
        <v>202203</v>
      </c>
      <c r="B2812" s="1">
        <v>44621</v>
      </c>
      <c r="C2812">
        <v>2022</v>
      </c>
      <c r="D2812" t="s">
        <v>10</v>
      </c>
      <c r="E2812" t="s">
        <v>23</v>
      </c>
      <c r="F2812" t="s">
        <v>40</v>
      </c>
      <c r="G2812" t="s">
        <v>8</v>
      </c>
      <c r="H2812">
        <v>948.09</v>
      </c>
    </row>
    <row r="2813" spans="1:8" x14ac:dyDescent="0.3">
      <c r="A2813">
        <v>202204</v>
      </c>
      <c r="B2813" s="1">
        <v>44652</v>
      </c>
      <c r="C2813">
        <v>2022</v>
      </c>
      <c r="D2813" t="s">
        <v>11</v>
      </c>
      <c r="E2813" t="s">
        <v>23</v>
      </c>
      <c r="F2813" t="s">
        <v>40</v>
      </c>
      <c r="G2813" t="s">
        <v>8</v>
      </c>
      <c r="H2813">
        <v>2069.33</v>
      </c>
    </row>
    <row r="2814" spans="1:8" x14ac:dyDescent="0.3">
      <c r="A2814">
        <v>202205</v>
      </c>
      <c r="B2814" s="1">
        <v>44682</v>
      </c>
      <c r="C2814">
        <v>2022</v>
      </c>
      <c r="D2814" t="s">
        <v>12</v>
      </c>
      <c r="E2814" t="s">
        <v>23</v>
      </c>
      <c r="F2814" t="s">
        <v>40</v>
      </c>
      <c r="G2814" t="s">
        <v>8</v>
      </c>
      <c r="H2814">
        <v>1549.19</v>
      </c>
    </row>
    <row r="2815" spans="1:8" x14ac:dyDescent="0.3">
      <c r="A2815">
        <v>202206</v>
      </c>
      <c r="B2815" s="1">
        <v>44713</v>
      </c>
      <c r="C2815">
        <v>2022</v>
      </c>
      <c r="D2815" t="s">
        <v>13</v>
      </c>
      <c r="E2815" t="s">
        <v>23</v>
      </c>
      <c r="F2815" t="s">
        <v>40</v>
      </c>
      <c r="G2815" t="s">
        <v>8</v>
      </c>
      <c r="H2815">
        <v>1138.53</v>
      </c>
    </row>
    <row r="2816" spans="1:8" x14ac:dyDescent="0.3">
      <c r="A2816">
        <v>202207</v>
      </c>
      <c r="B2816" s="1">
        <v>44743</v>
      </c>
      <c r="C2816">
        <v>2022</v>
      </c>
      <c r="D2816" t="s">
        <v>14</v>
      </c>
      <c r="E2816" t="s">
        <v>23</v>
      </c>
      <c r="F2816" t="s">
        <v>40</v>
      </c>
      <c r="G2816" t="s">
        <v>8</v>
      </c>
      <c r="H2816">
        <v>1403.4</v>
      </c>
    </row>
    <row r="2817" spans="1:8" x14ac:dyDescent="0.3">
      <c r="A2817">
        <v>202208</v>
      </c>
      <c r="B2817" s="1">
        <v>44774</v>
      </c>
      <c r="C2817">
        <v>2022</v>
      </c>
      <c r="D2817" t="s">
        <v>15</v>
      </c>
      <c r="E2817" t="s">
        <v>23</v>
      </c>
      <c r="F2817" t="s">
        <v>40</v>
      </c>
      <c r="G2817" t="s">
        <v>8</v>
      </c>
      <c r="H2817">
        <v>1688.81</v>
      </c>
    </row>
    <row r="2818" spans="1:8" x14ac:dyDescent="0.3">
      <c r="A2818">
        <v>202209</v>
      </c>
      <c r="B2818" s="1">
        <v>44805</v>
      </c>
      <c r="C2818">
        <v>2022</v>
      </c>
      <c r="D2818" t="s">
        <v>16</v>
      </c>
      <c r="E2818" t="s">
        <v>23</v>
      </c>
      <c r="F2818" t="s">
        <v>40</v>
      </c>
      <c r="G2818" t="s">
        <v>8</v>
      </c>
      <c r="H2818">
        <v>1152.43</v>
      </c>
    </row>
    <row r="2819" spans="1:8" x14ac:dyDescent="0.3">
      <c r="A2819">
        <v>202210</v>
      </c>
      <c r="B2819" s="1">
        <v>44835</v>
      </c>
      <c r="C2819">
        <v>2022</v>
      </c>
      <c r="D2819" t="s">
        <v>17</v>
      </c>
      <c r="E2819" t="s">
        <v>23</v>
      </c>
      <c r="F2819" t="s">
        <v>40</v>
      </c>
      <c r="G2819" t="s">
        <v>8</v>
      </c>
      <c r="H2819">
        <v>1334.22</v>
      </c>
    </row>
    <row r="2820" spans="1:8" x14ac:dyDescent="0.3">
      <c r="A2820">
        <v>202211</v>
      </c>
      <c r="B2820" s="1">
        <v>44866</v>
      </c>
      <c r="C2820">
        <v>2022</v>
      </c>
      <c r="D2820" t="s">
        <v>18</v>
      </c>
      <c r="E2820" t="s">
        <v>23</v>
      </c>
      <c r="F2820" t="s">
        <v>40</v>
      </c>
      <c r="G2820" t="s">
        <v>8</v>
      </c>
      <c r="H2820">
        <v>1603.83</v>
      </c>
    </row>
    <row r="2821" spans="1:8" x14ac:dyDescent="0.3">
      <c r="A2821">
        <v>202212</v>
      </c>
      <c r="B2821" s="1">
        <v>44896</v>
      </c>
      <c r="C2821">
        <v>2022</v>
      </c>
      <c r="D2821" t="s">
        <v>19</v>
      </c>
      <c r="E2821" t="s">
        <v>23</v>
      </c>
      <c r="F2821" t="s">
        <v>40</v>
      </c>
      <c r="G2821" t="s">
        <v>8</v>
      </c>
      <c r="H2821">
        <v>1238.9000000000001</v>
      </c>
    </row>
    <row r="2822" spans="1:8" x14ac:dyDescent="0.3">
      <c r="A2822">
        <v>202201</v>
      </c>
      <c r="B2822" s="1">
        <v>44562</v>
      </c>
      <c r="C2822">
        <v>2022</v>
      </c>
      <c r="D2822" t="s">
        <v>6</v>
      </c>
      <c r="E2822" t="s">
        <v>23</v>
      </c>
      <c r="F2822" t="s">
        <v>40</v>
      </c>
      <c r="G2822" t="s">
        <v>8</v>
      </c>
      <c r="H2822">
        <v>348.79</v>
      </c>
    </row>
    <row r="2823" spans="1:8" x14ac:dyDescent="0.3">
      <c r="A2823">
        <v>202202</v>
      </c>
      <c r="B2823" s="1">
        <v>44593</v>
      </c>
      <c r="C2823">
        <v>2022</v>
      </c>
      <c r="D2823" t="s">
        <v>9</v>
      </c>
      <c r="E2823" t="s">
        <v>23</v>
      </c>
      <c r="F2823" t="s">
        <v>40</v>
      </c>
      <c r="G2823" t="s">
        <v>8</v>
      </c>
      <c r="H2823">
        <v>281.49</v>
      </c>
    </row>
    <row r="2824" spans="1:8" x14ac:dyDescent="0.3">
      <c r="A2824">
        <v>202203</v>
      </c>
      <c r="B2824" s="1">
        <v>44621</v>
      </c>
      <c r="C2824">
        <v>2022</v>
      </c>
      <c r="D2824" t="s">
        <v>10</v>
      </c>
      <c r="E2824" t="s">
        <v>23</v>
      </c>
      <c r="F2824" t="s">
        <v>40</v>
      </c>
      <c r="G2824" t="s">
        <v>8</v>
      </c>
      <c r="H2824">
        <v>309.39</v>
      </c>
    </row>
    <row r="2825" spans="1:8" x14ac:dyDescent="0.3">
      <c r="A2825">
        <v>202204</v>
      </c>
      <c r="B2825" s="1">
        <v>44652</v>
      </c>
      <c r="C2825">
        <v>2022</v>
      </c>
      <c r="D2825" t="s">
        <v>11</v>
      </c>
      <c r="E2825" t="s">
        <v>23</v>
      </c>
      <c r="F2825" t="s">
        <v>40</v>
      </c>
      <c r="G2825" t="s">
        <v>8</v>
      </c>
      <c r="H2825">
        <v>745.95</v>
      </c>
    </row>
    <row r="2826" spans="1:8" x14ac:dyDescent="0.3">
      <c r="A2826">
        <v>202205</v>
      </c>
      <c r="B2826" s="1">
        <v>44682</v>
      </c>
      <c r="C2826">
        <v>2022</v>
      </c>
      <c r="D2826" t="s">
        <v>12</v>
      </c>
      <c r="E2826" t="s">
        <v>23</v>
      </c>
      <c r="F2826" t="s">
        <v>40</v>
      </c>
      <c r="G2826" t="s">
        <v>8</v>
      </c>
      <c r="H2826">
        <v>365</v>
      </c>
    </row>
    <row r="2827" spans="1:8" x14ac:dyDescent="0.3">
      <c r="A2827">
        <v>202206</v>
      </c>
      <c r="B2827" s="1">
        <v>44713</v>
      </c>
      <c r="C2827">
        <v>2022</v>
      </c>
      <c r="D2827" t="s">
        <v>13</v>
      </c>
      <c r="E2827" t="s">
        <v>23</v>
      </c>
      <c r="F2827" t="s">
        <v>40</v>
      </c>
      <c r="G2827" t="s">
        <v>8</v>
      </c>
      <c r="H2827">
        <v>350.09</v>
      </c>
    </row>
    <row r="2828" spans="1:8" x14ac:dyDescent="0.3">
      <c r="A2828">
        <v>202207</v>
      </c>
      <c r="B2828" s="1">
        <v>44743</v>
      </c>
      <c r="C2828">
        <v>2022</v>
      </c>
      <c r="D2828" t="s">
        <v>14</v>
      </c>
      <c r="E2828" t="s">
        <v>23</v>
      </c>
      <c r="F2828" t="s">
        <v>40</v>
      </c>
      <c r="G2828" t="s">
        <v>8</v>
      </c>
      <c r="H2828">
        <v>335.4</v>
      </c>
    </row>
    <row r="2829" spans="1:8" x14ac:dyDescent="0.3">
      <c r="A2829">
        <v>202208</v>
      </c>
      <c r="B2829" s="1">
        <v>44774</v>
      </c>
      <c r="C2829">
        <v>2022</v>
      </c>
      <c r="D2829" t="s">
        <v>15</v>
      </c>
      <c r="E2829" t="s">
        <v>23</v>
      </c>
      <c r="F2829" t="s">
        <v>40</v>
      </c>
      <c r="G2829" t="s">
        <v>8</v>
      </c>
      <c r="H2829">
        <v>394.14</v>
      </c>
    </row>
    <row r="2830" spans="1:8" x14ac:dyDescent="0.3">
      <c r="A2830">
        <v>202209</v>
      </c>
      <c r="B2830" s="1">
        <v>44805</v>
      </c>
      <c r="C2830">
        <v>2022</v>
      </c>
      <c r="D2830" t="s">
        <v>16</v>
      </c>
      <c r="E2830" t="s">
        <v>23</v>
      </c>
      <c r="F2830" t="s">
        <v>40</v>
      </c>
      <c r="G2830" t="s">
        <v>8</v>
      </c>
      <c r="H2830">
        <v>345.55</v>
      </c>
    </row>
    <row r="2831" spans="1:8" x14ac:dyDescent="0.3">
      <c r="A2831">
        <v>202210</v>
      </c>
      <c r="B2831" s="1">
        <v>44835</v>
      </c>
      <c r="C2831">
        <v>2022</v>
      </c>
      <c r="D2831" t="s">
        <v>17</v>
      </c>
      <c r="E2831" t="s">
        <v>23</v>
      </c>
      <c r="F2831" t="s">
        <v>40</v>
      </c>
      <c r="G2831" t="s">
        <v>8</v>
      </c>
      <c r="H2831">
        <v>297.13</v>
      </c>
    </row>
    <row r="2832" spans="1:8" x14ac:dyDescent="0.3">
      <c r="A2832">
        <v>202211</v>
      </c>
      <c r="B2832" s="1">
        <v>44866</v>
      </c>
      <c r="C2832">
        <v>2022</v>
      </c>
      <c r="D2832" t="s">
        <v>18</v>
      </c>
      <c r="E2832" t="s">
        <v>23</v>
      </c>
      <c r="F2832" t="s">
        <v>40</v>
      </c>
      <c r="G2832" t="s">
        <v>8</v>
      </c>
      <c r="H2832">
        <v>417.3</v>
      </c>
    </row>
    <row r="2833" spans="1:8" x14ac:dyDescent="0.3">
      <c r="A2833">
        <v>202212</v>
      </c>
      <c r="B2833" s="1">
        <v>44896</v>
      </c>
      <c r="C2833">
        <v>2022</v>
      </c>
      <c r="D2833" t="s">
        <v>19</v>
      </c>
      <c r="E2833" t="s">
        <v>23</v>
      </c>
      <c r="F2833" t="s">
        <v>40</v>
      </c>
      <c r="G2833" t="s">
        <v>8</v>
      </c>
      <c r="H2833">
        <v>322.8</v>
      </c>
    </row>
    <row r="2834" spans="1:8" x14ac:dyDescent="0.3">
      <c r="A2834">
        <v>202201</v>
      </c>
      <c r="B2834" s="1">
        <v>44562</v>
      </c>
      <c r="C2834">
        <v>2022</v>
      </c>
      <c r="D2834" t="s">
        <v>6</v>
      </c>
      <c r="E2834" t="s">
        <v>23</v>
      </c>
      <c r="F2834" t="s">
        <v>40</v>
      </c>
      <c r="G2834" t="s">
        <v>8</v>
      </c>
      <c r="H2834">
        <v>187</v>
      </c>
    </row>
    <row r="2835" spans="1:8" x14ac:dyDescent="0.3">
      <c r="A2835">
        <v>202202</v>
      </c>
      <c r="B2835" s="1">
        <v>44593</v>
      </c>
      <c r="C2835">
        <v>2022</v>
      </c>
      <c r="D2835" t="s">
        <v>9</v>
      </c>
      <c r="E2835" t="s">
        <v>23</v>
      </c>
      <c r="F2835" t="s">
        <v>40</v>
      </c>
      <c r="G2835" t="s">
        <v>8</v>
      </c>
      <c r="H2835">
        <v>100.54</v>
      </c>
    </row>
    <row r="2836" spans="1:8" x14ac:dyDescent="0.3">
      <c r="A2836">
        <v>202203</v>
      </c>
      <c r="B2836" s="1">
        <v>44621</v>
      </c>
      <c r="C2836">
        <v>2022</v>
      </c>
      <c r="D2836" t="s">
        <v>10</v>
      </c>
      <c r="E2836" t="s">
        <v>23</v>
      </c>
      <c r="F2836" t="s">
        <v>40</v>
      </c>
      <c r="G2836" t="s">
        <v>8</v>
      </c>
      <c r="H2836">
        <v>160.41999999999999</v>
      </c>
    </row>
    <row r="2837" spans="1:8" x14ac:dyDescent="0.3">
      <c r="A2837">
        <v>202204</v>
      </c>
      <c r="B2837" s="1">
        <v>44652</v>
      </c>
      <c r="C2837">
        <v>2022</v>
      </c>
      <c r="D2837" t="s">
        <v>11</v>
      </c>
      <c r="E2837" t="s">
        <v>23</v>
      </c>
      <c r="F2837" t="s">
        <v>40</v>
      </c>
      <c r="G2837" t="s">
        <v>8</v>
      </c>
      <c r="H2837">
        <v>441.01</v>
      </c>
    </row>
    <row r="2838" spans="1:8" x14ac:dyDescent="0.3">
      <c r="A2838">
        <v>202205</v>
      </c>
      <c r="B2838" s="1">
        <v>44682</v>
      </c>
      <c r="C2838">
        <v>2022</v>
      </c>
      <c r="D2838" t="s">
        <v>12</v>
      </c>
      <c r="E2838" t="s">
        <v>23</v>
      </c>
      <c r="F2838" t="s">
        <v>40</v>
      </c>
      <c r="G2838" t="s">
        <v>8</v>
      </c>
      <c r="H2838">
        <v>941.4</v>
      </c>
    </row>
    <row r="2839" spans="1:8" x14ac:dyDescent="0.3">
      <c r="A2839">
        <v>202206</v>
      </c>
      <c r="B2839" s="1">
        <v>44713</v>
      </c>
      <c r="C2839">
        <v>2022</v>
      </c>
      <c r="D2839" t="s">
        <v>13</v>
      </c>
      <c r="E2839" t="s">
        <v>23</v>
      </c>
      <c r="F2839" t="s">
        <v>40</v>
      </c>
      <c r="G2839" t="s">
        <v>8</v>
      </c>
      <c r="H2839">
        <v>117.94</v>
      </c>
    </row>
    <row r="2840" spans="1:8" x14ac:dyDescent="0.3">
      <c r="A2840">
        <v>202207</v>
      </c>
      <c r="B2840" s="1">
        <v>44743</v>
      </c>
      <c r="C2840">
        <v>2022</v>
      </c>
      <c r="D2840" t="s">
        <v>14</v>
      </c>
      <c r="E2840" t="s">
        <v>23</v>
      </c>
      <c r="F2840" t="s">
        <v>40</v>
      </c>
      <c r="G2840" t="s">
        <v>8</v>
      </c>
      <c r="H2840">
        <v>138.66</v>
      </c>
    </row>
    <row r="2841" spans="1:8" x14ac:dyDescent="0.3">
      <c r="A2841">
        <v>202208</v>
      </c>
      <c r="B2841" s="1">
        <v>44774</v>
      </c>
      <c r="C2841">
        <v>2022</v>
      </c>
      <c r="D2841" t="s">
        <v>15</v>
      </c>
      <c r="E2841" t="s">
        <v>23</v>
      </c>
      <c r="F2841" t="s">
        <v>40</v>
      </c>
      <c r="G2841" t="s">
        <v>8</v>
      </c>
      <c r="H2841">
        <v>205.2</v>
      </c>
    </row>
    <row r="2842" spans="1:8" x14ac:dyDescent="0.3">
      <c r="A2842">
        <v>202209</v>
      </c>
      <c r="B2842" s="1">
        <v>44805</v>
      </c>
      <c r="C2842">
        <v>2022</v>
      </c>
      <c r="D2842" t="s">
        <v>16</v>
      </c>
      <c r="E2842" t="s">
        <v>23</v>
      </c>
      <c r="F2842" t="s">
        <v>40</v>
      </c>
      <c r="G2842" t="s">
        <v>8</v>
      </c>
      <c r="H2842">
        <v>99.77</v>
      </c>
    </row>
    <row r="2843" spans="1:8" x14ac:dyDescent="0.3">
      <c r="A2843">
        <v>202210</v>
      </c>
      <c r="B2843" s="1">
        <v>44835</v>
      </c>
      <c r="C2843">
        <v>2022</v>
      </c>
      <c r="D2843" t="s">
        <v>17</v>
      </c>
      <c r="E2843" t="s">
        <v>23</v>
      </c>
      <c r="F2843" t="s">
        <v>40</v>
      </c>
      <c r="G2843" t="s">
        <v>8</v>
      </c>
      <c r="H2843">
        <v>141.09</v>
      </c>
    </row>
    <row r="2844" spans="1:8" x14ac:dyDescent="0.3">
      <c r="A2844">
        <v>202211</v>
      </c>
      <c r="B2844" s="1">
        <v>44866</v>
      </c>
      <c r="C2844">
        <v>2022</v>
      </c>
      <c r="D2844" t="s">
        <v>18</v>
      </c>
      <c r="E2844" t="s">
        <v>23</v>
      </c>
      <c r="F2844" t="s">
        <v>40</v>
      </c>
      <c r="G2844" t="s">
        <v>8</v>
      </c>
      <c r="H2844">
        <v>286.97000000000003</v>
      </c>
    </row>
    <row r="2845" spans="1:8" x14ac:dyDescent="0.3">
      <c r="A2845">
        <v>202212</v>
      </c>
      <c r="B2845" s="1">
        <v>44896</v>
      </c>
      <c r="C2845">
        <v>2022</v>
      </c>
      <c r="D2845" t="s">
        <v>19</v>
      </c>
      <c r="E2845" t="s">
        <v>23</v>
      </c>
      <c r="F2845" t="s">
        <v>40</v>
      </c>
      <c r="G2845" t="s">
        <v>8</v>
      </c>
      <c r="H2845">
        <v>120.86</v>
      </c>
    </row>
    <row r="2846" spans="1:8" x14ac:dyDescent="0.3">
      <c r="A2846">
        <v>202201</v>
      </c>
      <c r="B2846" s="1">
        <v>44562</v>
      </c>
      <c r="C2846">
        <v>2022</v>
      </c>
      <c r="D2846" t="s">
        <v>6</v>
      </c>
      <c r="E2846" t="s">
        <v>23</v>
      </c>
      <c r="F2846" t="s">
        <v>40</v>
      </c>
      <c r="G2846" t="s">
        <v>8</v>
      </c>
      <c r="H2846">
        <v>739.49</v>
      </c>
    </row>
    <row r="2847" spans="1:8" x14ac:dyDescent="0.3">
      <c r="A2847">
        <v>202202</v>
      </c>
      <c r="B2847" s="1">
        <v>44593</v>
      </c>
      <c r="C2847">
        <v>2022</v>
      </c>
      <c r="D2847" t="s">
        <v>9</v>
      </c>
      <c r="E2847" t="s">
        <v>23</v>
      </c>
      <c r="F2847" t="s">
        <v>40</v>
      </c>
      <c r="G2847" t="s">
        <v>8</v>
      </c>
      <c r="H2847">
        <v>580.26</v>
      </c>
    </row>
    <row r="2848" spans="1:8" x14ac:dyDescent="0.3">
      <c r="A2848">
        <v>202203</v>
      </c>
      <c r="B2848" s="1">
        <v>44621</v>
      </c>
      <c r="C2848">
        <v>2022</v>
      </c>
      <c r="D2848" t="s">
        <v>10</v>
      </c>
      <c r="E2848" t="s">
        <v>23</v>
      </c>
      <c r="F2848" t="s">
        <v>40</v>
      </c>
      <c r="G2848" t="s">
        <v>8</v>
      </c>
      <c r="H2848">
        <v>659.46</v>
      </c>
    </row>
    <row r="2849" spans="1:8" x14ac:dyDescent="0.3">
      <c r="A2849">
        <v>202204</v>
      </c>
      <c r="B2849" s="1">
        <v>44652</v>
      </c>
      <c r="C2849">
        <v>2022</v>
      </c>
      <c r="D2849" t="s">
        <v>11</v>
      </c>
      <c r="E2849" t="s">
        <v>23</v>
      </c>
      <c r="F2849" t="s">
        <v>40</v>
      </c>
      <c r="G2849" t="s">
        <v>8</v>
      </c>
      <c r="H2849">
        <v>1317.22</v>
      </c>
    </row>
    <row r="2850" spans="1:8" x14ac:dyDescent="0.3">
      <c r="A2850">
        <v>202205</v>
      </c>
      <c r="B2850" s="1">
        <v>44682</v>
      </c>
      <c r="C2850">
        <v>2022</v>
      </c>
      <c r="D2850" t="s">
        <v>12</v>
      </c>
      <c r="E2850" t="s">
        <v>23</v>
      </c>
      <c r="F2850" t="s">
        <v>40</v>
      </c>
      <c r="G2850" t="s">
        <v>8</v>
      </c>
      <c r="H2850">
        <v>1450.03</v>
      </c>
    </row>
    <row r="2851" spans="1:8" x14ac:dyDescent="0.3">
      <c r="A2851">
        <v>202206</v>
      </c>
      <c r="B2851" s="1">
        <v>44713</v>
      </c>
      <c r="C2851">
        <v>2022</v>
      </c>
      <c r="D2851" t="s">
        <v>13</v>
      </c>
      <c r="E2851" t="s">
        <v>23</v>
      </c>
      <c r="F2851" t="s">
        <v>40</v>
      </c>
      <c r="G2851" t="s">
        <v>8</v>
      </c>
      <c r="H2851">
        <v>809.66</v>
      </c>
    </row>
    <row r="2852" spans="1:8" x14ac:dyDescent="0.3">
      <c r="A2852">
        <v>202207</v>
      </c>
      <c r="B2852" s="1">
        <v>44743</v>
      </c>
      <c r="C2852">
        <v>2022</v>
      </c>
      <c r="D2852" t="s">
        <v>14</v>
      </c>
      <c r="E2852" t="s">
        <v>23</v>
      </c>
      <c r="F2852" t="s">
        <v>40</v>
      </c>
      <c r="G2852" t="s">
        <v>8</v>
      </c>
      <c r="H2852">
        <v>945.65</v>
      </c>
    </row>
    <row r="2853" spans="1:8" x14ac:dyDescent="0.3">
      <c r="A2853">
        <v>202208</v>
      </c>
      <c r="B2853" s="1">
        <v>44774</v>
      </c>
      <c r="C2853">
        <v>2022</v>
      </c>
      <c r="D2853" t="s">
        <v>15</v>
      </c>
      <c r="E2853" t="s">
        <v>23</v>
      </c>
      <c r="F2853" t="s">
        <v>40</v>
      </c>
      <c r="G2853" t="s">
        <v>8</v>
      </c>
      <c r="H2853">
        <v>1154.8399999999999</v>
      </c>
    </row>
    <row r="2854" spans="1:8" x14ac:dyDescent="0.3">
      <c r="A2854">
        <v>202209</v>
      </c>
      <c r="B2854" s="1">
        <v>44805</v>
      </c>
      <c r="C2854">
        <v>2022</v>
      </c>
      <c r="D2854" t="s">
        <v>16</v>
      </c>
      <c r="E2854" t="s">
        <v>23</v>
      </c>
      <c r="F2854" t="s">
        <v>40</v>
      </c>
      <c r="G2854" t="s">
        <v>8</v>
      </c>
      <c r="H2854">
        <v>800.03</v>
      </c>
    </row>
    <row r="2855" spans="1:8" x14ac:dyDescent="0.3">
      <c r="A2855">
        <v>202210</v>
      </c>
      <c r="B2855" s="1">
        <v>44835</v>
      </c>
      <c r="C2855">
        <v>2022</v>
      </c>
      <c r="D2855" t="s">
        <v>17</v>
      </c>
      <c r="E2855" t="s">
        <v>23</v>
      </c>
      <c r="F2855" t="s">
        <v>40</v>
      </c>
      <c r="G2855" t="s">
        <v>8</v>
      </c>
      <c r="H2855">
        <v>812.54</v>
      </c>
    </row>
    <row r="2856" spans="1:8" x14ac:dyDescent="0.3">
      <c r="A2856">
        <v>202211</v>
      </c>
      <c r="B2856" s="1">
        <v>44866</v>
      </c>
      <c r="C2856">
        <v>2022</v>
      </c>
      <c r="D2856" t="s">
        <v>18</v>
      </c>
      <c r="E2856" t="s">
        <v>23</v>
      </c>
      <c r="F2856" t="s">
        <v>40</v>
      </c>
      <c r="G2856" t="s">
        <v>8</v>
      </c>
      <c r="H2856">
        <v>1228.24</v>
      </c>
    </row>
    <row r="2857" spans="1:8" x14ac:dyDescent="0.3">
      <c r="A2857">
        <v>202212</v>
      </c>
      <c r="B2857" s="1">
        <v>44896</v>
      </c>
      <c r="C2857">
        <v>2022</v>
      </c>
      <c r="D2857" t="s">
        <v>19</v>
      </c>
      <c r="E2857" t="s">
        <v>23</v>
      </c>
      <c r="F2857" t="s">
        <v>40</v>
      </c>
      <c r="G2857" t="s">
        <v>8</v>
      </c>
      <c r="H2857">
        <v>566.51</v>
      </c>
    </row>
    <row r="2858" spans="1:8" x14ac:dyDescent="0.3">
      <c r="A2858">
        <v>202201</v>
      </c>
      <c r="B2858" s="1">
        <v>44562</v>
      </c>
      <c r="C2858">
        <v>2022</v>
      </c>
      <c r="D2858" t="s">
        <v>6</v>
      </c>
      <c r="E2858" t="s">
        <v>23</v>
      </c>
      <c r="F2858" t="s">
        <v>40</v>
      </c>
      <c r="G2858" t="s">
        <v>8</v>
      </c>
      <c r="H2858">
        <v>175.68</v>
      </c>
    </row>
    <row r="2859" spans="1:8" x14ac:dyDescent="0.3">
      <c r="A2859">
        <v>202202</v>
      </c>
      <c r="B2859" s="1">
        <v>44593</v>
      </c>
      <c r="C2859">
        <v>2022</v>
      </c>
      <c r="D2859" t="s">
        <v>9</v>
      </c>
      <c r="E2859" t="s">
        <v>23</v>
      </c>
      <c r="F2859" t="s">
        <v>40</v>
      </c>
      <c r="G2859" t="s">
        <v>8</v>
      </c>
      <c r="H2859">
        <v>142.04</v>
      </c>
    </row>
    <row r="2860" spans="1:8" x14ac:dyDescent="0.3">
      <c r="A2860">
        <v>202203</v>
      </c>
      <c r="B2860" s="1">
        <v>44621</v>
      </c>
      <c r="C2860">
        <v>2022</v>
      </c>
      <c r="D2860" t="s">
        <v>10</v>
      </c>
      <c r="E2860" t="s">
        <v>23</v>
      </c>
      <c r="F2860" t="s">
        <v>40</v>
      </c>
      <c r="G2860" t="s">
        <v>8</v>
      </c>
      <c r="H2860">
        <v>142.35</v>
      </c>
    </row>
    <row r="2861" spans="1:8" x14ac:dyDescent="0.3">
      <c r="A2861">
        <v>202204</v>
      </c>
      <c r="B2861" s="1">
        <v>44652</v>
      </c>
      <c r="C2861">
        <v>2022</v>
      </c>
      <c r="D2861" t="s">
        <v>11</v>
      </c>
      <c r="E2861" t="s">
        <v>23</v>
      </c>
      <c r="F2861" t="s">
        <v>40</v>
      </c>
      <c r="G2861" t="s">
        <v>8</v>
      </c>
      <c r="H2861">
        <v>204.19</v>
      </c>
    </row>
    <row r="2862" spans="1:8" x14ac:dyDescent="0.3">
      <c r="A2862">
        <v>202205</v>
      </c>
      <c r="B2862" s="1">
        <v>44682</v>
      </c>
      <c r="C2862">
        <v>2022</v>
      </c>
      <c r="D2862" t="s">
        <v>12</v>
      </c>
      <c r="E2862" t="s">
        <v>23</v>
      </c>
      <c r="F2862" t="s">
        <v>40</v>
      </c>
      <c r="G2862" t="s">
        <v>8</v>
      </c>
      <c r="H2862">
        <v>181.89</v>
      </c>
    </row>
    <row r="2863" spans="1:8" x14ac:dyDescent="0.3">
      <c r="A2863">
        <v>202206</v>
      </c>
      <c r="B2863" s="1">
        <v>44713</v>
      </c>
      <c r="C2863">
        <v>2022</v>
      </c>
      <c r="D2863" t="s">
        <v>13</v>
      </c>
      <c r="E2863" t="s">
        <v>23</v>
      </c>
      <c r="F2863" t="s">
        <v>40</v>
      </c>
      <c r="G2863" t="s">
        <v>8</v>
      </c>
      <c r="H2863">
        <v>174.77</v>
      </c>
    </row>
    <row r="2864" spans="1:8" x14ac:dyDescent="0.3">
      <c r="A2864">
        <v>202207</v>
      </c>
      <c r="B2864" s="1">
        <v>44743</v>
      </c>
      <c r="C2864">
        <v>2022</v>
      </c>
      <c r="D2864" t="s">
        <v>14</v>
      </c>
      <c r="E2864" t="s">
        <v>23</v>
      </c>
      <c r="F2864" t="s">
        <v>40</v>
      </c>
      <c r="G2864" t="s">
        <v>8</v>
      </c>
      <c r="H2864">
        <v>185.67</v>
      </c>
    </row>
    <row r="2865" spans="1:8" x14ac:dyDescent="0.3">
      <c r="A2865">
        <v>202208</v>
      </c>
      <c r="B2865" s="1">
        <v>44774</v>
      </c>
      <c r="C2865">
        <v>2022</v>
      </c>
      <c r="D2865" t="s">
        <v>15</v>
      </c>
      <c r="E2865" t="s">
        <v>23</v>
      </c>
      <c r="F2865" t="s">
        <v>40</v>
      </c>
      <c r="G2865" t="s">
        <v>8</v>
      </c>
      <c r="H2865">
        <v>206.11</v>
      </c>
    </row>
    <row r="2866" spans="1:8" x14ac:dyDescent="0.3">
      <c r="A2866">
        <v>202209</v>
      </c>
      <c r="B2866" s="1">
        <v>44805</v>
      </c>
      <c r="C2866">
        <v>2022</v>
      </c>
      <c r="D2866" t="s">
        <v>16</v>
      </c>
      <c r="E2866" t="s">
        <v>23</v>
      </c>
      <c r="F2866" t="s">
        <v>40</v>
      </c>
      <c r="G2866" t="s">
        <v>8</v>
      </c>
      <c r="H2866">
        <v>168.44</v>
      </c>
    </row>
    <row r="2867" spans="1:8" x14ac:dyDescent="0.3">
      <c r="A2867">
        <v>202210</v>
      </c>
      <c r="B2867" s="1">
        <v>44835</v>
      </c>
      <c r="C2867">
        <v>2022</v>
      </c>
      <c r="D2867" t="s">
        <v>17</v>
      </c>
      <c r="E2867" t="s">
        <v>23</v>
      </c>
      <c r="F2867" t="s">
        <v>40</v>
      </c>
      <c r="G2867" t="s">
        <v>8</v>
      </c>
      <c r="H2867">
        <v>172.77</v>
      </c>
    </row>
    <row r="2868" spans="1:8" x14ac:dyDescent="0.3">
      <c r="A2868">
        <v>202211</v>
      </c>
      <c r="B2868" s="1">
        <v>44866</v>
      </c>
      <c r="C2868">
        <v>2022</v>
      </c>
      <c r="D2868" t="s">
        <v>18</v>
      </c>
      <c r="E2868" t="s">
        <v>23</v>
      </c>
      <c r="F2868" t="s">
        <v>40</v>
      </c>
      <c r="G2868" t="s">
        <v>8</v>
      </c>
      <c r="H2868">
        <v>178.16</v>
      </c>
    </row>
    <row r="2869" spans="1:8" x14ac:dyDescent="0.3">
      <c r="A2869">
        <v>202212</v>
      </c>
      <c r="B2869" s="1">
        <v>44896</v>
      </c>
      <c r="C2869">
        <v>2022</v>
      </c>
      <c r="D2869" t="s">
        <v>19</v>
      </c>
      <c r="E2869" t="s">
        <v>23</v>
      </c>
      <c r="F2869" t="s">
        <v>40</v>
      </c>
      <c r="G2869" t="s">
        <v>8</v>
      </c>
      <c r="H2869">
        <v>206.77</v>
      </c>
    </row>
    <row r="2870" spans="1:8" x14ac:dyDescent="0.3">
      <c r="A2870">
        <v>202201</v>
      </c>
      <c r="B2870" s="1">
        <v>44562</v>
      </c>
      <c r="C2870">
        <v>2022</v>
      </c>
      <c r="D2870" t="s">
        <v>6</v>
      </c>
      <c r="E2870" t="s">
        <v>24</v>
      </c>
      <c r="F2870" t="s">
        <v>40</v>
      </c>
      <c r="G2870" t="s">
        <v>8</v>
      </c>
      <c r="H2870">
        <v>1604.44</v>
      </c>
    </row>
    <row r="2871" spans="1:8" x14ac:dyDescent="0.3">
      <c r="A2871">
        <v>202202</v>
      </c>
      <c r="B2871" s="1">
        <v>44593</v>
      </c>
      <c r="C2871">
        <v>2022</v>
      </c>
      <c r="D2871" t="s">
        <v>9</v>
      </c>
      <c r="E2871" t="s">
        <v>24</v>
      </c>
      <c r="F2871" t="s">
        <v>40</v>
      </c>
      <c r="G2871" t="s">
        <v>8</v>
      </c>
      <c r="H2871">
        <v>1193.68</v>
      </c>
    </row>
    <row r="2872" spans="1:8" x14ac:dyDescent="0.3">
      <c r="A2872">
        <v>202203</v>
      </c>
      <c r="B2872" s="1">
        <v>44621</v>
      </c>
      <c r="C2872">
        <v>2022</v>
      </c>
      <c r="D2872" t="s">
        <v>10</v>
      </c>
      <c r="E2872" t="s">
        <v>24</v>
      </c>
      <c r="F2872" t="s">
        <v>40</v>
      </c>
      <c r="G2872" t="s">
        <v>8</v>
      </c>
      <c r="H2872">
        <v>1535</v>
      </c>
    </row>
    <row r="2873" spans="1:8" x14ac:dyDescent="0.3">
      <c r="A2873">
        <v>202204</v>
      </c>
      <c r="B2873" s="1">
        <v>44652</v>
      </c>
      <c r="C2873">
        <v>2022</v>
      </c>
      <c r="D2873" t="s">
        <v>11</v>
      </c>
      <c r="E2873" t="s">
        <v>24</v>
      </c>
      <c r="F2873" t="s">
        <v>40</v>
      </c>
      <c r="G2873" t="s">
        <v>8</v>
      </c>
      <c r="H2873">
        <v>2092.5700000000002</v>
      </c>
    </row>
    <row r="2874" spans="1:8" x14ac:dyDescent="0.3">
      <c r="A2874">
        <v>202205</v>
      </c>
      <c r="B2874" s="1">
        <v>44682</v>
      </c>
      <c r="C2874">
        <v>2022</v>
      </c>
      <c r="D2874" t="s">
        <v>12</v>
      </c>
      <c r="E2874" t="s">
        <v>24</v>
      </c>
      <c r="F2874" t="s">
        <v>40</v>
      </c>
      <c r="G2874" t="s">
        <v>8</v>
      </c>
      <c r="H2874">
        <v>1481.16</v>
      </c>
    </row>
    <row r="2875" spans="1:8" x14ac:dyDescent="0.3">
      <c r="A2875">
        <v>202206</v>
      </c>
      <c r="B2875" s="1">
        <v>44713</v>
      </c>
      <c r="C2875">
        <v>2022</v>
      </c>
      <c r="D2875" t="s">
        <v>13</v>
      </c>
      <c r="E2875" t="s">
        <v>24</v>
      </c>
      <c r="F2875" t="s">
        <v>40</v>
      </c>
      <c r="G2875" t="s">
        <v>8</v>
      </c>
      <c r="H2875">
        <v>1362.36</v>
      </c>
    </row>
    <row r="2876" spans="1:8" x14ac:dyDescent="0.3">
      <c r="A2876">
        <v>202207</v>
      </c>
      <c r="B2876" s="1">
        <v>44743</v>
      </c>
      <c r="C2876">
        <v>2022</v>
      </c>
      <c r="D2876" t="s">
        <v>14</v>
      </c>
      <c r="E2876" t="s">
        <v>24</v>
      </c>
      <c r="F2876" t="s">
        <v>40</v>
      </c>
      <c r="G2876" t="s">
        <v>8</v>
      </c>
      <c r="H2876">
        <v>1880.16</v>
      </c>
    </row>
    <row r="2877" spans="1:8" x14ac:dyDescent="0.3">
      <c r="A2877">
        <v>202208</v>
      </c>
      <c r="B2877" s="1">
        <v>44774</v>
      </c>
      <c r="C2877">
        <v>2022</v>
      </c>
      <c r="D2877" t="s">
        <v>15</v>
      </c>
      <c r="E2877" t="s">
        <v>24</v>
      </c>
      <c r="F2877" t="s">
        <v>40</v>
      </c>
      <c r="G2877" t="s">
        <v>8</v>
      </c>
      <c r="H2877">
        <v>1820.27</v>
      </c>
    </row>
    <row r="2878" spans="1:8" x14ac:dyDescent="0.3">
      <c r="A2878">
        <v>202209</v>
      </c>
      <c r="B2878" s="1">
        <v>44805</v>
      </c>
      <c r="C2878">
        <v>2022</v>
      </c>
      <c r="D2878" t="s">
        <v>16</v>
      </c>
      <c r="E2878" t="s">
        <v>24</v>
      </c>
      <c r="F2878" t="s">
        <v>40</v>
      </c>
      <c r="G2878" t="s">
        <v>8</v>
      </c>
      <c r="H2878">
        <v>1315.73</v>
      </c>
    </row>
    <row r="2879" spans="1:8" x14ac:dyDescent="0.3">
      <c r="A2879">
        <v>202210</v>
      </c>
      <c r="B2879" s="1">
        <v>44835</v>
      </c>
      <c r="C2879">
        <v>2022</v>
      </c>
      <c r="D2879" t="s">
        <v>17</v>
      </c>
      <c r="E2879" t="s">
        <v>24</v>
      </c>
      <c r="F2879" t="s">
        <v>40</v>
      </c>
      <c r="G2879" t="s">
        <v>8</v>
      </c>
      <c r="H2879">
        <v>1392.8</v>
      </c>
    </row>
    <row r="2880" spans="1:8" x14ac:dyDescent="0.3">
      <c r="A2880">
        <v>202211</v>
      </c>
      <c r="B2880" s="1">
        <v>44866</v>
      </c>
      <c r="C2880">
        <v>2022</v>
      </c>
      <c r="D2880" t="s">
        <v>18</v>
      </c>
      <c r="E2880" t="s">
        <v>24</v>
      </c>
      <c r="F2880" t="s">
        <v>40</v>
      </c>
      <c r="G2880" t="s">
        <v>8</v>
      </c>
      <c r="H2880">
        <v>1977.42</v>
      </c>
    </row>
    <row r="2881" spans="1:8" x14ac:dyDescent="0.3">
      <c r="A2881">
        <v>202212</v>
      </c>
      <c r="B2881" s="1">
        <v>44896</v>
      </c>
      <c r="C2881">
        <v>2022</v>
      </c>
      <c r="D2881" t="s">
        <v>19</v>
      </c>
      <c r="E2881" t="s">
        <v>24</v>
      </c>
      <c r="F2881" t="s">
        <v>40</v>
      </c>
      <c r="G2881" t="s">
        <v>8</v>
      </c>
      <c r="H2881">
        <v>1382.87</v>
      </c>
    </row>
    <row r="2882" spans="1:8" x14ac:dyDescent="0.3">
      <c r="A2882">
        <v>202201</v>
      </c>
      <c r="B2882" s="1">
        <v>44562</v>
      </c>
      <c r="C2882">
        <v>2022</v>
      </c>
      <c r="D2882" t="s">
        <v>6</v>
      </c>
      <c r="E2882" t="s">
        <v>24</v>
      </c>
      <c r="F2882" t="s">
        <v>40</v>
      </c>
      <c r="G2882" t="s">
        <v>8</v>
      </c>
      <c r="H2882">
        <v>2181.23</v>
      </c>
    </row>
    <row r="2883" spans="1:8" x14ac:dyDescent="0.3">
      <c r="A2883">
        <v>202202</v>
      </c>
      <c r="B2883" s="1">
        <v>44593</v>
      </c>
      <c r="C2883">
        <v>2022</v>
      </c>
      <c r="D2883" t="s">
        <v>9</v>
      </c>
      <c r="E2883" t="s">
        <v>24</v>
      </c>
      <c r="F2883" t="s">
        <v>40</v>
      </c>
      <c r="G2883" t="s">
        <v>8</v>
      </c>
      <c r="H2883">
        <v>1447.61</v>
      </c>
    </row>
    <row r="2884" spans="1:8" x14ac:dyDescent="0.3">
      <c r="A2884">
        <v>202203</v>
      </c>
      <c r="B2884" s="1">
        <v>44621</v>
      </c>
      <c r="C2884">
        <v>2022</v>
      </c>
      <c r="D2884" t="s">
        <v>10</v>
      </c>
      <c r="E2884" t="s">
        <v>24</v>
      </c>
      <c r="F2884" t="s">
        <v>40</v>
      </c>
      <c r="G2884" t="s">
        <v>8</v>
      </c>
      <c r="H2884">
        <v>2057.2199999999998</v>
      </c>
    </row>
    <row r="2885" spans="1:8" x14ac:dyDescent="0.3">
      <c r="A2885">
        <v>202204</v>
      </c>
      <c r="B2885" s="1">
        <v>44652</v>
      </c>
      <c r="C2885">
        <v>2022</v>
      </c>
      <c r="D2885" t="s">
        <v>11</v>
      </c>
      <c r="E2885" t="s">
        <v>24</v>
      </c>
      <c r="F2885" t="s">
        <v>40</v>
      </c>
      <c r="G2885" t="s">
        <v>8</v>
      </c>
      <c r="H2885">
        <v>2952.83</v>
      </c>
    </row>
    <row r="2886" spans="1:8" x14ac:dyDescent="0.3">
      <c r="A2886">
        <v>202205</v>
      </c>
      <c r="B2886" s="1">
        <v>44682</v>
      </c>
      <c r="C2886">
        <v>2022</v>
      </c>
      <c r="D2886" t="s">
        <v>12</v>
      </c>
      <c r="E2886" t="s">
        <v>24</v>
      </c>
      <c r="F2886" t="s">
        <v>40</v>
      </c>
      <c r="G2886" t="s">
        <v>8</v>
      </c>
      <c r="H2886">
        <v>2510.31</v>
      </c>
    </row>
    <row r="2887" spans="1:8" x14ac:dyDescent="0.3">
      <c r="A2887">
        <v>202206</v>
      </c>
      <c r="B2887" s="1">
        <v>44713</v>
      </c>
      <c r="C2887">
        <v>2022</v>
      </c>
      <c r="D2887" t="s">
        <v>13</v>
      </c>
      <c r="E2887" t="s">
        <v>24</v>
      </c>
      <c r="F2887" t="s">
        <v>40</v>
      </c>
      <c r="G2887" t="s">
        <v>8</v>
      </c>
      <c r="H2887">
        <v>2271.44</v>
      </c>
    </row>
    <row r="2888" spans="1:8" x14ac:dyDescent="0.3">
      <c r="A2888">
        <v>202207</v>
      </c>
      <c r="B2888" s="1">
        <v>44743</v>
      </c>
      <c r="C2888">
        <v>2022</v>
      </c>
      <c r="D2888" t="s">
        <v>14</v>
      </c>
      <c r="E2888" t="s">
        <v>24</v>
      </c>
      <c r="F2888" t="s">
        <v>40</v>
      </c>
      <c r="G2888" t="s">
        <v>8</v>
      </c>
      <c r="H2888">
        <v>2197.12</v>
      </c>
    </row>
    <row r="2889" spans="1:8" x14ac:dyDescent="0.3">
      <c r="A2889">
        <v>202208</v>
      </c>
      <c r="B2889" s="1">
        <v>44774</v>
      </c>
      <c r="C2889">
        <v>2022</v>
      </c>
      <c r="D2889" t="s">
        <v>15</v>
      </c>
      <c r="E2889" t="s">
        <v>24</v>
      </c>
      <c r="F2889" t="s">
        <v>40</v>
      </c>
      <c r="G2889" t="s">
        <v>8</v>
      </c>
      <c r="H2889">
        <v>2562.8000000000002</v>
      </c>
    </row>
    <row r="2890" spans="1:8" x14ac:dyDescent="0.3">
      <c r="A2890">
        <v>202209</v>
      </c>
      <c r="B2890" s="1">
        <v>44805</v>
      </c>
      <c r="C2890">
        <v>2022</v>
      </c>
      <c r="D2890" t="s">
        <v>16</v>
      </c>
      <c r="E2890" t="s">
        <v>24</v>
      </c>
      <c r="F2890" t="s">
        <v>40</v>
      </c>
      <c r="G2890" t="s">
        <v>8</v>
      </c>
      <c r="H2890">
        <v>2129.46</v>
      </c>
    </row>
    <row r="2891" spans="1:8" x14ac:dyDescent="0.3">
      <c r="A2891">
        <v>202210</v>
      </c>
      <c r="B2891" s="1">
        <v>44835</v>
      </c>
      <c r="C2891">
        <v>2022</v>
      </c>
      <c r="D2891" t="s">
        <v>17</v>
      </c>
      <c r="E2891" t="s">
        <v>24</v>
      </c>
      <c r="F2891" t="s">
        <v>40</v>
      </c>
      <c r="G2891" t="s">
        <v>8</v>
      </c>
      <c r="H2891">
        <v>2209.46</v>
      </c>
    </row>
    <row r="2892" spans="1:8" x14ac:dyDescent="0.3">
      <c r="A2892">
        <v>202211</v>
      </c>
      <c r="B2892" s="1">
        <v>44866</v>
      </c>
      <c r="C2892">
        <v>2022</v>
      </c>
      <c r="D2892" t="s">
        <v>18</v>
      </c>
      <c r="E2892" t="s">
        <v>24</v>
      </c>
      <c r="F2892" t="s">
        <v>40</v>
      </c>
      <c r="G2892" t="s">
        <v>8</v>
      </c>
      <c r="H2892">
        <v>2428.3200000000002</v>
      </c>
    </row>
    <row r="2893" spans="1:8" x14ac:dyDescent="0.3">
      <c r="A2893">
        <v>202212</v>
      </c>
      <c r="B2893" s="1">
        <v>44896</v>
      </c>
      <c r="C2893">
        <v>2022</v>
      </c>
      <c r="D2893" t="s">
        <v>19</v>
      </c>
      <c r="E2893" t="s">
        <v>24</v>
      </c>
      <c r="F2893" t="s">
        <v>40</v>
      </c>
      <c r="G2893" t="s">
        <v>8</v>
      </c>
      <c r="H2893">
        <v>2173.94</v>
      </c>
    </row>
    <row r="2894" spans="1:8" x14ac:dyDescent="0.3">
      <c r="A2894">
        <v>202201</v>
      </c>
      <c r="B2894" s="1">
        <v>44562</v>
      </c>
      <c r="C2894">
        <v>2022</v>
      </c>
      <c r="D2894" t="s">
        <v>6</v>
      </c>
      <c r="E2894" t="s">
        <v>24</v>
      </c>
      <c r="F2894" t="s">
        <v>40</v>
      </c>
      <c r="G2894" t="s">
        <v>8</v>
      </c>
      <c r="H2894">
        <v>2663.74</v>
      </c>
    </row>
    <row r="2895" spans="1:8" x14ac:dyDescent="0.3">
      <c r="A2895">
        <v>202202</v>
      </c>
      <c r="B2895" s="1">
        <v>44593</v>
      </c>
      <c r="C2895">
        <v>2022</v>
      </c>
      <c r="D2895" t="s">
        <v>9</v>
      </c>
      <c r="E2895" t="s">
        <v>24</v>
      </c>
      <c r="F2895" t="s">
        <v>40</v>
      </c>
      <c r="G2895" t="s">
        <v>8</v>
      </c>
      <c r="H2895">
        <v>1592.65</v>
      </c>
    </row>
    <row r="2896" spans="1:8" x14ac:dyDescent="0.3">
      <c r="A2896">
        <v>202203</v>
      </c>
      <c r="B2896" s="1">
        <v>44621</v>
      </c>
      <c r="C2896">
        <v>2022</v>
      </c>
      <c r="D2896" t="s">
        <v>10</v>
      </c>
      <c r="E2896" t="s">
        <v>24</v>
      </c>
      <c r="F2896" t="s">
        <v>40</v>
      </c>
      <c r="G2896" t="s">
        <v>8</v>
      </c>
      <c r="H2896">
        <v>2232.7399999999998</v>
      </c>
    </row>
    <row r="2897" spans="1:8" x14ac:dyDescent="0.3">
      <c r="A2897">
        <v>202204</v>
      </c>
      <c r="B2897" s="1">
        <v>44652</v>
      </c>
      <c r="C2897">
        <v>2022</v>
      </c>
      <c r="D2897" t="s">
        <v>11</v>
      </c>
      <c r="E2897" t="s">
        <v>24</v>
      </c>
      <c r="F2897" t="s">
        <v>40</v>
      </c>
      <c r="G2897" t="s">
        <v>8</v>
      </c>
      <c r="H2897">
        <v>3549.44</v>
      </c>
    </row>
    <row r="2898" spans="1:8" x14ac:dyDescent="0.3">
      <c r="A2898">
        <v>202205</v>
      </c>
      <c r="B2898" s="1">
        <v>44682</v>
      </c>
      <c r="C2898">
        <v>2022</v>
      </c>
      <c r="D2898" t="s">
        <v>12</v>
      </c>
      <c r="E2898" t="s">
        <v>24</v>
      </c>
      <c r="F2898" t="s">
        <v>40</v>
      </c>
      <c r="G2898" t="s">
        <v>8</v>
      </c>
      <c r="H2898">
        <v>2688.67</v>
      </c>
    </row>
    <row r="2899" spans="1:8" x14ac:dyDescent="0.3">
      <c r="A2899">
        <v>202206</v>
      </c>
      <c r="B2899" s="1">
        <v>44713</v>
      </c>
      <c r="C2899">
        <v>2022</v>
      </c>
      <c r="D2899" t="s">
        <v>13</v>
      </c>
      <c r="E2899" t="s">
        <v>24</v>
      </c>
      <c r="F2899" t="s">
        <v>40</v>
      </c>
      <c r="G2899" t="s">
        <v>8</v>
      </c>
      <c r="H2899">
        <v>2119.31</v>
      </c>
    </row>
    <row r="2900" spans="1:8" x14ac:dyDescent="0.3">
      <c r="A2900">
        <v>202207</v>
      </c>
      <c r="B2900" s="1">
        <v>44743</v>
      </c>
      <c r="C2900">
        <v>2022</v>
      </c>
      <c r="D2900" t="s">
        <v>14</v>
      </c>
      <c r="E2900" t="s">
        <v>24</v>
      </c>
      <c r="F2900" t="s">
        <v>40</v>
      </c>
      <c r="G2900" t="s">
        <v>8</v>
      </c>
      <c r="H2900">
        <v>2501.54</v>
      </c>
    </row>
    <row r="2901" spans="1:8" x14ac:dyDescent="0.3">
      <c r="A2901">
        <v>202208</v>
      </c>
      <c r="B2901" s="1">
        <v>44774</v>
      </c>
      <c r="C2901">
        <v>2022</v>
      </c>
      <c r="D2901" t="s">
        <v>15</v>
      </c>
      <c r="E2901" t="s">
        <v>24</v>
      </c>
      <c r="F2901" t="s">
        <v>40</v>
      </c>
      <c r="G2901" t="s">
        <v>8</v>
      </c>
      <c r="H2901">
        <v>2821.89</v>
      </c>
    </row>
    <row r="2902" spans="1:8" x14ac:dyDescent="0.3">
      <c r="A2902">
        <v>202209</v>
      </c>
      <c r="B2902" s="1">
        <v>44805</v>
      </c>
      <c r="C2902">
        <v>2022</v>
      </c>
      <c r="D2902" t="s">
        <v>16</v>
      </c>
      <c r="E2902" t="s">
        <v>24</v>
      </c>
      <c r="F2902" t="s">
        <v>40</v>
      </c>
      <c r="G2902" t="s">
        <v>8</v>
      </c>
      <c r="H2902">
        <v>1955.26</v>
      </c>
    </row>
    <row r="2903" spans="1:8" x14ac:dyDescent="0.3">
      <c r="A2903">
        <v>202210</v>
      </c>
      <c r="B2903" s="1">
        <v>44835</v>
      </c>
      <c r="C2903">
        <v>2022</v>
      </c>
      <c r="D2903" t="s">
        <v>17</v>
      </c>
      <c r="E2903" t="s">
        <v>24</v>
      </c>
      <c r="F2903" t="s">
        <v>40</v>
      </c>
      <c r="G2903" t="s">
        <v>8</v>
      </c>
      <c r="H2903">
        <v>2500.94</v>
      </c>
    </row>
    <row r="2904" spans="1:8" x14ac:dyDescent="0.3">
      <c r="A2904">
        <v>202211</v>
      </c>
      <c r="B2904" s="1">
        <v>44866</v>
      </c>
      <c r="C2904">
        <v>2022</v>
      </c>
      <c r="D2904" t="s">
        <v>18</v>
      </c>
      <c r="E2904" t="s">
        <v>24</v>
      </c>
      <c r="F2904" t="s">
        <v>40</v>
      </c>
      <c r="G2904" t="s">
        <v>8</v>
      </c>
      <c r="H2904">
        <v>2889.79</v>
      </c>
    </row>
    <row r="2905" spans="1:8" x14ac:dyDescent="0.3">
      <c r="A2905">
        <v>202212</v>
      </c>
      <c r="B2905" s="1">
        <v>44896</v>
      </c>
      <c r="C2905">
        <v>2022</v>
      </c>
      <c r="D2905" t="s">
        <v>19</v>
      </c>
      <c r="E2905" t="s">
        <v>24</v>
      </c>
      <c r="F2905" t="s">
        <v>40</v>
      </c>
      <c r="G2905" t="s">
        <v>8</v>
      </c>
      <c r="H2905">
        <v>2316.92</v>
      </c>
    </row>
    <row r="2906" spans="1:8" x14ac:dyDescent="0.3">
      <c r="A2906">
        <v>202201</v>
      </c>
      <c r="B2906" s="1">
        <v>44562</v>
      </c>
      <c r="C2906">
        <v>2022</v>
      </c>
      <c r="D2906" t="s">
        <v>6</v>
      </c>
      <c r="E2906" t="s">
        <v>24</v>
      </c>
      <c r="F2906" t="s">
        <v>40</v>
      </c>
      <c r="G2906" t="s">
        <v>8</v>
      </c>
      <c r="H2906">
        <v>76.23</v>
      </c>
    </row>
    <row r="2907" spans="1:8" x14ac:dyDescent="0.3">
      <c r="A2907">
        <v>202202</v>
      </c>
      <c r="B2907" s="1">
        <v>44593</v>
      </c>
      <c r="C2907">
        <v>2022</v>
      </c>
      <c r="D2907" t="s">
        <v>9</v>
      </c>
      <c r="E2907" t="s">
        <v>24</v>
      </c>
      <c r="F2907" t="s">
        <v>40</v>
      </c>
      <c r="G2907" t="s">
        <v>8</v>
      </c>
      <c r="H2907">
        <v>37.85</v>
      </c>
    </row>
    <row r="2908" spans="1:8" x14ac:dyDescent="0.3">
      <c r="A2908">
        <v>202203</v>
      </c>
      <c r="B2908" s="1">
        <v>44621</v>
      </c>
      <c r="C2908">
        <v>2022</v>
      </c>
      <c r="D2908" t="s">
        <v>10</v>
      </c>
      <c r="E2908" t="s">
        <v>24</v>
      </c>
      <c r="F2908" t="s">
        <v>40</v>
      </c>
      <c r="G2908" t="s">
        <v>8</v>
      </c>
      <c r="H2908">
        <v>50.32</v>
      </c>
    </row>
    <row r="2909" spans="1:8" x14ac:dyDescent="0.3">
      <c r="A2909">
        <v>202204</v>
      </c>
      <c r="B2909" s="1">
        <v>44652</v>
      </c>
      <c r="C2909">
        <v>2022</v>
      </c>
      <c r="D2909" t="s">
        <v>11</v>
      </c>
      <c r="E2909" t="s">
        <v>24</v>
      </c>
      <c r="F2909" t="s">
        <v>40</v>
      </c>
      <c r="G2909" t="s">
        <v>8</v>
      </c>
      <c r="H2909">
        <v>78.760000000000005</v>
      </c>
    </row>
    <row r="2910" spans="1:8" x14ac:dyDescent="0.3">
      <c r="A2910">
        <v>202205</v>
      </c>
      <c r="B2910" s="1">
        <v>44682</v>
      </c>
      <c r="C2910">
        <v>2022</v>
      </c>
      <c r="D2910" t="s">
        <v>12</v>
      </c>
      <c r="E2910" t="s">
        <v>24</v>
      </c>
      <c r="F2910" t="s">
        <v>40</v>
      </c>
      <c r="G2910" t="s">
        <v>8</v>
      </c>
      <c r="H2910">
        <v>42.83</v>
      </c>
    </row>
    <row r="2911" spans="1:8" x14ac:dyDescent="0.3">
      <c r="A2911">
        <v>202206</v>
      </c>
      <c r="B2911" s="1">
        <v>44713</v>
      </c>
      <c r="C2911">
        <v>2022</v>
      </c>
      <c r="D2911" t="s">
        <v>13</v>
      </c>
      <c r="E2911" t="s">
        <v>24</v>
      </c>
      <c r="F2911" t="s">
        <v>40</v>
      </c>
      <c r="G2911" t="s">
        <v>8</v>
      </c>
      <c r="H2911">
        <v>53.07</v>
      </c>
    </row>
    <row r="2912" spans="1:8" x14ac:dyDescent="0.3">
      <c r="A2912">
        <v>202207</v>
      </c>
      <c r="B2912" s="1">
        <v>44743</v>
      </c>
      <c r="C2912">
        <v>2022</v>
      </c>
      <c r="D2912" t="s">
        <v>14</v>
      </c>
      <c r="E2912" t="s">
        <v>24</v>
      </c>
      <c r="F2912" t="s">
        <v>40</v>
      </c>
      <c r="G2912" t="s">
        <v>8</v>
      </c>
      <c r="H2912">
        <v>61.22</v>
      </c>
    </row>
    <row r="2913" spans="1:8" x14ac:dyDescent="0.3">
      <c r="A2913">
        <v>202208</v>
      </c>
      <c r="B2913" s="1">
        <v>44774</v>
      </c>
      <c r="C2913">
        <v>2022</v>
      </c>
      <c r="D2913" t="s">
        <v>15</v>
      </c>
      <c r="E2913" t="s">
        <v>24</v>
      </c>
      <c r="F2913" t="s">
        <v>40</v>
      </c>
      <c r="G2913" t="s">
        <v>8</v>
      </c>
      <c r="H2913">
        <v>60.3</v>
      </c>
    </row>
    <row r="2914" spans="1:8" x14ac:dyDescent="0.3">
      <c r="A2914">
        <v>202209</v>
      </c>
      <c r="B2914" s="1">
        <v>44805</v>
      </c>
      <c r="C2914">
        <v>2022</v>
      </c>
      <c r="D2914" t="s">
        <v>16</v>
      </c>
      <c r="E2914" t="s">
        <v>24</v>
      </c>
      <c r="F2914" t="s">
        <v>40</v>
      </c>
      <c r="G2914" t="s">
        <v>8</v>
      </c>
      <c r="H2914">
        <v>49.3</v>
      </c>
    </row>
    <row r="2915" spans="1:8" x14ac:dyDescent="0.3">
      <c r="A2915">
        <v>202210</v>
      </c>
      <c r="B2915" s="1">
        <v>44835</v>
      </c>
      <c r="C2915">
        <v>2022</v>
      </c>
      <c r="D2915" t="s">
        <v>17</v>
      </c>
      <c r="E2915" t="s">
        <v>24</v>
      </c>
      <c r="F2915" t="s">
        <v>40</v>
      </c>
      <c r="G2915" t="s">
        <v>8</v>
      </c>
      <c r="H2915">
        <v>55.26</v>
      </c>
    </row>
    <row r="2916" spans="1:8" x14ac:dyDescent="0.3">
      <c r="A2916">
        <v>202211</v>
      </c>
      <c r="B2916" s="1">
        <v>44866</v>
      </c>
      <c r="C2916">
        <v>2022</v>
      </c>
      <c r="D2916" t="s">
        <v>18</v>
      </c>
      <c r="E2916" t="s">
        <v>24</v>
      </c>
      <c r="F2916" t="s">
        <v>40</v>
      </c>
      <c r="G2916" t="s">
        <v>8</v>
      </c>
      <c r="H2916">
        <v>58.25</v>
      </c>
    </row>
    <row r="2917" spans="1:8" x14ac:dyDescent="0.3">
      <c r="A2917">
        <v>202212</v>
      </c>
      <c r="B2917" s="1">
        <v>44896</v>
      </c>
      <c r="C2917">
        <v>2022</v>
      </c>
      <c r="D2917" t="s">
        <v>19</v>
      </c>
      <c r="E2917" t="s">
        <v>24</v>
      </c>
      <c r="F2917" t="s">
        <v>40</v>
      </c>
      <c r="G2917" t="s">
        <v>8</v>
      </c>
      <c r="H2917">
        <v>51.12</v>
      </c>
    </row>
    <row r="2918" spans="1:8" x14ac:dyDescent="0.3">
      <c r="A2918">
        <v>202201</v>
      </c>
      <c r="B2918" s="1">
        <v>44562</v>
      </c>
      <c r="C2918">
        <v>2022</v>
      </c>
      <c r="D2918" t="s">
        <v>6</v>
      </c>
      <c r="E2918" t="s">
        <v>24</v>
      </c>
      <c r="F2918" t="s">
        <v>40</v>
      </c>
      <c r="G2918" t="s">
        <v>8</v>
      </c>
      <c r="H2918">
        <v>497.96</v>
      </c>
    </row>
    <row r="2919" spans="1:8" x14ac:dyDescent="0.3">
      <c r="A2919">
        <v>202202</v>
      </c>
      <c r="B2919" s="1">
        <v>44593</v>
      </c>
      <c r="C2919">
        <v>2022</v>
      </c>
      <c r="D2919" t="s">
        <v>9</v>
      </c>
      <c r="E2919" t="s">
        <v>24</v>
      </c>
      <c r="F2919" t="s">
        <v>40</v>
      </c>
      <c r="G2919" t="s">
        <v>8</v>
      </c>
      <c r="H2919">
        <v>375.1</v>
      </c>
    </row>
    <row r="2920" spans="1:8" x14ac:dyDescent="0.3">
      <c r="A2920">
        <v>202203</v>
      </c>
      <c r="B2920" s="1">
        <v>44621</v>
      </c>
      <c r="C2920">
        <v>2022</v>
      </c>
      <c r="D2920" t="s">
        <v>10</v>
      </c>
      <c r="E2920" t="s">
        <v>24</v>
      </c>
      <c r="F2920" t="s">
        <v>40</v>
      </c>
      <c r="G2920" t="s">
        <v>8</v>
      </c>
      <c r="H2920">
        <v>508.16</v>
      </c>
    </row>
    <row r="2921" spans="1:8" x14ac:dyDescent="0.3">
      <c r="A2921">
        <v>202204</v>
      </c>
      <c r="B2921" s="1">
        <v>44652</v>
      </c>
      <c r="C2921">
        <v>2022</v>
      </c>
      <c r="D2921" t="s">
        <v>11</v>
      </c>
      <c r="E2921" t="s">
        <v>24</v>
      </c>
      <c r="F2921" t="s">
        <v>40</v>
      </c>
      <c r="G2921" t="s">
        <v>8</v>
      </c>
      <c r="H2921">
        <v>712.52</v>
      </c>
    </row>
    <row r="2922" spans="1:8" x14ac:dyDescent="0.3">
      <c r="A2922">
        <v>202205</v>
      </c>
      <c r="B2922" s="1">
        <v>44682</v>
      </c>
      <c r="C2922">
        <v>2022</v>
      </c>
      <c r="D2922" t="s">
        <v>12</v>
      </c>
      <c r="E2922" t="s">
        <v>24</v>
      </c>
      <c r="F2922" t="s">
        <v>40</v>
      </c>
      <c r="G2922" t="s">
        <v>8</v>
      </c>
      <c r="H2922">
        <v>531.27</v>
      </c>
    </row>
    <row r="2923" spans="1:8" x14ac:dyDescent="0.3">
      <c r="A2923">
        <v>202206</v>
      </c>
      <c r="B2923" s="1">
        <v>44713</v>
      </c>
      <c r="C2923">
        <v>2022</v>
      </c>
      <c r="D2923" t="s">
        <v>13</v>
      </c>
      <c r="E2923" t="s">
        <v>24</v>
      </c>
      <c r="F2923" t="s">
        <v>40</v>
      </c>
      <c r="G2923" t="s">
        <v>8</v>
      </c>
      <c r="H2923">
        <v>454.08</v>
      </c>
    </row>
    <row r="2924" spans="1:8" x14ac:dyDescent="0.3">
      <c r="A2924">
        <v>202207</v>
      </c>
      <c r="B2924" s="1">
        <v>44743</v>
      </c>
      <c r="C2924">
        <v>2022</v>
      </c>
      <c r="D2924" t="s">
        <v>14</v>
      </c>
      <c r="E2924" t="s">
        <v>24</v>
      </c>
      <c r="F2924" t="s">
        <v>40</v>
      </c>
      <c r="G2924" t="s">
        <v>8</v>
      </c>
      <c r="H2924">
        <v>515.16</v>
      </c>
    </row>
    <row r="2925" spans="1:8" x14ac:dyDescent="0.3">
      <c r="A2925">
        <v>202208</v>
      </c>
      <c r="B2925" s="1">
        <v>44774</v>
      </c>
      <c r="C2925">
        <v>2022</v>
      </c>
      <c r="D2925" t="s">
        <v>15</v>
      </c>
      <c r="E2925" t="s">
        <v>24</v>
      </c>
      <c r="F2925" t="s">
        <v>40</v>
      </c>
      <c r="G2925" t="s">
        <v>8</v>
      </c>
      <c r="H2925">
        <v>553.45000000000005</v>
      </c>
    </row>
    <row r="2926" spans="1:8" x14ac:dyDescent="0.3">
      <c r="A2926">
        <v>202209</v>
      </c>
      <c r="B2926" s="1">
        <v>44805</v>
      </c>
      <c r="C2926">
        <v>2022</v>
      </c>
      <c r="D2926" t="s">
        <v>16</v>
      </c>
      <c r="E2926" t="s">
        <v>24</v>
      </c>
      <c r="F2926" t="s">
        <v>40</v>
      </c>
      <c r="G2926" t="s">
        <v>8</v>
      </c>
      <c r="H2926">
        <v>506.86</v>
      </c>
    </row>
    <row r="2927" spans="1:8" x14ac:dyDescent="0.3">
      <c r="A2927">
        <v>202210</v>
      </c>
      <c r="B2927" s="1">
        <v>44835</v>
      </c>
      <c r="C2927">
        <v>2022</v>
      </c>
      <c r="D2927" t="s">
        <v>17</v>
      </c>
      <c r="E2927" t="s">
        <v>24</v>
      </c>
      <c r="F2927" t="s">
        <v>40</v>
      </c>
      <c r="G2927" t="s">
        <v>8</v>
      </c>
      <c r="H2927">
        <v>579.13</v>
      </c>
    </row>
    <row r="2928" spans="1:8" x14ac:dyDescent="0.3">
      <c r="A2928">
        <v>202211</v>
      </c>
      <c r="B2928" s="1">
        <v>44866</v>
      </c>
      <c r="C2928">
        <v>2022</v>
      </c>
      <c r="D2928" t="s">
        <v>18</v>
      </c>
      <c r="E2928" t="s">
        <v>24</v>
      </c>
      <c r="F2928" t="s">
        <v>40</v>
      </c>
      <c r="G2928" t="s">
        <v>8</v>
      </c>
      <c r="H2928">
        <v>582.09</v>
      </c>
    </row>
    <row r="2929" spans="1:8" x14ac:dyDescent="0.3">
      <c r="A2929">
        <v>202212</v>
      </c>
      <c r="B2929" s="1">
        <v>44896</v>
      </c>
      <c r="C2929">
        <v>2022</v>
      </c>
      <c r="D2929" t="s">
        <v>19</v>
      </c>
      <c r="E2929" t="s">
        <v>24</v>
      </c>
      <c r="F2929" t="s">
        <v>40</v>
      </c>
      <c r="G2929" t="s">
        <v>8</v>
      </c>
      <c r="H2929">
        <v>500.49</v>
      </c>
    </row>
    <row r="2930" spans="1:8" x14ac:dyDescent="0.3">
      <c r="A2930">
        <v>202201</v>
      </c>
      <c r="B2930" s="1">
        <v>44562</v>
      </c>
      <c r="C2930">
        <v>2022</v>
      </c>
      <c r="D2930" t="s">
        <v>6</v>
      </c>
      <c r="E2930" t="s">
        <v>24</v>
      </c>
      <c r="F2930" t="s">
        <v>40</v>
      </c>
      <c r="G2930" t="s">
        <v>8</v>
      </c>
      <c r="H2930">
        <v>422.89</v>
      </c>
    </row>
    <row r="2931" spans="1:8" x14ac:dyDescent="0.3">
      <c r="A2931">
        <v>202202</v>
      </c>
      <c r="B2931" s="1">
        <v>44593</v>
      </c>
      <c r="C2931">
        <v>2022</v>
      </c>
      <c r="D2931" t="s">
        <v>9</v>
      </c>
      <c r="E2931" t="s">
        <v>24</v>
      </c>
      <c r="F2931" t="s">
        <v>40</v>
      </c>
      <c r="G2931" t="s">
        <v>8</v>
      </c>
      <c r="H2931">
        <v>291.3</v>
      </c>
    </row>
    <row r="2932" spans="1:8" x14ac:dyDescent="0.3">
      <c r="A2932">
        <v>202203</v>
      </c>
      <c r="B2932" s="1">
        <v>44621</v>
      </c>
      <c r="C2932">
        <v>2022</v>
      </c>
      <c r="D2932" t="s">
        <v>10</v>
      </c>
      <c r="E2932" t="s">
        <v>24</v>
      </c>
      <c r="F2932" t="s">
        <v>40</v>
      </c>
      <c r="G2932" t="s">
        <v>8</v>
      </c>
      <c r="H2932">
        <v>334.57</v>
      </c>
    </row>
    <row r="2933" spans="1:8" x14ac:dyDescent="0.3">
      <c r="A2933">
        <v>202204</v>
      </c>
      <c r="B2933" s="1">
        <v>44652</v>
      </c>
      <c r="C2933">
        <v>2022</v>
      </c>
      <c r="D2933" t="s">
        <v>11</v>
      </c>
      <c r="E2933" t="s">
        <v>24</v>
      </c>
      <c r="F2933" t="s">
        <v>40</v>
      </c>
      <c r="G2933" t="s">
        <v>8</v>
      </c>
      <c r="H2933">
        <v>496.58</v>
      </c>
    </row>
    <row r="2934" spans="1:8" x14ac:dyDescent="0.3">
      <c r="A2934">
        <v>202205</v>
      </c>
      <c r="B2934" s="1">
        <v>44682</v>
      </c>
      <c r="C2934">
        <v>2022</v>
      </c>
      <c r="D2934" t="s">
        <v>12</v>
      </c>
      <c r="E2934" t="s">
        <v>24</v>
      </c>
      <c r="F2934" t="s">
        <v>40</v>
      </c>
      <c r="G2934" t="s">
        <v>8</v>
      </c>
      <c r="H2934">
        <v>382.01</v>
      </c>
    </row>
    <row r="2935" spans="1:8" x14ac:dyDescent="0.3">
      <c r="A2935">
        <v>202206</v>
      </c>
      <c r="B2935" s="1">
        <v>44713</v>
      </c>
      <c r="C2935">
        <v>2022</v>
      </c>
      <c r="D2935" t="s">
        <v>13</v>
      </c>
      <c r="E2935" t="s">
        <v>24</v>
      </c>
      <c r="F2935" t="s">
        <v>40</v>
      </c>
      <c r="G2935" t="s">
        <v>8</v>
      </c>
      <c r="H2935">
        <v>397.67</v>
      </c>
    </row>
    <row r="2936" spans="1:8" x14ac:dyDescent="0.3">
      <c r="A2936">
        <v>202207</v>
      </c>
      <c r="B2936" s="1">
        <v>44743</v>
      </c>
      <c r="C2936">
        <v>2022</v>
      </c>
      <c r="D2936" t="s">
        <v>14</v>
      </c>
      <c r="E2936" t="s">
        <v>24</v>
      </c>
      <c r="F2936" t="s">
        <v>40</v>
      </c>
      <c r="G2936" t="s">
        <v>8</v>
      </c>
      <c r="H2936">
        <v>424.34</v>
      </c>
    </row>
    <row r="2937" spans="1:8" x14ac:dyDescent="0.3">
      <c r="A2937">
        <v>202208</v>
      </c>
      <c r="B2937" s="1">
        <v>44774</v>
      </c>
      <c r="C2937">
        <v>2022</v>
      </c>
      <c r="D2937" t="s">
        <v>15</v>
      </c>
      <c r="E2937" t="s">
        <v>24</v>
      </c>
      <c r="F2937" t="s">
        <v>40</v>
      </c>
      <c r="G2937" t="s">
        <v>8</v>
      </c>
      <c r="H2937">
        <v>494.58</v>
      </c>
    </row>
    <row r="2938" spans="1:8" x14ac:dyDescent="0.3">
      <c r="A2938">
        <v>202209</v>
      </c>
      <c r="B2938" s="1">
        <v>44805</v>
      </c>
      <c r="C2938">
        <v>2022</v>
      </c>
      <c r="D2938" t="s">
        <v>16</v>
      </c>
      <c r="E2938" t="s">
        <v>24</v>
      </c>
      <c r="F2938" t="s">
        <v>40</v>
      </c>
      <c r="G2938" t="s">
        <v>8</v>
      </c>
      <c r="H2938">
        <v>367.06</v>
      </c>
    </row>
    <row r="2939" spans="1:8" x14ac:dyDescent="0.3">
      <c r="A2939">
        <v>202210</v>
      </c>
      <c r="B2939" s="1">
        <v>44835</v>
      </c>
      <c r="C2939">
        <v>2022</v>
      </c>
      <c r="D2939" t="s">
        <v>17</v>
      </c>
      <c r="E2939" t="s">
        <v>24</v>
      </c>
      <c r="F2939" t="s">
        <v>40</v>
      </c>
      <c r="G2939" t="s">
        <v>8</v>
      </c>
      <c r="H2939">
        <v>402.42</v>
      </c>
    </row>
    <row r="2940" spans="1:8" x14ac:dyDescent="0.3">
      <c r="A2940">
        <v>202211</v>
      </c>
      <c r="B2940" s="1">
        <v>44866</v>
      </c>
      <c r="C2940">
        <v>2022</v>
      </c>
      <c r="D2940" t="s">
        <v>18</v>
      </c>
      <c r="E2940" t="s">
        <v>24</v>
      </c>
      <c r="F2940" t="s">
        <v>40</v>
      </c>
      <c r="G2940" t="s">
        <v>8</v>
      </c>
      <c r="H2940">
        <v>458.54</v>
      </c>
    </row>
    <row r="2941" spans="1:8" x14ac:dyDescent="0.3">
      <c r="A2941">
        <v>202212</v>
      </c>
      <c r="B2941" s="1">
        <v>44896</v>
      </c>
      <c r="C2941">
        <v>2022</v>
      </c>
      <c r="D2941" t="s">
        <v>19</v>
      </c>
      <c r="E2941" t="s">
        <v>24</v>
      </c>
      <c r="F2941" t="s">
        <v>40</v>
      </c>
      <c r="G2941" t="s">
        <v>8</v>
      </c>
      <c r="H2941">
        <v>326.22000000000003</v>
      </c>
    </row>
    <row r="2942" spans="1:8" x14ac:dyDescent="0.3">
      <c r="A2942">
        <v>202201</v>
      </c>
      <c r="B2942" s="1">
        <v>44562</v>
      </c>
      <c r="C2942">
        <v>2022</v>
      </c>
      <c r="D2942" t="s">
        <v>6</v>
      </c>
      <c r="E2942" t="s">
        <v>25</v>
      </c>
      <c r="F2942" t="s">
        <v>40</v>
      </c>
      <c r="G2942" t="s">
        <v>8</v>
      </c>
      <c r="H2942">
        <v>37.950000000000003</v>
      </c>
    </row>
    <row r="2943" spans="1:8" x14ac:dyDescent="0.3">
      <c r="A2943">
        <v>202202</v>
      </c>
      <c r="B2943" s="1">
        <v>44593</v>
      </c>
      <c r="C2943">
        <v>2022</v>
      </c>
      <c r="D2943" t="s">
        <v>9</v>
      </c>
      <c r="E2943" t="s">
        <v>25</v>
      </c>
      <c r="F2943" t="s">
        <v>40</v>
      </c>
      <c r="G2943" t="s">
        <v>8</v>
      </c>
      <c r="H2943">
        <v>18.079999999999998</v>
      </c>
    </row>
    <row r="2944" spans="1:8" x14ac:dyDescent="0.3">
      <c r="A2944">
        <v>202203</v>
      </c>
      <c r="B2944" s="1">
        <v>44621</v>
      </c>
      <c r="C2944">
        <v>2022</v>
      </c>
      <c r="D2944" t="s">
        <v>10</v>
      </c>
      <c r="E2944" t="s">
        <v>25</v>
      </c>
      <c r="F2944" t="s">
        <v>40</v>
      </c>
      <c r="G2944" t="s">
        <v>8</v>
      </c>
      <c r="H2944">
        <v>25.61</v>
      </c>
    </row>
    <row r="2945" spans="1:8" x14ac:dyDescent="0.3">
      <c r="A2945">
        <v>202204</v>
      </c>
      <c r="B2945" s="1">
        <v>44652</v>
      </c>
      <c r="C2945">
        <v>2022</v>
      </c>
      <c r="D2945" t="s">
        <v>11</v>
      </c>
      <c r="E2945" t="s">
        <v>25</v>
      </c>
      <c r="F2945" t="s">
        <v>40</v>
      </c>
      <c r="G2945" t="s">
        <v>8</v>
      </c>
      <c r="H2945">
        <v>34.049999999999997</v>
      </c>
    </row>
    <row r="2946" spans="1:8" x14ac:dyDescent="0.3">
      <c r="A2946">
        <v>202205</v>
      </c>
      <c r="B2946" s="1">
        <v>44682</v>
      </c>
      <c r="C2946">
        <v>2022</v>
      </c>
      <c r="D2946" t="s">
        <v>12</v>
      </c>
      <c r="E2946" t="s">
        <v>25</v>
      </c>
      <c r="F2946" t="s">
        <v>40</v>
      </c>
      <c r="G2946" t="s">
        <v>8</v>
      </c>
      <c r="H2946">
        <v>23.49</v>
      </c>
    </row>
    <row r="2947" spans="1:8" x14ac:dyDescent="0.3">
      <c r="A2947">
        <v>202206</v>
      </c>
      <c r="B2947" s="1">
        <v>44713</v>
      </c>
      <c r="C2947">
        <v>2022</v>
      </c>
      <c r="D2947" t="s">
        <v>13</v>
      </c>
      <c r="E2947" t="s">
        <v>25</v>
      </c>
      <c r="F2947" t="s">
        <v>40</v>
      </c>
      <c r="G2947" t="s">
        <v>8</v>
      </c>
      <c r="H2947">
        <v>30.06</v>
      </c>
    </row>
    <row r="2948" spans="1:8" x14ac:dyDescent="0.3">
      <c r="A2948">
        <v>202207</v>
      </c>
      <c r="B2948" s="1">
        <v>44743</v>
      </c>
      <c r="C2948">
        <v>2022</v>
      </c>
      <c r="D2948" t="s">
        <v>14</v>
      </c>
      <c r="E2948" t="s">
        <v>25</v>
      </c>
      <c r="F2948" t="s">
        <v>40</v>
      </c>
      <c r="G2948" t="s">
        <v>8</v>
      </c>
      <c r="H2948">
        <v>28.76</v>
      </c>
    </row>
    <row r="2949" spans="1:8" x14ac:dyDescent="0.3">
      <c r="A2949">
        <v>202208</v>
      </c>
      <c r="B2949" s="1">
        <v>44774</v>
      </c>
      <c r="C2949">
        <v>2022</v>
      </c>
      <c r="D2949" t="s">
        <v>15</v>
      </c>
      <c r="E2949" t="s">
        <v>25</v>
      </c>
      <c r="F2949" t="s">
        <v>40</v>
      </c>
      <c r="G2949" t="s">
        <v>8</v>
      </c>
      <c r="H2949">
        <v>25.39</v>
      </c>
    </row>
    <row r="2950" spans="1:8" x14ac:dyDescent="0.3">
      <c r="A2950">
        <v>202209</v>
      </c>
      <c r="B2950" s="1">
        <v>44805</v>
      </c>
      <c r="C2950">
        <v>2022</v>
      </c>
      <c r="D2950" t="s">
        <v>16</v>
      </c>
      <c r="E2950" t="s">
        <v>25</v>
      </c>
      <c r="F2950" t="s">
        <v>40</v>
      </c>
      <c r="G2950" t="s">
        <v>8</v>
      </c>
      <c r="H2950">
        <v>26.39</v>
      </c>
    </row>
    <row r="2951" spans="1:8" x14ac:dyDescent="0.3">
      <c r="A2951">
        <v>202210</v>
      </c>
      <c r="B2951" s="1">
        <v>44835</v>
      </c>
      <c r="C2951">
        <v>2022</v>
      </c>
      <c r="D2951" t="s">
        <v>17</v>
      </c>
      <c r="E2951" t="s">
        <v>25</v>
      </c>
      <c r="F2951" t="s">
        <v>40</v>
      </c>
      <c r="G2951" t="s">
        <v>8</v>
      </c>
      <c r="H2951">
        <v>22.4</v>
      </c>
    </row>
    <row r="2952" spans="1:8" x14ac:dyDescent="0.3">
      <c r="A2952">
        <v>202211</v>
      </c>
      <c r="B2952" s="1">
        <v>44866</v>
      </c>
      <c r="C2952">
        <v>2022</v>
      </c>
      <c r="D2952" t="s">
        <v>18</v>
      </c>
      <c r="E2952" t="s">
        <v>25</v>
      </c>
      <c r="F2952" t="s">
        <v>40</v>
      </c>
      <c r="G2952" t="s">
        <v>8</v>
      </c>
      <c r="H2952">
        <v>25.87</v>
      </c>
    </row>
    <row r="2953" spans="1:8" x14ac:dyDescent="0.3">
      <c r="A2953">
        <v>202212</v>
      </c>
      <c r="B2953" s="1">
        <v>44896</v>
      </c>
      <c r="C2953">
        <v>2022</v>
      </c>
      <c r="D2953" t="s">
        <v>19</v>
      </c>
      <c r="E2953" t="s">
        <v>25</v>
      </c>
      <c r="F2953" t="s">
        <v>40</v>
      </c>
      <c r="G2953" t="s">
        <v>8</v>
      </c>
      <c r="H2953">
        <v>22.73</v>
      </c>
    </row>
    <row r="2954" spans="1:8" x14ac:dyDescent="0.3">
      <c r="A2954">
        <v>202201</v>
      </c>
      <c r="B2954" s="1">
        <v>44562</v>
      </c>
      <c r="C2954">
        <v>2022</v>
      </c>
      <c r="D2954" t="s">
        <v>6</v>
      </c>
      <c r="E2954" t="s">
        <v>25</v>
      </c>
      <c r="F2954" t="s">
        <v>40</v>
      </c>
      <c r="G2954" t="s">
        <v>8</v>
      </c>
      <c r="H2954">
        <v>78.92</v>
      </c>
    </row>
    <row r="2955" spans="1:8" x14ac:dyDescent="0.3">
      <c r="A2955">
        <v>202202</v>
      </c>
      <c r="B2955" s="1">
        <v>44593</v>
      </c>
      <c r="C2955">
        <v>2022</v>
      </c>
      <c r="D2955" t="s">
        <v>9</v>
      </c>
      <c r="E2955" t="s">
        <v>25</v>
      </c>
      <c r="F2955" t="s">
        <v>40</v>
      </c>
      <c r="G2955" t="s">
        <v>8</v>
      </c>
      <c r="H2955">
        <v>57.94</v>
      </c>
    </row>
    <row r="2956" spans="1:8" x14ac:dyDescent="0.3">
      <c r="A2956">
        <v>202203</v>
      </c>
      <c r="B2956" s="1">
        <v>44621</v>
      </c>
      <c r="C2956">
        <v>2022</v>
      </c>
      <c r="D2956" t="s">
        <v>10</v>
      </c>
      <c r="E2956" t="s">
        <v>25</v>
      </c>
      <c r="F2956" t="s">
        <v>40</v>
      </c>
      <c r="G2956" t="s">
        <v>8</v>
      </c>
      <c r="H2956">
        <v>64.510000000000005</v>
      </c>
    </row>
    <row r="2957" spans="1:8" x14ac:dyDescent="0.3">
      <c r="A2957">
        <v>202204</v>
      </c>
      <c r="B2957" s="1">
        <v>44652</v>
      </c>
      <c r="C2957">
        <v>2022</v>
      </c>
      <c r="D2957" t="s">
        <v>11</v>
      </c>
      <c r="E2957" t="s">
        <v>25</v>
      </c>
      <c r="F2957" t="s">
        <v>40</v>
      </c>
      <c r="G2957" t="s">
        <v>8</v>
      </c>
      <c r="H2957">
        <v>89.91</v>
      </c>
    </row>
    <row r="2958" spans="1:8" x14ac:dyDescent="0.3">
      <c r="A2958">
        <v>202205</v>
      </c>
      <c r="B2958" s="1">
        <v>44682</v>
      </c>
      <c r="C2958">
        <v>2022</v>
      </c>
      <c r="D2958" t="s">
        <v>12</v>
      </c>
      <c r="E2958" t="s">
        <v>25</v>
      </c>
      <c r="F2958" t="s">
        <v>40</v>
      </c>
      <c r="G2958" t="s">
        <v>8</v>
      </c>
      <c r="H2958">
        <v>64.650000000000006</v>
      </c>
    </row>
    <row r="2959" spans="1:8" x14ac:dyDescent="0.3">
      <c r="A2959">
        <v>202206</v>
      </c>
      <c r="B2959" s="1">
        <v>44713</v>
      </c>
      <c r="C2959">
        <v>2022</v>
      </c>
      <c r="D2959" t="s">
        <v>13</v>
      </c>
      <c r="E2959" t="s">
        <v>25</v>
      </c>
      <c r="F2959" t="s">
        <v>40</v>
      </c>
      <c r="G2959" t="s">
        <v>8</v>
      </c>
      <c r="H2959">
        <v>62.77</v>
      </c>
    </row>
    <row r="2960" spans="1:8" x14ac:dyDescent="0.3">
      <c r="A2960">
        <v>202207</v>
      </c>
      <c r="B2960" s="1">
        <v>44743</v>
      </c>
      <c r="C2960">
        <v>2022</v>
      </c>
      <c r="D2960" t="s">
        <v>14</v>
      </c>
      <c r="E2960" t="s">
        <v>25</v>
      </c>
      <c r="F2960" t="s">
        <v>40</v>
      </c>
      <c r="G2960" t="s">
        <v>8</v>
      </c>
      <c r="H2960">
        <v>81.52</v>
      </c>
    </row>
    <row r="2961" spans="1:8" x14ac:dyDescent="0.3">
      <c r="A2961">
        <v>202208</v>
      </c>
      <c r="B2961" s="1">
        <v>44774</v>
      </c>
      <c r="C2961">
        <v>2022</v>
      </c>
      <c r="D2961" t="s">
        <v>15</v>
      </c>
      <c r="E2961" t="s">
        <v>25</v>
      </c>
      <c r="F2961" t="s">
        <v>40</v>
      </c>
      <c r="G2961" t="s">
        <v>8</v>
      </c>
      <c r="H2961">
        <v>66.72</v>
      </c>
    </row>
    <row r="2962" spans="1:8" x14ac:dyDescent="0.3">
      <c r="A2962">
        <v>202209</v>
      </c>
      <c r="B2962" s="1">
        <v>44805</v>
      </c>
      <c r="C2962">
        <v>2022</v>
      </c>
      <c r="D2962" t="s">
        <v>16</v>
      </c>
      <c r="E2962" t="s">
        <v>25</v>
      </c>
      <c r="F2962" t="s">
        <v>40</v>
      </c>
      <c r="G2962" t="s">
        <v>8</v>
      </c>
      <c r="H2962">
        <v>61.53</v>
      </c>
    </row>
    <row r="2963" spans="1:8" x14ac:dyDescent="0.3">
      <c r="A2963">
        <v>202210</v>
      </c>
      <c r="B2963" s="1">
        <v>44835</v>
      </c>
      <c r="C2963">
        <v>2022</v>
      </c>
      <c r="D2963" t="s">
        <v>17</v>
      </c>
      <c r="E2963" t="s">
        <v>25</v>
      </c>
      <c r="F2963" t="s">
        <v>40</v>
      </c>
      <c r="G2963" t="s">
        <v>8</v>
      </c>
      <c r="H2963">
        <v>56.03</v>
      </c>
    </row>
    <row r="2964" spans="1:8" x14ac:dyDescent="0.3">
      <c r="A2964">
        <v>202211</v>
      </c>
      <c r="B2964" s="1">
        <v>44866</v>
      </c>
      <c r="C2964">
        <v>2022</v>
      </c>
      <c r="D2964" t="s">
        <v>18</v>
      </c>
      <c r="E2964" t="s">
        <v>25</v>
      </c>
      <c r="F2964" t="s">
        <v>40</v>
      </c>
      <c r="G2964" t="s">
        <v>8</v>
      </c>
      <c r="H2964">
        <v>66.680000000000007</v>
      </c>
    </row>
    <row r="2965" spans="1:8" x14ac:dyDescent="0.3">
      <c r="A2965">
        <v>202212</v>
      </c>
      <c r="B2965" s="1">
        <v>44896</v>
      </c>
      <c r="C2965">
        <v>2022</v>
      </c>
      <c r="D2965" t="s">
        <v>19</v>
      </c>
      <c r="E2965" t="s">
        <v>25</v>
      </c>
      <c r="F2965" t="s">
        <v>40</v>
      </c>
      <c r="G2965" t="s">
        <v>8</v>
      </c>
      <c r="H2965">
        <v>67.06</v>
      </c>
    </row>
    <row r="2966" spans="1:8" x14ac:dyDescent="0.3">
      <c r="A2966">
        <v>202201</v>
      </c>
      <c r="B2966" s="1">
        <v>44562</v>
      </c>
      <c r="C2966">
        <v>2022</v>
      </c>
      <c r="D2966" t="s">
        <v>6</v>
      </c>
      <c r="E2966" t="s">
        <v>25</v>
      </c>
      <c r="F2966" t="s">
        <v>40</v>
      </c>
      <c r="G2966" t="s">
        <v>8</v>
      </c>
      <c r="H2966">
        <v>211.1</v>
      </c>
    </row>
    <row r="2967" spans="1:8" x14ac:dyDescent="0.3">
      <c r="A2967">
        <v>202202</v>
      </c>
      <c r="B2967" s="1">
        <v>44593</v>
      </c>
      <c r="C2967">
        <v>2022</v>
      </c>
      <c r="D2967" t="s">
        <v>9</v>
      </c>
      <c r="E2967" t="s">
        <v>25</v>
      </c>
      <c r="F2967" t="s">
        <v>40</v>
      </c>
      <c r="G2967" t="s">
        <v>8</v>
      </c>
      <c r="H2967">
        <v>110.39</v>
      </c>
    </row>
    <row r="2968" spans="1:8" x14ac:dyDescent="0.3">
      <c r="A2968">
        <v>202203</v>
      </c>
      <c r="B2968" s="1">
        <v>44621</v>
      </c>
      <c r="C2968">
        <v>2022</v>
      </c>
      <c r="D2968" t="s">
        <v>10</v>
      </c>
      <c r="E2968" t="s">
        <v>25</v>
      </c>
      <c r="F2968" t="s">
        <v>40</v>
      </c>
      <c r="G2968" t="s">
        <v>8</v>
      </c>
      <c r="H2968">
        <v>148.91</v>
      </c>
    </row>
    <row r="2969" spans="1:8" x14ac:dyDescent="0.3">
      <c r="A2969">
        <v>202204</v>
      </c>
      <c r="B2969" s="1">
        <v>44652</v>
      </c>
      <c r="C2969">
        <v>2022</v>
      </c>
      <c r="D2969" t="s">
        <v>11</v>
      </c>
      <c r="E2969" t="s">
        <v>25</v>
      </c>
      <c r="F2969" t="s">
        <v>40</v>
      </c>
      <c r="G2969" t="s">
        <v>8</v>
      </c>
      <c r="H2969">
        <v>213.2</v>
      </c>
    </row>
    <row r="2970" spans="1:8" x14ac:dyDescent="0.3">
      <c r="A2970">
        <v>202205</v>
      </c>
      <c r="B2970" s="1">
        <v>44682</v>
      </c>
      <c r="C2970">
        <v>2022</v>
      </c>
      <c r="D2970" t="s">
        <v>12</v>
      </c>
      <c r="E2970" t="s">
        <v>25</v>
      </c>
      <c r="F2970" t="s">
        <v>40</v>
      </c>
      <c r="G2970" t="s">
        <v>8</v>
      </c>
      <c r="H2970">
        <v>160.37</v>
      </c>
    </row>
    <row r="2971" spans="1:8" x14ac:dyDescent="0.3">
      <c r="A2971">
        <v>202206</v>
      </c>
      <c r="B2971" s="1">
        <v>44713</v>
      </c>
      <c r="C2971">
        <v>2022</v>
      </c>
      <c r="D2971" t="s">
        <v>13</v>
      </c>
      <c r="E2971" t="s">
        <v>25</v>
      </c>
      <c r="F2971" t="s">
        <v>40</v>
      </c>
      <c r="G2971" t="s">
        <v>8</v>
      </c>
      <c r="H2971">
        <v>166.09</v>
      </c>
    </row>
    <row r="2972" spans="1:8" x14ac:dyDescent="0.3">
      <c r="A2972">
        <v>202207</v>
      </c>
      <c r="B2972" s="1">
        <v>44743</v>
      </c>
      <c r="C2972">
        <v>2022</v>
      </c>
      <c r="D2972" t="s">
        <v>14</v>
      </c>
      <c r="E2972" t="s">
        <v>25</v>
      </c>
      <c r="F2972" t="s">
        <v>40</v>
      </c>
      <c r="G2972" t="s">
        <v>8</v>
      </c>
      <c r="H2972">
        <v>194.04</v>
      </c>
    </row>
    <row r="2973" spans="1:8" x14ac:dyDescent="0.3">
      <c r="A2973">
        <v>202208</v>
      </c>
      <c r="B2973" s="1">
        <v>44774</v>
      </c>
      <c r="C2973">
        <v>2022</v>
      </c>
      <c r="D2973" t="s">
        <v>15</v>
      </c>
      <c r="E2973" t="s">
        <v>25</v>
      </c>
      <c r="F2973" t="s">
        <v>40</v>
      </c>
      <c r="G2973" t="s">
        <v>8</v>
      </c>
      <c r="H2973">
        <v>202.06</v>
      </c>
    </row>
    <row r="2974" spans="1:8" x14ac:dyDescent="0.3">
      <c r="A2974">
        <v>202209</v>
      </c>
      <c r="B2974" s="1">
        <v>44805</v>
      </c>
      <c r="C2974">
        <v>2022</v>
      </c>
      <c r="D2974" t="s">
        <v>16</v>
      </c>
      <c r="E2974" t="s">
        <v>25</v>
      </c>
      <c r="F2974" t="s">
        <v>40</v>
      </c>
      <c r="G2974" t="s">
        <v>8</v>
      </c>
      <c r="H2974">
        <v>155.65</v>
      </c>
    </row>
    <row r="2975" spans="1:8" x14ac:dyDescent="0.3">
      <c r="A2975">
        <v>202210</v>
      </c>
      <c r="B2975" s="1">
        <v>44835</v>
      </c>
      <c r="C2975">
        <v>2022</v>
      </c>
      <c r="D2975" t="s">
        <v>17</v>
      </c>
      <c r="E2975" t="s">
        <v>25</v>
      </c>
      <c r="F2975" t="s">
        <v>40</v>
      </c>
      <c r="G2975" t="s">
        <v>8</v>
      </c>
      <c r="H2975">
        <v>186.1</v>
      </c>
    </row>
    <row r="2976" spans="1:8" x14ac:dyDescent="0.3">
      <c r="A2976">
        <v>202211</v>
      </c>
      <c r="B2976" s="1">
        <v>44866</v>
      </c>
      <c r="C2976">
        <v>2022</v>
      </c>
      <c r="D2976" t="s">
        <v>18</v>
      </c>
      <c r="E2976" t="s">
        <v>25</v>
      </c>
      <c r="F2976" t="s">
        <v>40</v>
      </c>
      <c r="G2976" t="s">
        <v>8</v>
      </c>
      <c r="H2976">
        <v>169.28</v>
      </c>
    </row>
    <row r="2977" spans="1:8" x14ac:dyDescent="0.3">
      <c r="A2977">
        <v>202212</v>
      </c>
      <c r="B2977" s="1">
        <v>44896</v>
      </c>
      <c r="C2977">
        <v>2022</v>
      </c>
      <c r="D2977" t="s">
        <v>19</v>
      </c>
      <c r="E2977" t="s">
        <v>25</v>
      </c>
      <c r="F2977" t="s">
        <v>40</v>
      </c>
      <c r="G2977" t="s">
        <v>8</v>
      </c>
      <c r="H2977">
        <v>179.85</v>
      </c>
    </row>
    <row r="2978" spans="1:8" x14ac:dyDescent="0.3">
      <c r="A2978">
        <v>202201</v>
      </c>
      <c r="B2978" s="1">
        <v>44562</v>
      </c>
      <c r="C2978">
        <v>2022</v>
      </c>
      <c r="D2978" t="s">
        <v>6</v>
      </c>
      <c r="E2978" t="s">
        <v>25</v>
      </c>
      <c r="F2978" t="s">
        <v>40</v>
      </c>
      <c r="G2978" t="s">
        <v>8</v>
      </c>
      <c r="H2978">
        <v>339</v>
      </c>
    </row>
    <row r="2979" spans="1:8" x14ac:dyDescent="0.3">
      <c r="A2979">
        <v>202202</v>
      </c>
      <c r="B2979" s="1">
        <v>44593</v>
      </c>
      <c r="C2979">
        <v>2022</v>
      </c>
      <c r="D2979" t="s">
        <v>9</v>
      </c>
      <c r="E2979" t="s">
        <v>25</v>
      </c>
      <c r="F2979" t="s">
        <v>40</v>
      </c>
      <c r="G2979" t="s">
        <v>8</v>
      </c>
      <c r="H2979">
        <v>216.57</v>
      </c>
    </row>
    <row r="2980" spans="1:8" x14ac:dyDescent="0.3">
      <c r="A2980">
        <v>202203</v>
      </c>
      <c r="B2980" s="1">
        <v>44621</v>
      </c>
      <c r="C2980">
        <v>2022</v>
      </c>
      <c r="D2980" t="s">
        <v>10</v>
      </c>
      <c r="E2980" t="s">
        <v>25</v>
      </c>
      <c r="F2980" t="s">
        <v>40</v>
      </c>
      <c r="G2980" t="s">
        <v>8</v>
      </c>
      <c r="H2980">
        <v>280.22000000000003</v>
      </c>
    </row>
    <row r="2981" spans="1:8" x14ac:dyDescent="0.3">
      <c r="A2981">
        <v>202204</v>
      </c>
      <c r="B2981" s="1">
        <v>44652</v>
      </c>
      <c r="C2981">
        <v>2022</v>
      </c>
      <c r="D2981" t="s">
        <v>11</v>
      </c>
      <c r="E2981" t="s">
        <v>25</v>
      </c>
      <c r="F2981" t="s">
        <v>40</v>
      </c>
      <c r="G2981" t="s">
        <v>8</v>
      </c>
      <c r="H2981">
        <v>421.26</v>
      </c>
    </row>
    <row r="2982" spans="1:8" x14ac:dyDescent="0.3">
      <c r="A2982">
        <v>202205</v>
      </c>
      <c r="B2982" s="1">
        <v>44682</v>
      </c>
      <c r="C2982">
        <v>2022</v>
      </c>
      <c r="D2982" t="s">
        <v>12</v>
      </c>
      <c r="E2982" t="s">
        <v>25</v>
      </c>
      <c r="F2982" t="s">
        <v>40</v>
      </c>
      <c r="G2982" t="s">
        <v>8</v>
      </c>
      <c r="H2982">
        <v>301.27999999999997</v>
      </c>
    </row>
    <row r="2983" spans="1:8" x14ac:dyDescent="0.3">
      <c r="A2983">
        <v>202206</v>
      </c>
      <c r="B2983" s="1">
        <v>44713</v>
      </c>
      <c r="C2983">
        <v>2022</v>
      </c>
      <c r="D2983" t="s">
        <v>13</v>
      </c>
      <c r="E2983" t="s">
        <v>25</v>
      </c>
      <c r="F2983" t="s">
        <v>40</v>
      </c>
      <c r="G2983" t="s">
        <v>8</v>
      </c>
      <c r="H2983">
        <v>275.33999999999997</v>
      </c>
    </row>
    <row r="2984" spans="1:8" x14ac:dyDescent="0.3">
      <c r="A2984">
        <v>202207</v>
      </c>
      <c r="B2984" s="1">
        <v>44743</v>
      </c>
      <c r="C2984">
        <v>2022</v>
      </c>
      <c r="D2984" t="s">
        <v>14</v>
      </c>
      <c r="E2984" t="s">
        <v>25</v>
      </c>
      <c r="F2984" t="s">
        <v>40</v>
      </c>
      <c r="G2984" t="s">
        <v>8</v>
      </c>
      <c r="H2984">
        <v>285.32</v>
      </c>
    </row>
    <row r="2985" spans="1:8" x14ac:dyDescent="0.3">
      <c r="A2985">
        <v>202208</v>
      </c>
      <c r="B2985" s="1">
        <v>44774</v>
      </c>
      <c r="C2985">
        <v>2022</v>
      </c>
      <c r="D2985" t="s">
        <v>15</v>
      </c>
      <c r="E2985" t="s">
        <v>25</v>
      </c>
      <c r="F2985" t="s">
        <v>40</v>
      </c>
      <c r="G2985" t="s">
        <v>8</v>
      </c>
      <c r="H2985">
        <v>361.37</v>
      </c>
    </row>
    <row r="2986" spans="1:8" x14ac:dyDescent="0.3">
      <c r="A2986">
        <v>202209</v>
      </c>
      <c r="B2986" s="1">
        <v>44805</v>
      </c>
      <c r="C2986">
        <v>2022</v>
      </c>
      <c r="D2986" t="s">
        <v>16</v>
      </c>
      <c r="E2986" t="s">
        <v>25</v>
      </c>
      <c r="F2986" t="s">
        <v>40</v>
      </c>
      <c r="G2986" t="s">
        <v>8</v>
      </c>
      <c r="H2986">
        <v>322.08999999999997</v>
      </c>
    </row>
    <row r="2987" spans="1:8" x14ac:dyDescent="0.3">
      <c r="A2987">
        <v>202210</v>
      </c>
      <c r="B2987" s="1">
        <v>44835</v>
      </c>
      <c r="C2987">
        <v>2022</v>
      </c>
      <c r="D2987" t="s">
        <v>17</v>
      </c>
      <c r="E2987" t="s">
        <v>25</v>
      </c>
      <c r="F2987" t="s">
        <v>40</v>
      </c>
      <c r="G2987" t="s">
        <v>8</v>
      </c>
      <c r="H2987">
        <v>331.73</v>
      </c>
    </row>
    <row r="2988" spans="1:8" x14ac:dyDescent="0.3">
      <c r="A2988">
        <v>202211</v>
      </c>
      <c r="B2988" s="1">
        <v>44866</v>
      </c>
      <c r="C2988">
        <v>2022</v>
      </c>
      <c r="D2988" t="s">
        <v>18</v>
      </c>
      <c r="E2988" t="s">
        <v>25</v>
      </c>
      <c r="F2988" t="s">
        <v>40</v>
      </c>
      <c r="G2988" t="s">
        <v>8</v>
      </c>
      <c r="H2988">
        <v>378.85</v>
      </c>
    </row>
    <row r="2989" spans="1:8" x14ac:dyDescent="0.3">
      <c r="A2989">
        <v>202212</v>
      </c>
      <c r="B2989" s="1">
        <v>44896</v>
      </c>
      <c r="C2989">
        <v>2022</v>
      </c>
      <c r="D2989" t="s">
        <v>19</v>
      </c>
      <c r="E2989" t="s">
        <v>25</v>
      </c>
      <c r="F2989" t="s">
        <v>40</v>
      </c>
      <c r="G2989" t="s">
        <v>8</v>
      </c>
      <c r="H2989">
        <v>276.33</v>
      </c>
    </row>
    <row r="2990" spans="1:8" x14ac:dyDescent="0.3">
      <c r="A2990">
        <v>202201</v>
      </c>
      <c r="B2990" s="1">
        <v>44562</v>
      </c>
      <c r="C2990">
        <v>2022</v>
      </c>
      <c r="D2990" t="s">
        <v>6</v>
      </c>
      <c r="E2990" t="s">
        <v>25</v>
      </c>
      <c r="F2990" t="s">
        <v>40</v>
      </c>
      <c r="G2990" t="s">
        <v>8</v>
      </c>
      <c r="H2990">
        <v>50.11</v>
      </c>
    </row>
    <row r="2991" spans="1:8" x14ac:dyDescent="0.3">
      <c r="A2991">
        <v>202202</v>
      </c>
      <c r="B2991" s="1">
        <v>44593</v>
      </c>
      <c r="C2991">
        <v>2022</v>
      </c>
      <c r="D2991" t="s">
        <v>9</v>
      </c>
      <c r="E2991" t="s">
        <v>25</v>
      </c>
      <c r="F2991" t="s">
        <v>40</v>
      </c>
      <c r="G2991" t="s">
        <v>8</v>
      </c>
      <c r="H2991">
        <v>27.43</v>
      </c>
    </row>
    <row r="2992" spans="1:8" x14ac:dyDescent="0.3">
      <c r="A2992">
        <v>202203</v>
      </c>
      <c r="B2992" s="1">
        <v>44621</v>
      </c>
      <c r="C2992">
        <v>2022</v>
      </c>
      <c r="D2992" t="s">
        <v>10</v>
      </c>
      <c r="E2992" t="s">
        <v>25</v>
      </c>
      <c r="F2992" t="s">
        <v>40</v>
      </c>
      <c r="G2992" t="s">
        <v>8</v>
      </c>
      <c r="H2992">
        <v>37.51</v>
      </c>
    </row>
    <row r="2993" spans="1:8" x14ac:dyDescent="0.3">
      <c r="A2993">
        <v>202204</v>
      </c>
      <c r="B2993" s="1">
        <v>44652</v>
      </c>
      <c r="C2993">
        <v>2022</v>
      </c>
      <c r="D2993" t="s">
        <v>11</v>
      </c>
      <c r="E2993" t="s">
        <v>25</v>
      </c>
      <c r="F2993" t="s">
        <v>40</v>
      </c>
      <c r="G2993" t="s">
        <v>8</v>
      </c>
      <c r="H2993">
        <v>33.82</v>
      </c>
    </row>
    <row r="2994" spans="1:8" x14ac:dyDescent="0.3">
      <c r="A2994">
        <v>202205</v>
      </c>
      <c r="B2994" s="1">
        <v>44682</v>
      </c>
      <c r="C2994">
        <v>2022</v>
      </c>
      <c r="D2994" t="s">
        <v>12</v>
      </c>
      <c r="E2994" t="s">
        <v>25</v>
      </c>
      <c r="F2994" t="s">
        <v>40</v>
      </c>
      <c r="G2994" t="s">
        <v>8</v>
      </c>
      <c r="H2994">
        <v>39.5</v>
      </c>
    </row>
    <row r="2995" spans="1:8" x14ac:dyDescent="0.3">
      <c r="A2995">
        <v>202206</v>
      </c>
      <c r="B2995" s="1">
        <v>44713</v>
      </c>
      <c r="C2995">
        <v>2022</v>
      </c>
      <c r="D2995" t="s">
        <v>13</v>
      </c>
      <c r="E2995" t="s">
        <v>25</v>
      </c>
      <c r="F2995" t="s">
        <v>40</v>
      </c>
      <c r="G2995" t="s">
        <v>8</v>
      </c>
      <c r="H2995">
        <v>32.159999999999997</v>
      </c>
    </row>
    <row r="2996" spans="1:8" x14ac:dyDescent="0.3">
      <c r="A2996">
        <v>202207</v>
      </c>
      <c r="B2996" s="1">
        <v>44743</v>
      </c>
      <c r="C2996">
        <v>2022</v>
      </c>
      <c r="D2996" t="s">
        <v>14</v>
      </c>
      <c r="E2996" t="s">
        <v>25</v>
      </c>
      <c r="F2996" t="s">
        <v>40</v>
      </c>
      <c r="G2996" t="s">
        <v>8</v>
      </c>
      <c r="H2996">
        <v>37.07</v>
      </c>
    </row>
    <row r="2997" spans="1:8" x14ac:dyDescent="0.3">
      <c r="A2997">
        <v>202208</v>
      </c>
      <c r="B2997" s="1">
        <v>44774</v>
      </c>
      <c r="C2997">
        <v>2022</v>
      </c>
      <c r="D2997" t="s">
        <v>15</v>
      </c>
      <c r="E2997" t="s">
        <v>25</v>
      </c>
      <c r="F2997" t="s">
        <v>40</v>
      </c>
      <c r="G2997" t="s">
        <v>8</v>
      </c>
      <c r="H2997">
        <v>38.590000000000003</v>
      </c>
    </row>
    <row r="2998" spans="1:8" x14ac:dyDescent="0.3">
      <c r="A2998">
        <v>202209</v>
      </c>
      <c r="B2998" s="1">
        <v>44805</v>
      </c>
      <c r="C2998">
        <v>2022</v>
      </c>
      <c r="D2998" t="s">
        <v>16</v>
      </c>
      <c r="E2998" t="s">
        <v>25</v>
      </c>
      <c r="F2998" t="s">
        <v>40</v>
      </c>
      <c r="G2998" t="s">
        <v>8</v>
      </c>
      <c r="H2998">
        <v>45.18</v>
      </c>
    </row>
    <row r="2999" spans="1:8" x14ac:dyDescent="0.3">
      <c r="A2999">
        <v>202210</v>
      </c>
      <c r="B2999" s="1">
        <v>44835</v>
      </c>
      <c r="C2999">
        <v>2022</v>
      </c>
      <c r="D2999" t="s">
        <v>17</v>
      </c>
      <c r="E2999" t="s">
        <v>25</v>
      </c>
      <c r="F2999" t="s">
        <v>40</v>
      </c>
      <c r="G2999" t="s">
        <v>8</v>
      </c>
      <c r="H2999">
        <v>42.2</v>
      </c>
    </row>
    <row r="3000" spans="1:8" x14ac:dyDescent="0.3">
      <c r="A3000">
        <v>202211</v>
      </c>
      <c r="B3000" s="1">
        <v>44866</v>
      </c>
      <c r="C3000">
        <v>2022</v>
      </c>
      <c r="D3000" t="s">
        <v>18</v>
      </c>
      <c r="E3000" t="s">
        <v>25</v>
      </c>
      <c r="F3000" t="s">
        <v>40</v>
      </c>
      <c r="G3000" t="s">
        <v>8</v>
      </c>
      <c r="H3000">
        <v>43.28</v>
      </c>
    </row>
    <row r="3001" spans="1:8" x14ac:dyDescent="0.3">
      <c r="A3001">
        <v>202212</v>
      </c>
      <c r="B3001" s="1">
        <v>44896</v>
      </c>
      <c r="C3001">
        <v>2022</v>
      </c>
      <c r="D3001" t="s">
        <v>19</v>
      </c>
      <c r="E3001" t="s">
        <v>25</v>
      </c>
      <c r="F3001" t="s">
        <v>40</v>
      </c>
      <c r="G3001" t="s">
        <v>8</v>
      </c>
      <c r="H3001">
        <v>48.82</v>
      </c>
    </row>
    <row r="3002" spans="1:8" x14ac:dyDescent="0.3">
      <c r="A3002">
        <v>202201</v>
      </c>
      <c r="B3002" s="1">
        <v>44562</v>
      </c>
      <c r="C3002">
        <v>2022</v>
      </c>
      <c r="D3002" t="s">
        <v>6</v>
      </c>
      <c r="E3002" t="s">
        <v>26</v>
      </c>
      <c r="F3002" t="s">
        <v>40</v>
      </c>
      <c r="G3002" t="s">
        <v>8</v>
      </c>
      <c r="H3002">
        <v>437.32</v>
      </c>
    </row>
    <row r="3003" spans="1:8" x14ac:dyDescent="0.3">
      <c r="A3003">
        <v>202202</v>
      </c>
      <c r="B3003" s="1">
        <v>44593</v>
      </c>
      <c r="C3003">
        <v>2022</v>
      </c>
      <c r="D3003" t="s">
        <v>9</v>
      </c>
      <c r="E3003" t="s">
        <v>26</v>
      </c>
      <c r="F3003" t="s">
        <v>40</v>
      </c>
      <c r="G3003" t="s">
        <v>8</v>
      </c>
      <c r="H3003">
        <v>219.16</v>
      </c>
    </row>
    <row r="3004" spans="1:8" x14ac:dyDescent="0.3">
      <c r="A3004">
        <v>202203</v>
      </c>
      <c r="B3004" s="1">
        <v>44621</v>
      </c>
      <c r="C3004">
        <v>2022</v>
      </c>
      <c r="D3004" t="s">
        <v>10</v>
      </c>
      <c r="E3004" t="s">
        <v>26</v>
      </c>
      <c r="F3004" t="s">
        <v>40</v>
      </c>
      <c r="G3004" t="s">
        <v>8</v>
      </c>
      <c r="H3004">
        <v>272.31</v>
      </c>
    </row>
    <row r="3005" spans="1:8" x14ac:dyDescent="0.3">
      <c r="A3005">
        <v>202204</v>
      </c>
      <c r="B3005" s="1">
        <v>44652</v>
      </c>
      <c r="C3005">
        <v>2022</v>
      </c>
      <c r="D3005" t="s">
        <v>11</v>
      </c>
      <c r="E3005" t="s">
        <v>26</v>
      </c>
      <c r="F3005" t="s">
        <v>40</v>
      </c>
      <c r="G3005" t="s">
        <v>8</v>
      </c>
      <c r="H3005">
        <v>484.91</v>
      </c>
    </row>
    <row r="3006" spans="1:8" x14ac:dyDescent="0.3">
      <c r="A3006">
        <v>202205</v>
      </c>
      <c r="B3006" s="1">
        <v>44682</v>
      </c>
      <c r="C3006">
        <v>2022</v>
      </c>
      <c r="D3006" t="s">
        <v>12</v>
      </c>
      <c r="E3006" t="s">
        <v>26</v>
      </c>
      <c r="F3006" t="s">
        <v>40</v>
      </c>
      <c r="G3006" t="s">
        <v>8</v>
      </c>
      <c r="H3006">
        <v>295.39</v>
      </c>
    </row>
    <row r="3007" spans="1:8" x14ac:dyDescent="0.3">
      <c r="A3007">
        <v>202206</v>
      </c>
      <c r="B3007" s="1">
        <v>44713</v>
      </c>
      <c r="C3007">
        <v>2022</v>
      </c>
      <c r="D3007" t="s">
        <v>13</v>
      </c>
      <c r="E3007" t="s">
        <v>26</v>
      </c>
      <c r="F3007" t="s">
        <v>40</v>
      </c>
      <c r="G3007" t="s">
        <v>8</v>
      </c>
      <c r="H3007">
        <v>323.97000000000003</v>
      </c>
    </row>
    <row r="3008" spans="1:8" x14ac:dyDescent="0.3">
      <c r="A3008">
        <v>202207</v>
      </c>
      <c r="B3008" s="1">
        <v>44743</v>
      </c>
      <c r="C3008">
        <v>2022</v>
      </c>
      <c r="D3008" t="s">
        <v>14</v>
      </c>
      <c r="E3008" t="s">
        <v>26</v>
      </c>
      <c r="F3008" t="s">
        <v>40</v>
      </c>
      <c r="G3008" t="s">
        <v>8</v>
      </c>
      <c r="H3008">
        <v>360.41</v>
      </c>
    </row>
    <row r="3009" spans="1:8" x14ac:dyDescent="0.3">
      <c r="A3009">
        <v>202208</v>
      </c>
      <c r="B3009" s="1">
        <v>44774</v>
      </c>
      <c r="C3009">
        <v>2022</v>
      </c>
      <c r="D3009" t="s">
        <v>15</v>
      </c>
      <c r="E3009" t="s">
        <v>26</v>
      </c>
      <c r="F3009" t="s">
        <v>40</v>
      </c>
      <c r="G3009" t="s">
        <v>8</v>
      </c>
      <c r="H3009">
        <v>372.34</v>
      </c>
    </row>
    <row r="3010" spans="1:8" x14ac:dyDescent="0.3">
      <c r="A3010">
        <v>202209</v>
      </c>
      <c r="B3010" s="1">
        <v>44805</v>
      </c>
      <c r="C3010">
        <v>2022</v>
      </c>
      <c r="D3010" t="s">
        <v>16</v>
      </c>
      <c r="E3010" t="s">
        <v>26</v>
      </c>
      <c r="F3010" t="s">
        <v>40</v>
      </c>
      <c r="G3010" t="s">
        <v>8</v>
      </c>
      <c r="H3010">
        <v>289.02999999999997</v>
      </c>
    </row>
    <row r="3011" spans="1:8" x14ac:dyDescent="0.3">
      <c r="A3011">
        <v>202210</v>
      </c>
      <c r="B3011" s="1">
        <v>44835</v>
      </c>
      <c r="C3011">
        <v>2022</v>
      </c>
      <c r="D3011" t="s">
        <v>17</v>
      </c>
      <c r="E3011" t="s">
        <v>26</v>
      </c>
      <c r="F3011" t="s">
        <v>40</v>
      </c>
      <c r="G3011" t="s">
        <v>8</v>
      </c>
      <c r="H3011">
        <v>332.06</v>
      </c>
    </row>
    <row r="3012" spans="1:8" x14ac:dyDescent="0.3">
      <c r="A3012">
        <v>202211</v>
      </c>
      <c r="B3012" s="1">
        <v>44866</v>
      </c>
      <c r="C3012">
        <v>2022</v>
      </c>
      <c r="D3012" t="s">
        <v>18</v>
      </c>
      <c r="E3012" t="s">
        <v>26</v>
      </c>
      <c r="F3012" t="s">
        <v>40</v>
      </c>
      <c r="G3012" t="s">
        <v>8</v>
      </c>
      <c r="H3012">
        <v>424.91</v>
      </c>
    </row>
    <row r="3013" spans="1:8" x14ac:dyDescent="0.3">
      <c r="A3013">
        <v>202212</v>
      </c>
      <c r="B3013" s="1">
        <v>44896</v>
      </c>
      <c r="C3013">
        <v>2022</v>
      </c>
      <c r="D3013" t="s">
        <v>19</v>
      </c>
      <c r="E3013" t="s">
        <v>26</v>
      </c>
      <c r="F3013" t="s">
        <v>40</v>
      </c>
      <c r="G3013" t="s">
        <v>8</v>
      </c>
      <c r="H3013">
        <v>294.01</v>
      </c>
    </row>
    <row r="3014" spans="1:8" x14ac:dyDescent="0.3">
      <c r="A3014">
        <v>202201</v>
      </c>
      <c r="B3014" s="1">
        <v>44562</v>
      </c>
      <c r="C3014">
        <v>2022</v>
      </c>
      <c r="D3014" t="s">
        <v>6</v>
      </c>
      <c r="E3014" t="s">
        <v>26</v>
      </c>
      <c r="F3014" t="s">
        <v>40</v>
      </c>
      <c r="G3014" t="s">
        <v>8</v>
      </c>
      <c r="H3014">
        <v>93.32</v>
      </c>
    </row>
    <row r="3015" spans="1:8" x14ac:dyDescent="0.3">
      <c r="A3015">
        <v>202202</v>
      </c>
      <c r="B3015" s="1">
        <v>44593</v>
      </c>
      <c r="C3015">
        <v>2022</v>
      </c>
      <c r="D3015" t="s">
        <v>9</v>
      </c>
      <c r="E3015" t="s">
        <v>26</v>
      </c>
      <c r="F3015" t="s">
        <v>40</v>
      </c>
      <c r="G3015" t="s">
        <v>8</v>
      </c>
      <c r="H3015">
        <v>64.2</v>
      </c>
    </row>
    <row r="3016" spans="1:8" x14ac:dyDescent="0.3">
      <c r="A3016">
        <v>202203</v>
      </c>
      <c r="B3016" s="1">
        <v>44621</v>
      </c>
      <c r="C3016">
        <v>2022</v>
      </c>
      <c r="D3016" t="s">
        <v>10</v>
      </c>
      <c r="E3016" t="s">
        <v>26</v>
      </c>
      <c r="F3016" t="s">
        <v>40</v>
      </c>
      <c r="G3016" t="s">
        <v>8</v>
      </c>
      <c r="H3016">
        <v>90.93</v>
      </c>
    </row>
    <row r="3017" spans="1:8" x14ac:dyDescent="0.3">
      <c r="A3017">
        <v>202204</v>
      </c>
      <c r="B3017" s="1">
        <v>44652</v>
      </c>
      <c r="C3017">
        <v>2022</v>
      </c>
      <c r="D3017" t="s">
        <v>11</v>
      </c>
      <c r="E3017" t="s">
        <v>26</v>
      </c>
      <c r="F3017" t="s">
        <v>40</v>
      </c>
      <c r="G3017" t="s">
        <v>8</v>
      </c>
      <c r="H3017">
        <v>111.72</v>
      </c>
    </row>
    <row r="3018" spans="1:8" x14ac:dyDescent="0.3">
      <c r="A3018">
        <v>202205</v>
      </c>
      <c r="B3018" s="1">
        <v>44682</v>
      </c>
      <c r="C3018">
        <v>2022</v>
      </c>
      <c r="D3018" t="s">
        <v>12</v>
      </c>
      <c r="E3018" t="s">
        <v>26</v>
      </c>
      <c r="F3018" t="s">
        <v>40</v>
      </c>
      <c r="G3018" t="s">
        <v>8</v>
      </c>
      <c r="H3018">
        <v>112.45</v>
      </c>
    </row>
    <row r="3019" spans="1:8" x14ac:dyDescent="0.3">
      <c r="A3019">
        <v>202206</v>
      </c>
      <c r="B3019" s="1">
        <v>44713</v>
      </c>
      <c r="C3019">
        <v>2022</v>
      </c>
      <c r="D3019" t="s">
        <v>13</v>
      </c>
      <c r="E3019" t="s">
        <v>26</v>
      </c>
      <c r="F3019" t="s">
        <v>40</v>
      </c>
      <c r="G3019" t="s">
        <v>8</v>
      </c>
      <c r="H3019">
        <v>80.569999999999993</v>
      </c>
    </row>
    <row r="3020" spans="1:8" x14ac:dyDescent="0.3">
      <c r="A3020">
        <v>202207</v>
      </c>
      <c r="B3020" s="1">
        <v>44743</v>
      </c>
      <c r="C3020">
        <v>2022</v>
      </c>
      <c r="D3020" t="s">
        <v>14</v>
      </c>
      <c r="E3020" t="s">
        <v>26</v>
      </c>
      <c r="F3020" t="s">
        <v>40</v>
      </c>
      <c r="G3020" t="s">
        <v>8</v>
      </c>
      <c r="H3020">
        <v>79.77</v>
      </c>
    </row>
    <row r="3021" spans="1:8" x14ac:dyDescent="0.3">
      <c r="A3021">
        <v>202208</v>
      </c>
      <c r="B3021" s="1">
        <v>44774</v>
      </c>
      <c r="C3021">
        <v>2022</v>
      </c>
      <c r="D3021" t="s">
        <v>15</v>
      </c>
      <c r="E3021" t="s">
        <v>26</v>
      </c>
      <c r="F3021" t="s">
        <v>40</v>
      </c>
      <c r="G3021" t="s">
        <v>8</v>
      </c>
      <c r="H3021">
        <v>91.71</v>
      </c>
    </row>
    <row r="3022" spans="1:8" x14ac:dyDescent="0.3">
      <c r="A3022">
        <v>202209</v>
      </c>
      <c r="B3022" s="1">
        <v>44805</v>
      </c>
      <c r="C3022">
        <v>2022</v>
      </c>
      <c r="D3022" t="s">
        <v>16</v>
      </c>
      <c r="E3022" t="s">
        <v>26</v>
      </c>
      <c r="F3022" t="s">
        <v>40</v>
      </c>
      <c r="G3022" t="s">
        <v>8</v>
      </c>
      <c r="H3022">
        <v>88.73</v>
      </c>
    </row>
    <row r="3023" spans="1:8" x14ac:dyDescent="0.3">
      <c r="A3023">
        <v>202210</v>
      </c>
      <c r="B3023" s="1">
        <v>44835</v>
      </c>
      <c r="C3023">
        <v>2022</v>
      </c>
      <c r="D3023" t="s">
        <v>17</v>
      </c>
      <c r="E3023" t="s">
        <v>26</v>
      </c>
      <c r="F3023" t="s">
        <v>40</v>
      </c>
      <c r="G3023" t="s">
        <v>8</v>
      </c>
      <c r="H3023">
        <v>73.02</v>
      </c>
    </row>
    <row r="3024" spans="1:8" x14ac:dyDescent="0.3">
      <c r="A3024">
        <v>202211</v>
      </c>
      <c r="B3024" s="1">
        <v>44866</v>
      </c>
      <c r="C3024">
        <v>2022</v>
      </c>
      <c r="D3024" t="s">
        <v>18</v>
      </c>
      <c r="E3024" t="s">
        <v>26</v>
      </c>
      <c r="F3024" t="s">
        <v>40</v>
      </c>
      <c r="G3024" t="s">
        <v>8</v>
      </c>
      <c r="H3024">
        <v>116.21</v>
      </c>
    </row>
    <row r="3025" spans="1:8" x14ac:dyDescent="0.3">
      <c r="A3025">
        <v>202212</v>
      </c>
      <c r="B3025" s="1">
        <v>44896</v>
      </c>
      <c r="C3025">
        <v>2022</v>
      </c>
      <c r="D3025" t="s">
        <v>19</v>
      </c>
      <c r="E3025" t="s">
        <v>26</v>
      </c>
      <c r="F3025" t="s">
        <v>40</v>
      </c>
      <c r="G3025" t="s">
        <v>8</v>
      </c>
      <c r="H3025">
        <v>73.819999999999993</v>
      </c>
    </row>
    <row r="3026" spans="1:8" x14ac:dyDescent="0.3">
      <c r="A3026">
        <v>202201</v>
      </c>
      <c r="B3026" s="1">
        <v>44562</v>
      </c>
      <c r="C3026">
        <v>2022</v>
      </c>
      <c r="D3026" t="s">
        <v>6</v>
      </c>
      <c r="E3026" t="s">
        <v>26</v>
      </c>
      <c r="F3026" t="s">
        <v>40</v>
      </c>
      <c r="G3026" t="s">
        <v>8</v>
      </c>
      <c r="H3026">
        <v>473.52</v>
      </c>
    </row>
    <row r="3027" spans="1:8" x14ac:dyDescent="0.3">
      <c r="A3027">
        <v>202202</v>
      </c>
      <c r="B3027" s="1">
        <v>44593</v>
      </c>
      <c r="C3027">
        <v>2022</v>
      </c>
      <c r="D3027" t="s">
        <v>9</v>
      </c>
      <c r="E3027" t="s">
        <v>26</v>
      </c>
      <c r="F3027" t="s">
        <v>40</v>
      </c>
      <c r="G3027" t="s">
        <v>8</v>
      </c>
      <c r="H3027">
        <v>324.74</v>
      </c>
    </row>
    <row r="3028" spans="1:8" x14ac:dyDescent="0.3">
      <c r="A3028">
        <v>202203</v>
      </c>
      <c r="B3028" s="1">
        <v>44621</v>
      </c>
      <c r="C3028">
        <v>2022</v>
      </c>
      <c r="D3028" t="s">
        <v>10</v>
      </c>
      <c r="E3028" t="s">
        <v>26</v>
      </c>
      <c r="F3028" t="s">
        <v>40</v>
      </c>
      <c r="G3028" t="s">
        <v>8</v>
      </c>
      <c r="H3028">
        <v>353.87</v>
      </c>
    </row>
    <row r="3029" spans="1:8" x14ac:dyDescent="0.3">
      <c r="A3029">
        <v>202204</v>
      </c>
      <c r="B3029" s="1">
        <v>44652</v>
      </c>
      <c r="C3029">
        <v>2022</v>
      </c>
      <c r="D3029" t="s">
        <v>11</v>
      </c>
      <c r="E3029" t="s">
        <v>26</v>
      </c>
      <c r="F3029" t="s">
        <v>40</v>
      </c>
      <c r="G3029" t="s">
        <v>8</v>
      </c>
      <c r="H3029">
        <v>464.21</v>
      </c>
    </row>
    <row r="3030" spans="1:8" x14ac:dyDescent="0.3">
      <c r="A3030">
        <v>202205</v>
      </c>
      <c r="B3030" s="1">
        <v>44682</v>
      </c>
      <c r="C3030">
        <v>2022</v>
      </c>
      <c r="D3030" t="s">
        <v>12</v>
      </c>
      <c r="E3030" t="s">
        <v>26</v>
      </c>
      <c r="F3030" t="s">
        <v>40</v>
      </c>
      <c r="G3030" t="s">
        <v>8</v>
      </c>
      <c r="H3030">
        <v>348.59</v>
      </c>
    </row>
    <row r="3031" spans="1:8" x14ac:dyDescent="0.3">
      <c r="A3031">
        <v>202206</v>
      </c>
      <c r="B3031" s="1">
        <v>44713</v>
      </c>
      <c r="C3031">
        <v>2022</v>
      </c>
      <c r="D3031" t="s">
        <v>13</v>
      </c>
      <c r="E3031" t="s">
        <v>26</v>
      </c>
      <c r="F3031" t="s">
        <v>40</v>
      </c>
      <c r="G3031" t="s">
        <v>8</v>
      </c>
      <c r="H3031">
        <v>352.12</v>
      </c>
    </row>
    <row r="3032" spans="1:8" x14ac:dyDescent="0.3">
      <c r="A3032">
        <v>202207</v>
      </c>
      <c r="B3032" s="1">
        <v>44743</v>
      </c>
      <c r="C3032">
        <v>2022</v>
      </c>
      <c r="D3032" t="s">
        <v>14</v>
      </c>
      <c r="E3032" t="s">
        <v>26</v>
      </c>
      <c r="F3032" t="s">
        <v>40</v>
      </c>
      <c r="G3032" t="s">
        <v>8</v>
      </c>
      <c r="H3032">
        <v>383.88</v>
      </c>
    </row>
    <row r="3033" spans="1:8" x14ac:dyDescent="0.3">
      <c r="A3033">
        <v>202208</v>
      </c>
      <c r="B3033" s="1">
        <v>44774</v>
      </c>
      <c r="C3033">
        <v>2022</v>
      </c>
      <c r="D3033" t="s">
        <v>15</v>
      </c>
      <c r="E3033" t="s">
        <v>26</v>
      </c>
      <c r="F3033" t="s">
        <v>40</v>
      </c>
      <c r="G3033" t="s">
        <v>8</v>
      </c>
      <c r="H3033">
        <v>356.93</v>
      </c>
    </row>
    <row r="3034" spans="1:8" x14ac:dyDescent="0.3">
      <c r="A3034">
        <v>202209</v>
      </c>
      <c r="B3034" s="1">
        <v>44805</v>
      </c>
      <c r="C3034">
        <v>2022</v>
      </c>
      <c r="D3034" t="s">
        <v>16</v>
      </c>
      <c r="E3034" t="s">
        <v>26</v>
      </c>
      <c r="F3034" t="s">
        <v>40</v>
      </c>
      <c r="G3034" t="s">
        <v>8</v>
      </c>
      <c r="H3034">
        <v>337.66</v>
      </c>
    </row>
    <row r="3035" spans="1:8" x14ac:dyDescent="0.3">
      <c r="A3035">
        <v>202210</v>
      </c>
      <c r="B3035" s="1">
        <v>44835</v>
      </c>
      <c r="C3035">
        <v>2022</v>
      </c>
      <c r="D3035" t="s">
        <v>17</v>
      </c>
      <c r="E3035" t="s">
        <v>26</v>
      </c>
      <c r="F3035" t="s">
        <v>40</v>
      </c>
      <c r="G3035" t="s">
        <v>8</v>
      </c>
      <c r="H3035">
        <v>375.01</v>
      </c>
    </row>
    <row r="3036" spans="1:8" x14ac:dyDescent="0.3">
      <c r="A3036">
        <v>202211</v>
      </c>
      <c r="B3036" s="1">
        <v>44866</v>
      </c>
      <c r="C3036">
        <v>2022</v>
      </c>
      <c r="D3036" t="s">
        <v>18</v>
      </c>
      <c r="E3036" t="s">
        <v>26</v>
      </c>
      <c r="F3036" t="s">
        <v>40</v>
      </c>
      <c r="G3036" t="s">
        <v>8</v>
      </c>
      <c r="H3036">
        <v>389.11</v>
      </c>
    </row>
    <row r="3037" spans="1:8" x14ac:dyDescent="0.3">
      <c r="A3037">
        <v>202212</v>
      </c>
      <c r="B3037" s="1">
        <v>44896</v>
      </c>
      <c r="C3037">
        <v>2022</v>
      </c>
      <c r="D3037" t="s">
        <v>19</v>
      </c>
      <c r="E3037" t="s">
        <v>26</v>
      </c>
      <c r="F3037" t="s">
        <v>40</v>
      </c>
      <c r="G3037" t="s">
        <v>8</v>
      </c>
      <c r="H3037">
        <v>372.85</v>
      </c>
    </row>
    <row r="3038" spans="1:8" x14ac:dyDescent="0.3">
      <c r="A3038">
        <v>202201</v>
      </c>
      <c r="B3038" s="1">
        <v>44562</v>
      </c>
      <c r="C3038">
        <v>2022</v>
      </c>
      <c r="D3038" t="s">
        <v>6</v>
      </c>
      <c r="E3038" t="s">
        <v>26</v>
      </c>
      <c r="F3038" t="s">
        <v>40</v>
      </c>
      <c r="G3038" t="s">
        <v>8</v>
      </c>
      <c r="H3038">
        <v>99.07</v>
      </c>
    </row>
    <row r="3039" spans="1:8" x14ac:dyDescent="0.3">
      <c r="A3039">
        <v>202202</v>
      </c>
      <c r="B3039" s="1">
        <v>44593</v>
      </c>
      <c r="C3039">
        <v>2022</v>
      </c>
      <c r="D3039" t="s">
        <v>9</v>
      </c>
      <c r="E3039" t="s">
        <v>26</v>
      </c>
      <c r="F3039" t="s">
        <v>40</v>
      </c>
      <c r="G3039" t="s">
        <v>8</v>
      </c>
      <c r="H3039">
        <v>42.47</v>
      </c>
    </row>
    <row r="3040" spans="1:8" x14ac:dyDescent="0.3">
      <c r="A3040">
        <v>202203</v>
      </c>
      <c r="B3040" s="1">
        <v>44621</v>
      </c>
      <c r="C3040">
        <v>2022</v>
      </c>
      <c r="D3040" t="s">
        <v>10</v>
      </c>
      <c r="E3040" t="s">
        <v>26</v>
      </c>
      <c r="F3040" t="s">
        <v>40</v>
      </c>
      <c r="G3040" t="s">
        <v>8</v>
      </c>
      <c r="H3040">
        <v>44.78</v>
      </c>
    </row>
    <row r="3041" spans="1:8" x14ac:dyDescent="0.3">
      <c r="A3041">
        <v>202204</v>
      </c>
      <c r="B3041" s="1">
        <v>44652</v>
      </c>
      <c r="C3041">
        <v>2022</v>
      </c>
      <c r="D3041" t="s">
        <v>11</v>
      </c>
      <c r="E3041" t="s">
        <v>26</v>
      </c>
      <c r="F3041" t="s">
        <v>40</v>
      </c>
      <c r="G3041" t="s">
        <v>8</v>
      </c>
      <c r="H3041">
        <v>79.38</v>
      </c>
    </row>
    <row r="3042" spans="1:8" x14ac:dyDescent="0.3">
      <c r="A3042">
        <v>202205</v>
      </c>
      <c r="B3042" s="1">
        <v>44682</v>
      </c>
      <c r="C3042">
        <v>2022</v>
      </c>
      <c r="D3042" t="s">
        <v>12</v>
      </c>
      <c r="E3042" t="s">
        <v>26</v>
      </c>
      <c r="F3042" t="s">
        <v>40</v>
      </c>
      <c r="G3042" t="s">
        <v>8</v>
      </c>
      <c r="H3042">
        <v>60.33</v>
      </c>
    </row>
    <row r="3043" spans="1:8" x14ac:dyDescent="0.3">
      <c r="A3043">
        <v>202206</v>
      </c>
      <c r="B3043" s="1">
        <v>44713</v>
      </c>
      <c r="C3043">
        <v>2022</v>
      </c>
      <c r="D3043" t="s">
        <v>13</v>
      </c>
      <c r="E3043" t="s">
        <v>26</v>
      </c>
      <c r="F3043" t="s">
        <v>40</v>
      </c>
      <c r="G3043" t="s">
        <v>8</v>
      </c>
      <c r="H3043">
        <v>58.41</v>
      </c>
    </row>
    <row r="3044" spans="1:8" x14ac:dyDescent="0.3">
      <c r="A3044">
        <v>202207</v>
      </c>
      <c r="B3044" s="1">
        <v>44743</v>
      </c>
      <c r="C3044">
        <v>2022</v>
      </c>
      <c r="D3044" t="s">
        <v>14</v>
      </c>
      <c r="E3044" t="s">
        <v>26</v>
      </c>
      <c r="F3044" t="s">
        <v>40</v>
      </c>
      <c r="G3044" t="s">
        <v>8</v>
      </c>
      <c r="H3044">
        <v>74.69</v>
      </c>
    </row>
    <row r="3045" spans="1:8" x14ac:dyDescent="0.3">
      <c r="A3045">
        <v>202208</v>
      </c>
      <c r="B3045" s="1">
        <v>44774</v>
      </c>
      <c r="C3045">
        <v>2022</v>
      </c>
      <c r="D3045" t="s">
        <v>15</v>
      </c>
      <c r="E3045" t="s">
        <v>26</v>
      </c>
      <c r="F3045" t="s">
        <v>40</v>
      </c>
      <c r="G3045" t="s">
        <v>8</v>
      </c>
      <c r="H3045">
        <v>65.349999999999994</v>
      </c>
    </row>
    <row r="3046" spans="1:8" x14ac:dyDescent="0.3">
      <c r="A3046">
        <v>202209</v>
      </c>
      <c r="B3046" s="1">
        <v>44805</v>
      </c>
      <c r="C3046">
        <v>2022</v>
      </c>
      <c r="D3046" t="s">
        <v>16</v>
      </c>
      <c r="E3046" t="s">
        <v>26</v>
      </c>
      <c r="F3046" t="s">
        <v>40</v>
      </c>
      <c r="G3046" t="s">
        <v>8</v>
      </c>
      <c r="H3046">
        <v>52.07</v>
      </c>
    </row>
    <row r="3047" spans="1:8" x14ac:dyDescent="0.3">
      <c r="A3047">
        <v>202210</v>
      </c>
      <c r="B3047" s="1">
        <v>44835</v>
      </c>
      <c r="C3047">
        <v>2022</v>
      </c>
      <c r="D3047" t="s">
        <v>17</v>
      </c>
      <c r="E3047" t="s">
        <v>26</v>
      </c>
      <c r="F3047" t="s">
        <v>40</v>
      </c>
      <c r="G3047" t="s">
        <v>8</v>
      </c>
      <c r="H3047">
        <v>55.24</v>
      </c>
    </row>
    <row r="3048" spans="1:8" x14ac:dyDescent="0.3">
      <c r="A3048">
        <v>202211</v>
      </c>
      <c r="B3048" s="1">
        <v>44866</v>
      </c>
      <c r="C3048">
        <v>2022</v>
      </c>
      <c r="D3048" t="s">
        <v>18</v>
      </c>
      <c r="E3048" t="s">
        <v>26</v>
      </c>
      <c r="F3048" t="s">
        <v>40</v>
      </c>
      <c r="G3048" t="s">
        <v>8</v>
      </c>
      <c r="H3048">
        <v>76.069999999999993</v>
      </c>
    </row>
    <row r="3049" spans="1:8" x14ac:dyDescent="0.3">
      <c r="A3049">
        <v>202212</v>
      </c>
      <c r="B3049" s="1">
        <v>44896</v>
      </c>
      <c r="C3049">
        <v>2022</v>
      </c>
      <c r="D3049" t="s">
        <v>19</v>
      </c>
      <c r="E3049" t="s">
        <v>26</v>
      </c>
      <c r="F3049" t="s">
        <v>40</v>
      </c>
      <c r="G3049" t="s">
        <v>8</v>
      </c>
      <c r="H3049">
        <v>52.37</v>
      </c>
    </row>
    <row r="3050" spans="1:8" x14ac:dyDescent="0.3">
      <c r="A3050">
        <v>202201</v>
      </c>
      <c r="B3050" s="1">
        <v>44562</v>
      </c>
      <c r="C3050">
        <v>2022</v>
      </c>
      <c r="D3050" t="s">
        <v>6</v>
      </c>
      <c r="E3050" t="s">
        <v>26</v>
      </c>
      <c r="F3050" t="s">
        <v>40</v>
      </c>
      <c r="G3050" t="s">
        <v>8</v>
      </c>
      <c r="H3050">
        <v>116.47</v>
      </c>
    </row>
    <row r="3051" spans="1:8" x14ac:dyDescent="0.3">
      <c r="A3051">
        <v>202202</v>
      </c>
      <c r="B3051" s="1">
        <v>44593</v>
      </c>
      <c r="C3051">
        <v>2022</v>
      </c>
      <c r="D3051" t="s">
        <v>9</v>
      </c>
      <c r="E3051" t="s">
        <v>26</v>
      </c>
      <c r="F3051" t="s">
        <v>40</v>
      </c>
      <c r="G3051" t="s">
        <v>8</v>
      </c>
      <c r="H3051">
        <v>60.92</v>
      </c>
    </row>
    <row r="3052" spans="1:8" x14ac:dyDescent="0.3">
      <c r="A3052">
        <v>202203</v>
      </c>
      <c r="B3052" s="1">
        <v>44621</v>
      </c>
      <c r="C3052">
        <v>2022</v>
      </c>
      <c r="D3052" t="s">
        <v>10</v>
      </c>
      <c r="E3052" t="s">
        <v>26</v>
      </c>
      <c r="F3052" t="s">
        <v>40</v>
      </c>
      <c r="G3052" t="s">
        <v>8</v>
      </c>
      <c r="H3052">
        <v>78.42</v>
      </c>
    </row>
    <row r="3053" spans="1:8" x14ac:dyDescent="0.3">
      <c r="A3053">
        <v>202204</v>
      </c>
      <c r="B3053" s="1">
        <v>44652</v>
      </c>
      <c r="C3053">
        <v>2022</v>
      </c>
      <c r="D3053" t="s">
        <v>11</v>
      </c>
      <c r="E3053" t="s">
        <v>26</v>
      </c>
      <c r="F3053" t="s">
        <v>40</v>
      </c>
      <c r="G3053" t="s">
        <v>8</v>
      </c>
      <c r="H3053">
        <v>95.17</v>
      </c>
    </row>
    <row r="3054" spans="1:8" x14ac:dyDescent="0.3">
      <c r="A3054">
        <v>202205</v>
      </c>
      <c r="B3054" s="1">
        <v>44682</v>
      </c>
      <c r="C3054">
        <v>2022</v>
      </c>
      <c r="D3054" t="s">
        <v>12</v>
      </c>
      <c r="E3054" t="s">
        <v>26</v>
      </c>
      <c r="F3054" t="s">
        <v>40</v>
      </c>
      <c r="G3054" t="s">
        <v>8</v>
      </c>
      <c r="H3054">
        <v>79.55</v>
      </c>
    </row>
    <row r="3055" spans="1:8" x14ac:dyDescent="0.3">
      <c r="A3055">
        <v>202206</v>
      </c>
      <c r="B3055" s="1">
        <v>44713</v>
      </c>
      <c r="C3055">
        <v>2022</v>
      </c>
      <c r="D3055" t="s">
        <v>13</v>
      </c>
      <c r="E3055" t="s">
        <v>26</v>
      </c>
      <c r="F3055" t="s">
        <v>40</v>
      </c>
      <c r="G3055" t="s">
        <v>8</v>
      </c>
      <c r="H3055">
        <v>83.05</v>
      </c>
    </row>
    <row r="3056" spans="1:8" x14ac:dyDescent="0.3">
      <c r="A3056">
        <v>202207</v>
      </c>
      <c r="B3056" s="1">
        <v>44743</v>
      </c>
      <c r="C3056">
        <v>2022</v>
      </c>
      <c r="D3056" t="s">
        <v>14</v>
      </c>
      <c r="E3056" t="s">
        <v>26</v>
      </c>
      <c r="F3056" t="s">
        <v>40</v>
      </c>
      <c r="G3056" t="s">
        <v>8</v>
      </c>
      <c r="H3056">
        <v>99</v>
      </c>
    </row>
    <row r="3057" spans="1:8" x14ac:dyDescent="0.3">
      <c r="A3057">
        <v>202208</v>
      </c>
      <c r="B3057" s="1">
        <v>44774</v>
      </c>
      <c r="C3057">
        <v>2022</v>
      </c>
      <c r="D3057" t="s">
        <v>15</v>
      </c>
      <c r="E3057" t="s">
        <v>26</v>
      </c>
      <c r="F3057" t="s">
        <v>40</v>
      </c>
      <c r="G3057" t="s">
        <v>8</v>
      </c>
      <c r="H3057">
        <v>73.989999999999995</v>
      </c>
    </row>
    <row r="3058" spans="1:8" x14ac:dyDescent="0.3">
      <c r="A3058">
        <v>202209</v>
      </c>
      <c r="B3058" s="1">
        <v>44805</v>
      </c>
      <c r="C3058">
        <v>2022</v>
      </c>
      <c r="D3058" t="s">
        <v>16</v>
      </c>
      <c r="E3058" t="s">
        <v>26</v>
      </c>
      <c r="F3058" t="s">
        <v>40</v>
      </c>
      <c r="G3058" t="s">
        <v>8</v>
      </c>
      <c r="H3058">
        <v>77.790000000000006</v>
      </c>
    </row>
    <row r="3059" spans="1:8" x14ac:dyDescent="0.3">
      <c r="A3059">
        <v>202210</v>
      </c>
      <c r="B3059" s="1">
        <v>44835</v>
      </c>
      <c r="C3059">
        <v>2022</v>
      </c>
      <c r="D3059" t="s">
        <v>17</v>
      </c>
      <c r="E3059" t="s">
        <v>26</v>
      </c>
      <c r="F3059" t="s">
        <v>40</v>
      </c>
      <c r="G3059" t="s">
        <v>8</v>
      </c>
      <c r="H3059">
        <v>110.11</v>
      </c>
    </row>
    <row r="3060" spans="1:8" x14ac:dyDescent="0.3">
      <c r="A3060">
        <v>202211</v>
      </c>
      <c r="B3060" s="1">
        <v>44866</v>
      </c>
      <c r="C3060">
        <v>2022</v>
      </c>
      <c r="D3060" t="s">
        <v>18</v>
      </c>
      <c r="E3060" t="s">
        <v>26</v>
      </c>
      <c r="F3060" t="s">
        <v>40</v>
      </c>
      <c r="G3060" t="s">
        <v>8</v>
      </c>
      <c r="H3060">
        <v>112.53</v>
      </c>
    </row>
    <row r="3061" spans="1:8" x14ac:dyDescent="0.3">
      <c r="A3061">
        <v>202212</v>
      </c>
      <c r="B3061" s="1">
        <v>44896</v>
      </c>
      <c r="C3061">
        <v>2022</v>
      </c>
      <c r="D3061" t="s">
        <v>19</v>
      </c>
      <c r="E3061" t="s">
        <v>26</v>
      </c>
      <c r="F3061" t="s">
        <v>40</v>
      </c>
      <c r="G3061" t="s">
        <v>8</v>
      </c>
      <c r="H3061">
        <v>90.77</v>
      </c>
    </row>
    <row r="3062" spans="1:8" x14ac:dyDescent="0.3">
      <c r="A3062">
        <v>202201</v>
      </c>
      <c r="B3062" s="1">
        <v>44562</v>
      </c>
      <c r="C3062">
        <v>2022</v>
      </c>
      <c r="D3062" t="s">
        <v>6</v>
      </c>
      <c r="E3062" t="s">
        <v>26</v>
      </c>
      <c r="F3062" t="s">
        <v>40</v>
      </c>
      <c r="G3062" t="s">
        <v>8</v>
      </c>
      <c r="H3062">
        <v>125.11</v>
      </c>
    </row>
    <row r="3063" spans="1:8" x14ac:dyDescent="0.3">
      <c r="A3063">
        <v>202202</v>
      </c>
      <c r="B3063" s="1">
        <v>44593</v>
      </c>
      <c r="C3063">
        <v>2022</v>
      </c>
      <c r="D3063" t="s">
        <v>9</v>
      </c>
      <c r="E3063" t="s">
        <v>26</v>
      </c>
      <c r="F3063" t="s">
        <v>40</v>
      </c>
      <c r="G3063" t="s">
        <v>8</v>
      </c>
      <c r="H3063">
        <v>76.7</v>
      </c>
    </row>
    <row r="3064" spans="1:8" x14ac:dyDescent="0.3">
      <c r="A3064">
        <v>202203</v>
      </c>
      <c r="B3064" s="1">
        <v>44621</v>
      </c>
      <c r="C3064">
        <v>2022</v>
      </c>
      <c r="D3064" t="s">
        <v>10</v>
      </c>
      <c r="E3064" t="s">
        <v>26</v>
      </c>
      <c r="F3064" t="s">
        <v>40</v>
      </c>
      <c r="G3064" t="s">
        <v>8</v>
      </c>
      <c r="H3064">
        <v>86.21</v>
      </c>
    </row>
    <row r="3065" spans="1:8" x14ac:dyDescent="0.3">
      <c r="A3065">
        <v>202204</v>
      </c>
      <c r="B3065" s="1">
        <v>44652</v>
      </c>
      <c r="C3065">
        <v>2022</v>
      </c>
      <c r="D3065" t="s">
        <v>11</v>
      </c>
      <c r="E3065" t="s">
        <v>26</v>
      </c>
      <c r="F3065" t="s">
        <v>40</v>
      </c>
      <c r="G3065" t="s">
        <v>8</v>
      </c>
      <c r="H3065">
        <v>107.17</v>
      </c>
    </row>
    <row r="3066" spans="1:8" x14ac:dyDescent="0.3">
      <c r="A3066">
        <v>202205</v>
      </c>
      <c r="B3066" s="1">
        <v>44682</v>
      </c>
      <c r="C3066">
        <v>2022</v>
      </c>
      <c r="D3066" t="s">
        <v>12</v>
      </c>
      <c r="E3066" t="s">
        <v>26</v>
      </c>
      <c r="F3066" t="s">
        <v>40</v>
      </c>
      <c r="G3066" t="s">
        <v>8</v>
      </c>
      <c r="H3066">
        <v>104.4</v>
      </c>
    </row>
    <row r="3067" spans="1:8" x14ac:dyDescent="0.3">
      <c r="A3067">
        <v>202206</v>
      </c>
      <c r="B3067" s="1">
        <v>44713</v>
      </c>
      <c r="C3067">
        <v>2022</v>
      </c>
      <c r="D3067" t="s">
        <v>13</v>
      </c>
      <c r="E3067" t="s">
        <v>26</v>
      </c>
      <c r="F3067" t="s">
        <v>40</v>
      </c>
      <c r="G3067" t="s">
        <v>8</v>
      </c>
      <c r="H3067">
        <v>99.02</v>
      </c>
    </row>
    <row r="3068" spans="1:8" x14ac:dyDescent="0.3">
      <c r="A3068">
        <v>202207</v>
      </c>
      <c r="B3068" s="1">
        <v>44743</v>
      </c>
      <c r="C3068">
        <v>2022</v>
      </c>
      <c r="D3068" t="s">
        <v>14</v>
      </c>
      <c r="E3068" t="s">
        <v>26</v>
      </c>
      <c r="F3068" t="s">
        <v>40</v>
      </c>
      <c r="G3068" t="s">
        <v>8</v>
      </c>
      <c r="H3068">
        <v>108.08</v>
      </c>
    </row>
    <row r="3069" spans="1:8" x14ac:dyDescent="0.3">
      <c r="A3069">
        <v>202208</v>
      </c>
      <c r="B3069" s="1">
        <v>44774</v>
      </c>
      <c r="C3069">
        <v>2022</v>
      </c>
      <c r="D3069" t="s">
        <v>15</v>
      </c>
      <c r="E3069" t="s">
        <v>26</v>
      </c>
      <c r="F3069" t="s">
        <v>40</v>
      </c>
      <c r="G3069" t="s">
        <v>8</v>
      </c>
      <c r="H3069">
        <v>120.29</v>
      </c>
    </row>
    <row r="3070" spans="1:8" x14ac:dyDescent="0.3">
      <c r="A3070">
        <v>202209</v>
      </c>
      <c r="B3070" s="1">
        <v>44805</v>
      </c>
      <c r="C3070">
        <v>2022</v>
      </c>
      <c r="D3070" t="s">
        <v>16</v>
      </c>
      <c r="E3070" t="s">
        <v>26</v>
      </c>
      <c r="F3070" t="s">
        <v>40</v>
      </c>
      <c r="G3070" t="s">
        <v>8</v>
      </c>
      <c r="H3070">
        <v>96.7</v>
      </c>
    </row>
    <row r="3071" spans="1:8" x14ac:dyDescent="0.3">
      <c r="A3071">
        <v>202210</v>
      </c>
      <c r="B3071" s="1">
        <v>44835</v>
      </c>
      <c r="C3071">
        <v>2022</v>
      </c>
      <c r="D3071" t="s">
        <v>17</v>
      </c>
      <c r="E3071" t="s">
        <v>26</v>
      </c>
      <c r="F3071" t="s">
        <v>40</v>
      </c>
      <c r="G3071" t="s">
        <v>8</v>
      </c>
      <c r="H3071">
        <v>94.32</v>
      </c>
    </row>
    <row r="3072" spans="1:8" x14ac:dyDescent="0.3">
      <c r="A3072">
        <v>202211</v>
      </c>
      <c r="B3072" s="1">
        <v>44866</v>
      </c>
      <c r="C3072">
        <v>2022</v>
      </c>
      <c r="D3072" t="s">
        <v>18</v>
      </c>
      <c r="E3072" t="s">
        <v>26</v>
      </c>
      <c r="F3072" t="s">
        <v>40</v>
      </c>
      <c r="G3072" t="s">
        <v>8</v>
      </c>
      <c r="H3072">
        <v>137.4</v>
      </c>
    </row>
    <row r="3073" spans="1:8" x14ac:dyDescent="0.3">
      <c r="A3073">
        <v>202212</v>
      </c>
      <c r="B3073" s="1">
        <v>44896</v>
      </c>
      <c r="C3073">
        <v>2022</v>
      </c>
      <c r="D3073" t="s">
        <v>19</v>
      </c>
      <c r="E3073" t="s">
        <v>26</v>
      </c>
      <c r="F3073" t="s">
        <v>40</v>
      </c>
      <c r="G3073" t="s">
        <v>8</v>
      </c>
      <c r="H3073">
        <v>97.78</v>
      </c>
    </row>
    <row r="3074" spans="1:8" x14ac:dyDescent="0.3">
      <c r="A3074">
        <v>202201</v>
      </c>
      <c r="B3074" s="1">
        <v>44562</v>
      </c>
      <c r="C3074">
        <v>2022</v>
      </c>
      <c r="D3074" t="s">
        <v>6</v>
      </c>
      <c r="E3074" t="s">
        <v>27</v>
      </c>
      <c r="F3074" t="s">
        <v>40</v>
      </c>
      <c r="G3074" t="s">
        <v>28</v>
      </c>
      <c r="H3074">
        <v>133.25</v>
      </c>
    </row>
    <row r="3075" spans="1:8" x14ac:dyDescent="0.3">
      <c r="A3075">
        <v>202202</v>
      </c>
      <c r="B3075" s="1">
        <v>44593</v>
      </c>
      <c r="C3075">
        <v>2022</v>
      </c>
      <c r="D3075" t="s">
        <v>9</v>
      </c>
      <c r="E3075" t="s">
        <v>27</v>
      </c>
      <c r="F3075" t="s">
        <v>40</v>
      </c>
      <c r="G3075" t="s">
        <v>28</v>
      </c>
      <c r="H3075">
        <v>81.78</v>
      </c>
    </row>
    <row r="3076" spans="1:8" x14ac:dyDescent="0.3">
      <c r="A3076">
        <v>202203</v>
      </c>
      <c r="B3076" s="1">
        <v>44621</v>
      </c>
      <c r="C3076">
        <v>2022</v>
      </c>
      <c r="D3076" t="s">
        <v>10</v>
      </c>
      <c r="E3076" t="s">
        <v>27</v>
      </c>
      <c r="F3076" t="s">
        <v>40</v>
      </c>
      <c r="G3076" t="s">
        <v>28</v>
      </c>
      <c r="H3076">
        <v>125.39</v>
      </c>
    </row>
    <row r="3077" spans="1:8" x14ac:dyDescent="0.3">
      <c r="A3077">
        <v>202204</v>
      </c>
      <c r="B3077" s="1">
        <v>44652</v>
      </c>
      <c r="C3077">
        <v>2022</v>
      </c>
      <c r="D3077" t="s">
        <v>11</v>
      </c>
      <c r="E3077" t="s">
        <v>27</v>
      </c>
      <c r="F3077" t="s">
        <v>40</v>
      </c>
      <c r="G3077" t="s">
        <v>28</v>
      </c>
      <c r="H3077">
        <v>180.03</v>
      </c>
    </row>
    <row r="3078" spans="1:8" x14ac:dyDescent="0.3">
      <c r="A3078">
        <v>202205</v>
      </c>
      <c r="B3078" s="1">
        <v>44682</v>
      </c>
      <c r="C3078">
        <v>2022</v>
      </c>
      <c r="D3078" t="s">
        <v>12</v>
      </c>
      <c r="E3078" t="s">
        <v>27</v>
      </c>
      <c r="F3078" t="s">
        <v>40</v>
      </c>
      <c r="G3078" t="s">
        <v>28</v>
      </c>
      <c r="H3078">
        <v>156.97</v>
      </c>
    </row>
    <row r="3079" spans="1:8" x14ac:dyDescent="0.3">
      <c r="A3079">
        <v>202206</v>
      </c>
      <c r="B3079" s="1">
        <v>44713</v>
      </c>
      <c r="C3079">
        <v>2022</v>
      </c>
      <c r="D3079" t="s">
        <v>13</v>
      </c>
      <c r="E3079" t="s">
        <v>27</v>
      </c>
      <c r="F3079" t="s">
        <v>40</v>
      </c>
      <c r="G3079" t="s">
        <v>28</v>
      </c>
      <c r="H3079">
        <v>178.94</v>
      </c>
    </row>
    <row r="3080" spans="1:8" x14ac:dyDescent="0.3">
      <c r="A3080">
        <v>202207</v>
      </c>
      <c r="B3080" s="1">
        <v>44743</v>
      </c>
      <c r="C3080">
        <v>2022</v>
      </c>
      <c r="D3080" t="s">
        <v>14</v>
      </c>
      <c r="E3080" t="s">
        <v>27</v>
      </c>
      <c r="F3080" t="s">
        <v>40</v>
      </c>
      <c r="G3080" t="s">
        <v>28</v>
      </c>
      <c r="H3080">
        <v>220.04</v>
      </c>
    </row>
    <row r="3081" spans="1:8" x14ac:dyDescent="0.3">
      <c r="A3081">
        <v>202208</v>
      </c>
      <c r="B3081" s="1">
        <v>44774</v>
      </c>
      <c r="C3081">
        <v>2022</v>
      </c>
      <c r="D3081" t="s">
        <v>15</v>
      </c>
      <c r="E3081" t="s">
        <v>27</v>
      </c>
      <c r="F3081" t="s">
        <v>40</v>
      </c>
      <c r="G3081" t="s">
        <v>28</v>
      </c>
      <c r="H3081">
        <v>147.08000000000001</v>
      </c>
    </row>
    <row r="3082" spans="1:8" x14ac:dyDescent="0.3">
      <c r="A3082">
        <v>202209</v>
      </c>
      <c r="B3082" s="1">
        <v>44805</v>
      </c>
      <c r="C3082">
        <v>2022</v>
      </c>
      <c r="D3082" t="s">
        <v>16</v>
      </c>
      <c r="E3082" t="s">
        <v>27</v>
      </c>
      <c r="F3082" t="s">
        <v>40</v>
      </c>
      <c r="G3082" t="s">
        <v>28</v>
      </c>
      <c r="H3082">
        <v>141.24</v>
      </c>
    </row>
    <row r="3083" spans="1:8" x14ac:dyDescent="0.3">
      <c r="A3083">
        <v>202210</v>
      </c>
      <c r="B3083" s="1">
        <v>44835</v>
      </c>
      <c r="C3083">
        <v>2022</v>
      </c>
      <c r="D3083" t="s">
        <v>17</v>
      </c>
      <c r="E3083" t="s">
        <v>27</v>
      </c>
      <c r="F3083" t="s">
        <v>40</v>
      </c>
      <c r="G3083" t="s">
        <v>28</v>
      </c>
      <c r="H3083">
        <v>146.59</v>
      </c>
    </row>
    <row r="3084" spans="1:8" x14ac:dyDescent="0.3">
      <c r="A3084">
        <v>202211</v>
      </c>
      <c r="B3084" s="1">
        <v>44866</v>
      </c>
      <c r="C3084">
        <v>2022</v>
      </c>
      <c r="D3084" t="s">
        <v>18</v>
      </c>
      <c r="E3084" t="s">
        <v>27</v>
      </c>
      <c r="F3084" t="s">
        <v>40</v>
      </c>
      <c r="G3084" t="s">
        <v>28</v>
      </c>
      <c r="H3084">
        <v>144.43</v>
      </c>
    </row>
    <row r="3085" spans="1:8" x14ac:dyDescent="0.3">
      <c r="A3085">
        <v>202212</v>
      </c>
      <c r="B3085" s="1">
        <v>44896</v>
      </c>
      <c r="C3085">
        <v>2022</v>
      </c>
      <c r="D3085" t="s">
        <v>19</v>
      </c>
      <c r="E3085" t="s">
        <v>27</v>
      </c>
      <c r="F3085" t="s">
        <v>40</v>
      </c>
      <c r="G3085" t="s">
        <v>28</v>
      </c>
      <c r="H3085">
        <v>132.31</v>
      </c>
    </row>
    <row r="3086" spans="1:8" x14ac:dyDescent="0.3">
      <c r="A3086">
        <v>202201</v>
      </c>
      <c r="B3086" s="1">
        <v>44562</v>
      </c>
      <c r="C3086">
        <v>2022</v>
      </c>
      <c r="D3086" t="s">
        <v>6</v>
      </c>
      <c r="E3086" t="s">
        <v>27</v>
      </c>
      <c r="F3086" t="s">
        <v>40</v>
      </c>
      <c r="G3086" t="s">
        <v>28</v>
      </c>
      <c r="H3086">
        <v>102.95</v>
      </c>
    </row>
    <row r="3087" spans="1:8" x14ac:dyDescent="0.3">
      <c r="A3087">
        <v>202202</v>
      </c>
      <c r="B3087" s="1">
        <v>44593</v>
      </c>
      <c r="C3087">
        <v>2022</v>
      </c>
      <c r="D3087" t="s">
        <v>9</v>
      </c>
      <c r="E3087" t="s">
        <v>27</v>
      </c>
      <c r="F3087" t="s">
        <v>40</v>
      </c>
      <c r="G3087" t="s">
        <v>28</v>
      </c>
      <c r="H3087">
        <v>56.87</v>
      </c>
    </row>
    <row r="3088" spans="1:8" x14ac:dyDescent="0.3">
      <c r="A3088">
        <v>202203</v>
      </c>
      <c r="B3088" s="1">
        <v>44621</v>
      </c>
      <c r="C3088">
        <v>2022</v>
      </c>
      <c r="D3088" t="s">
        <v>10</v>
      </c>
      <c r="E3088" t="s">
        <v>27</v>
      </c>
      <c r="F3088" t="s">
        <v>40</v>
      </c>
      <c r="G3088" t="s">
        <v>28</v>
      </c>
      <c r="H3088">
        <v>64.510000000000005</v>
      </c>
    </row>
    <row r="3089" spans="1:8" x14ac:dyDescent="0.3">
      <c r="A3089">
        <v>202204</v>
      </c>
      <c r="B3089" s="1">
        <v>44652</v>
      </c>
      <c r="C3089">
        <v>2022</v>
      </c>
      <c r="D3089" t="s">
        <v>11</v>
      </c>
      <c r="E3089" t="s">
        <v>27</v>
      </c>
      <c r="F3089" t="s">
        <v>40</v>
      </c>
      <c r="G3089" t="s">
        <v>28</v>
      </c>
      <c r="H3089">
        <v>80.66</v>
      </c>
    </row>
    <row r="3090" spans="1:8" x14ac:dyDescent="0.3">
      <c r="A3090">
        <v>202205</v>
      </c>
      <c r="B3090" s="1">
        <v>44682</v>
      </c>
      <c r="C3090">
        <v>2022</v>
      </c>
      <c r="D3090" t="s">
        <v>12</v>
      </c>
      <c r="E3090" t="s">
        <v>27</v>
      </c>
      <c r="F3090" t="s">
        <v>40</v>
      </c>
      <c r="G3090" t="s">
        <v>28</v>
      </c>
      <c r="H3090">
        <v>72.31</v>
      </c>
    </row>
    <row r="3091" spans="1:8" x14ac:dyDescent="0.3">
      <c r="A3091">
        <v>202206</v>
      </c>
      <c r="B3091" s="1">
        <v>44713</v>
      </c>
      <c r="C3091">
        <v>2022</v>
      </c>
      <c r="D3091" t="s">
        <v>13</v>
      </c>
      <c r="E3091" t="s">
        <v>27</v>
      </c>
      <c r="F3091" t="s">
        <v>40</v>
      </c>
      <c r="G3091" t="s">
        <v>28</v>
      </c>
      <c r="H3091">
        <v>67.58</v>
      </c>
    </row>
    <row r="3092" spans="1:8" x14ac:dyDescent="0.3">
      <c r="A3092">
        <v>202207</v>
      </c>
      <c r="B3092" s="1">
        <v>44743</v>
      </c>
      <c r="C3092">
        <v>2022</v>
      </c>
      <c r="D3092" t="s">
        <v>14</v>
      </c>
      <c r="E3092" t="s">
        <v>27</v>
      </c>
      <c r="F3092" t="s">
        <v>40</v>
      </c>
      <c r="G3092" t="s">
        <v>28</v>
      </c>
      <c r="H3092">
        <v>87.33</v>
      </c>
    </row>
    <row r="3093" spans="1:8" x14ac:dyDescent="0.3">
      <c r="A3093">
        <v>202208</v>
      </c>
      <c r="B3093" s="1">
        <v>44774</v>
      </c>
      <c r="C3093">
        <v>2022</v>
      </c>
      <c r="D3093" t="s">
        <v>15</v>
      </c>
      <c r="E3093" t="s">
        <v>27</v>
      </c>
      <c r="F3093" t="s">
        <v>40</v>
      </c>
      <c r="G3093" t="s">
        <v>28</v>
      </c>
      <c r="H3093">
        <v>66.400000000000006</v>
      </c>
    </row>
    <row r="3094" spans="1:8" x14ac:dyDescent="0.3">
      <c r="A3094">
        <v>202209</v>
      </c>
      <c r="B3094" s="1">
        <v>44805</v>
      </c>
      <c r="C3094">
        <v>2022</v>
      </c>
      <c r="D3094" t="s">
        <v>16</v>
      </c>
      <c r="E3094" t="s">
        <v>27</v>
      </c>
      <c r="F3094" t="s">
        <v>40</v>
      </c>
      <c r="G3094" t="s">
        <v>28</v>
      </c>
      <c r="H3094">
        <v>78.44</v>
      </c>
    </row>
    <row r="3095" spans="1:8" x14ac:dyDescent="0.3">
      <c r="A3095">
        <v>202210</v>
      </c>
      <c r="B3095" s="1">
        <v>44835</v>
      </c>
      <c r="C3095">
        <v>2022</v>
      </c>
      <c r="D3095" t="s">
        <v>17</v>
      </c>
      <c r="E3095" t="s">
        <v>27</v>
      </c>
      <c r="F3095" t="s">
        <v>40</v>
      </c>
      <c r="G3095" t="s">
        <v>28</v>
      </c>
      <c r="H3095">
        <v>68.45</v>
      </c>
    </row>
    <row r="3096" spans="1:8" x14ac:dyDescent="0.3">
      <c r="A3096">
        <v>202211</v>
      </c>
      <c r="B3096" s="1">
        <v>44866</v>
      </c>
      <c r="C3096">
        <v>2022</v>
      </c>
      <c r="D3096" t="s">
        <v>18</v>
      </c>
      <c r="E3096" t="s">
        <v>27</v>
      </c>
      <c r="F3096" t="s">
        <v>40</v>
      </c>
      <c r="G3096" t="s">
        <v>28</v>
      </c>
      <c r="H3096">
        <v>75.319999999999993</v>
      </c>
    </row>
    <row r="3097" spans="1:8" x14ac:dyDescent="0.3">
      <c r="A3097">
        <v>202212</v>
      </c>
      <c r="B3097" s="1">
        <v>44896</v>
      </c>
      <c r="C3097">
        <v>2022</v>
      </c>
      <c r="D3097" t="s">
        <v>19</v>
      </c>
      <c r="E3097" t="s">
        <v>27</v>
      </c>
      <c r="F3097" t="s">
        <v>40</v>
      </c>
      <c r="G3097" t="s">
        <v>28</v>
      </c>
      <c r="H3097">
        <v>67.150000000000006</v>
      </c>
    </row>
    <row r="3098" spans="1:8" x14ac:dyDescent="0.3">
      <c r="A3098">
        <v>202201</v>
      </c>
      <c r="B3098" s="1">
        <v>44562</v>
      </c>
      <c r="C3098">
        <v>2022</v>
      </c>
      <c r="D3098" t="s">
        <v>6</v>
      </c>
      <c r="E3098" t="s">
        <v>27</v>
      </c>
      <c r="F3098" t="s">
        <v>40</v>
      </c>
      <c r="G3098" t="s">
        <v>28</v>
      </c>
      <c r="H3098">
        <v>148.87</v>
      </c>
    </row>
    <row r="3099" spans="1:8" x14ac:dyDescent="0.3">
      <c r="A3099">
        <v>202202</v>
      </c>
      <c r="B3099" s="1">
        <v>44593</v>
      </c>
      <c r="C3099">
        <v>2022</v>
      </c>
      <c r="D3099" t="s">
        <v>9</v>
      </c>
      <c r="E3099" t="s">
        <v>27</v>
      </c>
      <c r="F3099" t="s">
        <v>40</v>
      </c>
      <c r="G3099" t="s">
        <v>28</v>
      </c>
      <c r="H3099">
        <v>92.47</v>
      </c>
    </row>
    <row r="3100" spans="1:8" x14ac:dyDescent="0.3">
      <c r="A3100">
        <v>202203</v>
      </c>
      <c r="B3100" s="1">
        <v>44621</v>
      </c>
      <c r="C3100">
        <v>2022</v>
      </c>
      <c r="D3100" t="s">
        <v>10</v>
      </c>
      <c r="E3100" t="s">
        <v>27</v>
      </c>
      <c r="F3100" t="s">
        <v>40</v>
      </c>
      <c r="G3100" t="s">
        <v>28</v>
      </c>
      <c r="H3100">
        <v>117.15</v>
      </c>
    </row>
    <row r="3101" spans="1:8" x14ac:dyDescent="0.3">
      <c r="A3101">
        <v>202204</v>
      </c>
      <c r="B3101" s="1">
        <v>44652</v>
      </c>
      <c r="C3101">
        <v>2022</v>
      </c>
      <c r="D3101" t="s">
        <v>11</v>
      </c>
      <c r="E3101" t="s">
        <v>27</v>
      </c>
      <c r="F3101" t="s">
        <v>40</v>
      </c>
      <c r="G3101" t="s">
        <v>28</v>
      </c>
      <c r="H3101">
        <v>143.43</v>
      </c>
    </row>
    <row r="3102" spans="1:8" x14ac:dyDescent="0.3">
      <c r="A3102">
        <v>202205</v>
      </c>
      <c r="B3102" s="1">
        <v>44682</v>
      </c>
      <c r="C3102">
        <v>2022</v>
      </c>
      <c r="D3102" t="s">
        <v>12</v>
      </c>
      <c r="E3102" t="s">
        <v>27</v>
      </c>
      <c r="F3102" t="s">
        <v>40</v>
      </c>
      <c r="G3102" t="s">
        <v>28</v>
      </c>
      <c r="H3102">
        <v>103.61</v>
      </c>
    </row>
    <row r="3103" spans="1:8" x14ac:dyDescent="0.3">
      <c r="A3103">
        <v>202206</v>
      </c>
      <c r="B3103" s="1">
        <v>44713</v>
      </c>
      <c r="C3103">
        <v>2022</v>
      </c>
      <c r="D3103" t="s">
        <v>13</v>
      </c>
      <c r="E3103" t="s">
        <v>27</v>
      </c>
      <c r="F3103" t="s">
        <v>40</v>
      </c>
      <c r="G3103" t="s">
        <v>28</v>
      </c>
      <c r="H3103">
        <v>114.9</v>
      </c>
    </row>
    <row r="3104" spans="1:8" x14ac:dyDescent="0.3">
      <c r="A3104">
        <v>202207</v>
      </c>
      <c r="B3104" s="1">
        <v>44743</v>
      </c>
      <c r="C3104">
        <v>2022</v>
      </c>
      <c r="D3104" t="s">
        <v>14</v>
      </c>
      <c r="E3104" t="s">
        <v>27</v>
      </c>
      <c r="F3104" t="s">
        <v>40</v>
      </c>
      <c r="G3104" t="s">
        <v>28</v>
      </c>
      <c r="H3104">
        <v>127.74</v>
      </c>
    </row>
    <row r="3105" spans="1:8" x14ac:dyDescent="0.3">
      <c r="A3105">
        <v>202208</v>
      </c>
      <c r="B3105" s="1">
        <v>44774</v>
      </c>
      <c r="C3105">
        <v>2022</v>
      </c>
      <c r="D3105" t="s">
        <v>15</v>
      </c>
      <c r="E3105" t="s">
        <v>27</v>
      </c>
      <c r="F3105" t="s">
        <v>40</v>
      </c>
      <c r="G3105" t="s">
        <v>28</v>
      </c>
      <c r="H3105">
        <v>120.82</v>
      </c>
    </row>
    <row r="3106" spans="1:8" x14ac:dyDescent="0.3">
      <c r="A3106">
        <v>202209</v>
      </c>
      <c r="B3106" s="1">
        <v>44805</v>
      </c>
      <c r="C3106">
        <v>2022</v>
      </c>
      <c r="D3106" t="s">
        <v>16</v>
      </c>
      <c r="E3106" t="s">
        <v>27</v>
      </c>
      <c r="F3106" t="s">
        <v>40</v>
      </c>
      <c r="G3106" t="s">
        <v>28</v>
      </c>
      <c r="H3106">
        <v>108.52</v>
      </c>
    </row>
    <row r="3107" spans="1:8" x14ac:dyDescent="0.3">
      <c r="A3107">
        <v>202210</v>
      </c>
      <c r="B3107" s="1">
        <v>44835</v>
      </c>
      <c r="C3107">
        <v>2022</v>
      </c>
      <c r="D3107" t="s">
        <v>17</v>
      </c>
      <c r="E3107" t="s">
        <v>27</v>
      </c>
      <c r="F3107" t="s">
        <v>40</v>
      </c>
      <c r="G3107" t="s">
        <v>28</v>
      </c>
      <c r="H3107">
        <v>108.34</v>
      </c>
    </row>
    <row r="3108" spans="1:8" x14ac:dyDescent="0.3">
      <c r="A3108">
        <v>202211</v>
      </c>
      <c r="B3108" s="1">
        <v>44866</v>
      </c>
      <c r="C3108">
        <v>2022</v>
      </c>
      <c r="D3108" t="s">
        <v>18</v>
      </c>
      <c r="E3108" t="s">
        <v>27</v>
      </c>
      <c r="F3108" t="s">
        <v>40</v>
      </c>
      <c r="G3108" t="s">
        <v>28</v>
      </c>
      <c r="H3108">
        <v>127.87</v>
      </c>
    </row>
    <row r="3109" spans="1:8" x14ac:dyDescent="0.3">
      <c r="A3109">
        <v>202212</v>
      </c>
      <c r="B3109" s="1">
        <v>44896</v>
      </c>
      <c r="C3109">
        <v>2022</v>
      </c>
      <c r="D3109" t="s">
        <v>19</v>
      </c>
      <c r="E3109" t="s">
        <v>27</v>
      </c>
      <c r="F3109" t="s">
        <v>40</v>
      </c>
      <c r="G3109" t="s">
        <v>28</v>
      </c>
      <c r="H3109">
        <v>119.64</v>
      </c>
    </row>
    <row r="3110" spans="1:8" x14ac:dyDescent="0.3">
      <c r="A3110">
        <v>202201</v>
      </c>
      <c r="B3110" s="1">
        <v>44562</v>
      </c>
      <c r="C3110">
        <v>2022</v>
      </c>
      <c r="D3110" t="s">
        <v>6</v>
      </c>
      <c r="E3110" t="s">
        <v>27</v>
      </c>
      <c r="F3110" t="s">
        <v>40</v>
      </c>
      <c r="G3110" t="s">
        <v>28</v>
      </c>
      <c r="H3110">
        <v>127.11</v>
      </c>
    </row>
    <row r="3111" spans="1:8" x14ac:dyDescent="0.3">
      <c r="A3111">
        <v>202202</v>
      </c>
      <c r="B3111" s="1">
        <v>44593</v>
      </c>
      <c r="C3111">
        <v>2022</v>
      </c>
      <c r="D3111" t="s">
        <v>9</v>
      </c>
      <c r="E3111" t="s">
        <v>27</v>
      </c>
      <c r="F3111" t="s">
        <v>40</v>
      </c>
      <c r="G3111" t="s">
        <v>28</v>
      </c>
      <c r="H3111">
        <v>85.27</v>
      </c>
    </row>
    <row r="3112" spans="1:8" x14ac:dyDescent="0.3">
      <c r="A3112">
        <v>202203</v>
      </c>
      <c r="B3112" s="1">
        <v>44621</v>
      </c>
      <c r="C3112">
        <v>2022</v>
      </c>
      <c r="D3112" t="s">
        <v>10</v>
      </c>
      <c r="E3112" t="s">
        <v>27</v>
      </c>
      <c r="F3112" t="s">
        <v>40</v>
      </c>
      <c r="G3112" t="s">
        <v>28</v>
      </c>
      <c r="H3112">
        <v>93.15</v>
      </c>
    </row>
    <row r="3113" spans="1:8" x14ac:dyDescent="0.3">
      <c r="A3113">
        <v>202204</v>
      </c>
      <c r="B3113" s="1">
        <v>44652</v>
      </c>
      <c r="C3113">
        <v>2022</v>
      </c>
      <c r="D3113" t="s">
        <v>11</v>
      </c>
      <c r="E3113" t="s">
        <v>27</v>
      </c>
      <c r="F3113" t="s">
        <v>40</v>
      </c>
      <c r="G3113" t="s">
        <v>28</v>
      </c>
      <c r="H3113">
        <v>137.44999999999999</v>
      </c>
    </row>
    <row r="3114" spans="1:8" x14ac:dyDescent="0.3">
      <c r="A3114">
        <v>202205</v>
      </c>
      <c r="B3114" s="1">
        <v>44682</v>
      </c>
      <c r="C3114">
        <v>2022</v>
      </c>
      <c r="D3114" t="s">
        <v>12</v>
      </c>
      <c r="E3114" t="s">
        <v>27</v>
      </c>
      <c r="F3114" t="s">
        <v>40</v>
      </c>
      <c r="G3114" t="s">
        <v>28</v>
      </c>
      <c r="H3114">
        <v>101.81</v>
      </c>
    </row>
    <row r="3115" spans="1:8" x14ac:dyDescent="0.3">
      <c r="A3115">
        <v>202206</v>
      </c>
      <c r="B3115" s="1">
        <v>44713</v>
      </c>
      <c r="C3115">
        <v>2022</v>
      </c>
      <c r="D3115" t="s">
        <v>13</v>
      </c>
      <c r="E3115" t="s">
        <v>27</v>
      </c>
      <c r="F3115" t="s">
        <v>40</v>
      </c>
      <c r="G3115" t="s">
        <v>28</v>
      </c>
      <c r="H3115">
        <v>101.7</v>
      </c>
    </row>
    <row r="3116" spans="1:8" x14ac:dyDescent="0.3">
      <c r="A3116">
        <v>202207</v>
      </c>
      <c r="B3116" s="1">
        <v>44743</v>
      </c>
      <c r="C3116">
        <v>2022</v>
      </c>
      <c r="D3116" t="s">
        <v>14</v>
      </c>
      <c r="E3116" t="s">
        <v>27</v>
      </c>
      <c r="F3116" t="s">
        <v>40</v>
      </c>
      <c r="G3116" t="s">
        <v>28</v>
      </c>
      <c r="H3116">
        <v>151.88</v>
      </c>
    </row>
    <row r="3117" spans="1:8" x14ac:dyDescent="0.3">
      <c r="A3117">
        <v>202208</v>
      </c>
      <c r="B3117" s="1">
        <v>44774</v>
      </c>
      <c r="C3117">
        <v>2022</v>
      </c>
      <c r="D3117" t="s">
        <v>15</v>
      </c>
      <c r="E3117" t="s">
        <v>27</v>
      </c>
      <c r="F3117" t="s">
        <v>40</v>
      </c>
      <c r="G3117" t="s">
        <v>28</v>
      </c>
      <c r="H3117">
        <v>107.23</v>
      </c>
    </row>
    <row r="3118" spans="1:8" x14ac:dyDescent="0.3">
      <c r="A3118">
        <v>202209</v>
      </c>
      <c r="B3118" s="1">
        <v>44805</v>
      </c>
      <c r="C3118">
        <v>2022</v>
      </c>
      <c r="D3118" t="s">
        <v>16</v>
      </c>
      <c r="E3118" t="s">
        <v>27</v>
      </c>
      <c r="F3118" t="s">
        <v>40</v>
      </c>
      <c r="G3118" t="s">
        <v>28</v>
      </c>
      <c r="H3118">
        <v>105.96</v>
      </c>
    </row>
    <row r="3119" spans="1:8" x14ac:dyDescent="0.3">
      <c r="A3119">
        <v>202210</v>
      </c>
      <c r="B3119" s="1">
        <v>44835</v>
      </c>
      <c r="C3119">
        <v>2022</v>
      </c>
      <c r="D3119" t="s">
        <v>17</v>
      </c>
      <c r="E3119" t="s">
        <v>27</v>
      </c>
      <c r="F3119" t="s">
        <v>40</v>
      </c>
      <c r="G3119" t="s">
        <v>28</v>
      </c>
      <c r="H3119">
        <v>113.43</v>
      </c>
    </row>
    <row r="3120" spans="1:8" x14ac:dyDescent="0.3">
      <c r="A3120">
        <v>202211</v>
      </c>
      <c r="B3120" s="1">
        <v>44866</v>
      </c>
      <c r="C3120">
        <v>2022</v>
      </c>
      <c r="D3120" t="s">
        <v>18</v>
      </c>
      <c r="E3120" t="s">
        <v>27</v>
      </c>
      <c r="F3120" t="s">
        <v>40</v>
      </c>
      <c r="G3120" t="s">
        <v>28</v>
      </c>
      <c r="H3120">
        <v>118.69</v>
      </c>
    </row>
    <row r="3121" spans="1:8" x14ac:dyDescent="0.3">
      <c r="A3121">
        <v>202212</v>
      </c>
      <c r="B3121" s="1">
        <v>44896</v>
      </c>
      <c r="C3121">
        <v>2022</v>
      </c>
      <c r="D3121" t="s">
        <v>19</v>
      </c>
      <c r="E3121" t="s">
        <v>27</v>
      </c>
      <c r="F3121" t="s">
        <v>40</v>
      </c>
      <c r="G3121" t="s">
        <v>28</v>
      </c>
      <c r="H3121">
        <v>103.74</v>
      </c>
    </row>
    <row r="3122" spans="1:8" x14ac:dyDescent="0.3">
      <c r="A3122">
        <v>202201</v>
      </c>
      <c r="B3122" s="1">
        <v>44562</v>
      </c>
      <c r="C3122">
        <v>2022</v>
      </c>
      <c r="D3122" t="s">
        <v>6</v>
      </c>
      <c r="E3122" t="s">
        <v>27</v>
      </c>
      <c r="F3122" t="s">
        <v>40</v>
      </c>
      <c r="G3122" t="s">
        <v>28</v>
      </c>
      <c r="H3122">
        <v>873.79</v>
      </c>
    </row>
    <row r="3123" spans="1:8" x14ac:dyDescent="0.3">
      <c r="A3123">
        <v>202202</v>
      </c>
      <c r="B3123" s="1">
        <v>44593</v>
      </c>
      <c r="C3123">
        <v>2022</v>
      </c>
      <c r="D3123" t="s">
        <v>9</v>
      </c>
      <c r="E3123" t="s">
        <v>27</v>
      </c>
      <c r="F3123" t="s">
        <v>40</v>
      </c>
      <c r="G3123" t="s">
        <v>28</v>
      </c>
      <c r="H3123">
        <v>454.87</v>
      </c>
    </row>
    <row r="3124" spans="1:8" x14ac:dyDescent="0.3">
      <c r="A3124">
        <v>202203</v>
      </c>
      <c r="B3124" s="1">
        <v>44621</v>
      </c>
      <c r="C3124">
        <v>2022</v>
      </c>
      <c r="D3124" t="s">
        <v>10</v>
      </c>
      <c r="E3124" t="s">
        <v>27</v>
      </c>
      <c r="F3124" t="s">
        <v>40</v>
      </c>
      <c r="G3124" t="s">
        <v>28</v>
      </c>
      <c r="H3124">
        <v>698.71</v>
      </c>
    </row>
    <row r="3125" spans="1:8" x14ac:dyDescent="0.3">
      <c r="A3125">
        <v>202204</v>
      </c>
      <c r="B3125" s="1">
        <v>44652</v>
      </c>
      <c r="C3125">
        <v>2022</v>
      </c>
      <c r="D3125" t="s">
        <v>11</v>
      </c>
      <c r="E3125" t="s">
        <v>27</v>
      </c>
      <c r="F3125" t="s">
        <v>40</v>
      </c>
      <c r="G3125" t="s">
        <v>28</v>
      </c>
      <c r="H3125">
        <v>846.3</v>
      </c>
    </row>
    <row r="3126" spans="1:8" x14ac:dyDescent="0.3">
      <c r="A3126">
        <v>202205</v>
      </c>
      <c r="B3126" s="1">
        <v>44682</v>
      </c>
      <c r="C3126">
        <v>2022</v>
      </c>
      <c r="D3126" t="s">
        <v>12</v>
      </c>
      <c r="E3126" t="s">
        <v>27</v>
      </c>
      <c r="F3126" t="s">
        <v>40</v>
      </c>
      <c r="G3126" t="s">
        <v>28</v>
      </c>
      <c r="H3126">
        <v>636.51</v>
      </c>
    </row>
    <row r="3127" spans="1:8" x14ac:dyDescent="0.3">
      <c r="A3127">
        <v>202206</v>
      </c>
      <c r="B3127" s="1">
        <v>44713</v>
      </c>
      <c r="C3127">
        <v>2022</v>
      </c>
      <c r="D3127" t="s">
        <v>13</v>
      </c>
      <c r="E3127" t="s">
        <v>27</v>
      </c>
      <c r="F3127" t="s">
        <v>40</v>
      </c>
      <c r="G3127" t="s">
        <v>28</v>
      </c>
      <c r="H3127">
        <v>645.99</v>
      </c>
    </row>
    <row r="3128" spans="1:8" x14ac:dyDescent="0.3">
      <c r="A3128">
        <v>202207</v>
      </c>
      <c r="B3128" s="1">
        <v>44743</v>
      </c>
      <c r="C3128">
        <v>2022</v>
      </c>
      <c r="D3128" t="s">
        <v>14</v>
      </c>
      <c r="E3128" t="s">
        <v>27</v>
      </c>
      <c r="F3128" t="s">
        <v>40</v>
      </c>
      <c r="G3128" t="s">
        <v>28</v>
      </c>
      <c r="H3128">
        <v>729.55</v>
      </c>
    </row>
    <row r="3129" spans="1:8" x14ac:dyDescent="0.3">
      <c r="A3129">
        <v>202208</v>
      </c>
      <c r="B3129" s="1">
        <v>44774</v>
      </c>
      <c r="C3129">
        <v>2022</v>
      </c>
      <c r="D3129" t="s">
        <v>15</v>
      </c>
      <c r="E3129" t="s">
        <v>27</v>
      </c>
      <c r="F3129" t="s">
        <v>40</v>
      </c>
      <c r="G3129" t="s">
        <v>28</v>
      </c>
      <c r="H3129">
        <v>709.08</v>
      </c>
    </row>
    <row r="3130" spans="1:8" x14ac:dyDescent="0.3">
      <c r="A3130">
        <v>202209</v>
      </c>
      <c r="B3130" s="1">
        <v>44805</v>
      </c>
      <c r="C3130">
        <v>2022</v>
      </c>
      <c r="D3130" t="s">
        <v>16</v>
      </c>
      <c r="E3130" t="s">
        <v>27</v>
      </c>
      <c r="F3130" t="s">
        <v>40</v>
      </c>
      <c r="G3130" t="s">
        <v>28</v>
      </c>
      <c r="H3130">
        <v>640.91</v>
      </c>
    </row>
    <row r="3131" spans="1:8" x14ac:dyDescent="0.3">
      <c r="A3131">
        <v>202210</v>
      </c>
      <c r="B3131" s="1">
        <v>44835</v>
      </c>
      <c r="C3131">
        <v>2022</v>
      </c>
      <c r="D3131" t="s">
        <v>17</v>
      </c>
      <c r="E3131" t="s">
        <v>27</v>
      </c>
      <c r="F3131" t="s">
        <v>40</v>
      </c>
      <c r="G3131" t="s">
        <v>28</v>
      </c>
      <c r="H3131">
        <v>672.31</v>
      </c>
    </row>
    <row r="3132" spans="1:8" x14ac:dyDescent="0.3">
      <c r="A3132">
        <v>202211</v>
      </c>
      <c r="B3132" s="1">
        <v>44866</v>
      </c>
      <c r="C3132">
        <v>2022</v>
      </c>
      <c r="D3132" t="s">
        <v>18</v>
      </c>
      <c r="E3132" t="s">
        <v>27</v>
      </c>
      <c r="F3132" t="s">
        <v>40</v>
      </c>
      <c r="G3132" t="s">
        <v>28</v>
      </c>
      <c r="H3132">
        <v>750.01</v>
      </c>
    </row>
    <row r="3133" spans="1:8" x14ac:dyDescent="0.3">
      <c r="A3133">
        <v>202212</v>
      </c>
      <c r="B3133" s="1">
        <v>44896</v>
      </c>
      <c r="C3133">
        <v>2022</v>
      </c>
      <c r="D3133" t="s">
        <v>19</v>
      </c>
      <c r="E3133" t="s">
        <v>27</v>
      </c>
      <c r="F3133" t="s">
        <v>40</v>
      </c>
      <c r="G3133" t="s">
        <v>28</v>
      </c>
      <c r="H3133">
        <v>609.9</v>
      </c>
    </row>
    <row r="3134" spans="1:8" x14ac:dyDescent="0.3">
      <c r="A3134">
        <v>202201</v>
      </c>
      <c r="B3134" s="1">
        <v>44562</v>
      </c>
      <c r="C3134">
        <v>2022</v>
      </c>
      <c r="D3134" t="s">
        <v>6</v>
      </c>
      <c r="E3134" t="s">
        <v>29</v>
      </c>
      <c r="F3134" t="s">
        <v>40</v>
      </c>
      <c r="G3134" t="s">
        <v>28</v>
      </c>
      <c r="H3134">
        <v>802.63</v>
      </c>
    </row>
    <row r="3135" spans="1:8" x14ac:dyDescent="0.3">
      <c r="A3135">
        <v>202202</v>
      </c>
      <c r="B3135" s="1">
        <v>44593</v>
      </c>
      <c r="C3135">
        <v>2022</v>
      </c>
      <c r="D3135" t="s">
        <v>9</v>
      </c>
      <c r="E3135" t="s">
        <v>29</v>
      </c>
      <c r="F3135" t="s">
        <v>40</v>
      </c>
      <c r="G3135" t="s">
        <v>28</v>
      </c>
      <c r="H3135">
        <v>619.62</v>
      </c>
    </row>
    <row r="3136" spans="1:8" x14ac:dyDescent="0.3">
      <c r="A3136">
        <v>202203</v>
      </c>
      <c r="B3136" s="1">
        <v>44621</v>
      </c>
      <c r="C3136">
        <v>2022</v>
      </c>
      <c r="D3136" t="s">
        <v>10</v>
      </c>
      <c r="E3136" t="s">
        <v>29</v>
      </c>
      <c r="F3136" t="s">
        <v>40</v>
      </c>
      <c r="G3136" t="s">
        <v>28</v>
      </c>
      <c r="H3136">
        <v>692.43</v>
      </c>
    </row>
    <row r="3137" spans="1:8" x14ac:dyDescent="0.3">
      <c r="A3137">
        <v>202204</v>
      </c>
      <c r="B3137" s="1">
        <v>44652</v>
      </c>
      <c r="C3137">
        <v>2022</v>
      </c>
      <c r="D3137" t="s">
        <v>11</v>
      </c>
      <c r="E3137" t="s">
        <v>29</v>
      </c>
      <c r="F3137" t="s">
        <v>40</v>
      </c>
      <c r="G3137" t="s">
        <v>28</v>
      </c>
      <c r="H3137">
        <v>1390.17</v>
      </c>
    </row>
    <row r="3138" spans="1:8" x14ac:dyDescent="0.3">
      <c r="A3138">
        <v>202205</v>
      </c>
      <c r="B3138" s="1">
        <v>44682</v>
      </c>
      <c r="C3138">
        <v>2022</v>
      </c>
      <c r="D3138" t="s">
        <v>12</v>
      </c>
      <c r="E3138" t="s">
        <v>29</v>
      </c>
      <c r="F3138" t="s">
        <v>40</v>
      </c>
      <c r="G3138" t="s">
        <v>28</v>
      </c>
      <c r="H3138">
        <v>770.62</v>
      </c>
    </row>
    <row r="3139" spans="1:8" x14ac:dyDescent="0.3">
      <c r="A3139">
        <v>202206</v>
      </c>
      <c r="B3139" s="1">
        <v>44713</v>
      </c>
      <c r="C3139">
        <v>2022</v>
      </c>
      <c r="D3139" t="s">
        <v>13</v>
      </c>
      <c r="E3139" t="s">
        <v>29</v>
      </c>
      <c r="F3139" t="s">
        <v>40</v>
      </c>
      <c r="G3139" t="s">
        <v>28</v>
      </c>
      <c r="H3139">
        <v>676.36</v>
      </c>
    </row>
    <row r="3140" spans="1:8" x14ac:dyDescent="0.3">
      <c r="A3140">
        <v>202207</v>
      </c>
      <c r="B3140" s="1">
        <v>44743</v>
      </c>
      <c r="C3140">
        <v>2022</v>
      </c>
      <c r="D3140" t="s">
        <v>14</v>
      </c>
      <c r="E3140" t="s">
        <v>29</v>
      </c>
      <c r="F3140" t="s">
        <v>40</v>
      </c>
      <c r="G3140" t="s">
        <v>28</v>
      </c>
      <c r="H3140">
        <v>788.41</v>
      </c>
    </row>
    <row r="3141" spans="1:8" x14ac:dyDescent="0.3">
      <c r="A3141">
        <v>202208</v>
      </c>
      <c r="B3141" s="1">
        <v>44774</v>
      </c>
      <c r="C3141">
        <v>2022</v>
      </c>
      <c r="D3141" t="s">
        <v>15</v>
      </c>
      <c r="E3141" t="s">
        <v>29</v>
      </c>
      <c r="F3141" t="s">
        <v>40</v>
      </c>
      <c r="G3141" t="s">
        <v>28</v>
      </c>
      <c r="H3141">
        <v>756.99</v>
      </c>
    </row>
    <row r="3142" spans="1:8" x14ac:dyDescent="0.3">
      <c r="A3142">
        <v>202209</v>
      </c>
      <c r="B3142" s="1">
        <v>44805</v>
      </c>
      <c r="C3142">
        <v>2022</v>
      </c>
      <c r="D3142" t="s">
        <v>16</v>
      </c>
      <c r="E3142" t="s">
        <v>29</v>
      </c>
      <c r="F3142" t="s">
        <v>40</v>
      </c>
      <c r="G3142" t="s">
        <v>28</v>
      </c>
      <c r="H3142">
        <v>701.5</v>
      </c>
    </row>
    <row r="3143" spans="1:8" x14ac:dyDescent="0.3">
      <c r="A3143">
        <v>202210</v>
      </c>
      <c r="B3143" s="1">
        <v>44835</v>
      </c>
      <c r="C3143">
        <v>2022</v>
      </c>
      <c r="D3143" t="s">
        <v>17</v>
      </c>
      <c r="E3143" t="s">
        <v>29</v>
      </c>
      <c r="F3143" t="s">
        <v>40</v>
      </c>
      <c r="G3143" t="s">
        <v>28</v>
      </c>
      <c r="H3143">
        <v>736.89</v>
      </c>
    </row>
    <row r="3144" spans="1:8" x14ac:dyDescent="0.3">
      <c r="A3144">
        <v>202211</v>
      </c>
      <c r="B3144" s="1">
        <v>44866</v>
      </c>
      <c r="C3144">
        <v>2022</v>
      </c>
      <c r="D3144" t="s">
        <v>18</v>
      </c>
      <c r="E3144" t="s">
        <v>29</v>
      </c>
      <c r="F3144" t="s">
        <v>40</v>
      </c>
      <c r="G3144" t="s">
        <v>28</v>
      </c>
      <c r="H3144">
        <v>821.16</v>
      </c>
    </row>
    <row r="3145" spans="1:8" x14ac:dyDescent="0.3">
      <c r="A3145">
        <v>202212</v>
      </c>
      <c r="B3145" s="1">
        <v>44896</v>
      </c>
      <c r="C3145">
        <v>2022</v>
      </c>
      <c r="D3145" t="s">
        <v>19</v>
      </c>
      <c r="E3145" t="s">
        <v>29</v>
      </c>
      <c r="F3145" t="s">
        <v>40</v>
      </c>
      <c r="G3145" t="s">
        <v>28</v>
      </c>
      <c r="H3145">
        <v>833.18</v>
      </c>
    </row>
    <row r="3146" spans="1:8" x14ac:dyDescent="0.3">
      <c r="A3146">
        <v>202201</v>
      </c>
      <c r="B3146" s="1">
        <v>44562</v>
      </c>
      <c r="C3146">
        <v>2022</v>
      </c>
      <c r="D3146" t="s">
        <v>6</v>
      </c>
      <c r="E3146" t="s">
        <v>29</v>
      </c>
      <c r="F3146" t="s">
        <v>40</v>
      </c>
      <c r="G3146" t="s">
        <v>28</v>
      </c>
      <c r="H3146">
        <v>264.79000000000002</v>
      </c>
    </row>
    <row r="3147" spans="1:8" x14ac:dyDescent="0.3">
      <c r="A3147">
        <v>202202</v>
      </c>
      <c r="B3147" s="1">
        <v>44593</v>
      </c>
      <c r="C3147">
        <v>2022</v>
      </c>
      <c r="D3147" t="s">
        <v>9</v>
      </c>
      <c r="E3147" t="s">
        <v>29</v>
      </c>
      <c r="F3147" t="s">
        <v>40</v>
      </c>
      <c r="G3147" t="s">
        <v>28</v>
      </c>
      <c r="H3147">
        <v>198.87</v>
      </c>
    </row>
    <row r="3148" spans="1:8" x14ac:dyDescent="0.3">
      <c r="A3148">
        <v>202203</v>
      </c>
      <c r="B3148" s="1">
        <v>44621</v>
      </c>
      <c r="C3148">
        <v>2022</v>
      </c>
      <c r="D3148" t="s">
        <v>10</v>
      </c>
      <c r="E3148" t="s">
        <v>29</v>
      </c>
      <c r="F3148" t="s">
        <v>40</v>
      </c>
      <c r="G3148" t="s">
        <v>28</v>
      </c>
      <c r="H3148">
        <v>233.18</v>
      </c>
    </row>
    <row r="3149" spans="1:8" x14ac:dyDescent="0.3">
      <c r="A3149">
        <v>202204</v>
      </c>
      <c r="B3149" s="1">
        <v>44652</v>
      </c>
      <c r="C3149">
        <v>2022</v>
      </c>
      <c r="D3149" t="s">
        <v>11</v>
      </c>
      <c r="E3149" t="s">
        <v>29</v>
      </c>
      <c r="F3149" t="s">
        <v>40</v>
      </c>
      <c r="G3149" t="s">
        <v>28</v>
      </c>
      <c r="H3149">
        <v>334.69</v>
      </c>
    </row>
    <row r="3150" spans="1:8" x14ac:dyDescent="0.3">
      <c r="A3150">
        <v>202205</v>
      </c>
      <c r="B3150" s="1">
        <v>44682</v>
      </c>
      <c r="C3150">
        <v>2022</v>
      </c>
      <c r="D3150" t="s">
        <v>12</v>
      </c>
      <c r="E3150" t="s">
        <v>29</v>
      </c>
      <c r="F3150" t="s">
        <v>40</v>
      </c>
      <c r="G3150" t="s">
        <v>28</v>
      </c>
      <c r="H3150">
        <v>227.47</v>
      </c>
    </row>
    <row r="3151" spans="1:8" x14ac:dyDescent="0.3">
      <c r="A3151">
        <v>202206</v>
      </c>
      <c r="B3151" s="1">
        <v>44713</v>
      </c>
      <c r="C3151">
        <v>2022</v>
      </c>
      <c r="D3151" t="s">
        <v>13</v>
      </c>
      <c r="E3151" t="s">
        <v>29</v>
      </c>
      <c r="F3151" t="s">
        <v>40</v>
      </c>
      <c r="G3151" t="s">
        <v>28</v>
      </c>
      <c r="H3151">
        <v>272.43</v>
      </c>
    </row>
    <row r="3152" spans="1:8" x14ac:dyDescent="0.3">
      <c r="A3152">
        <v>202207</v>
      </c>
      <c r="B3152" s="1">
        <v>44743</v>
      </c>
      <c r="C3152">
        <v>2022</v>
      </c>
      <c r="D3152" t="s">
        <v>14</v>
      </c>
      <c r="E3152" t="s">
        <v>29</v>
      </c>
      <c r="F3152" t="s">
        <v>40</v>
      </c>
      <c r="G3152" t="s">
        <v>28</v>
      </c>
      <c r="H3152">
        <v>267.93</v>
      </c>
    </row>
    <row r="3153" spans="1:8" x14ac:dyDescent="0.3">
      <c r="A3153">
        <v>202208</v>
      </c>
      <c r="B3153" s="1">
        <v>44774</v>
      </c>
      <c r="C3153">
        <v>2022</v>
      </c>
      <c r="D3153" t="s">
        <v>15</v>
      </c>
      <c r="E3153" t="s">
        <v>29</v>
      </c>
      <c r="F3153" t="s">
        <v>40</v>
      </c>
      <c r="G3153" t="s">
        <v>28</v>
      </c>
      <c r="H3153">
        <v>252.18</v>
      </c>
    </row>
    <row r="3154" spans="1:8" x14ac:dyDescent="0.3">
      <c r="A3154">
        <v>202209</v>
      </c>
      <c r="B3154" s="1">
        <v>44805</v>
      </c>
      <c r="C3154">
        <v>2022</v>
      </c>
      <c r="D3154" t="s">
        <v>16</v>
      </c>
      <c r="E3154" t="s">
        <v>29</v>
      </c>
      <c r="F3154" t="s">
        <v>40</v>
      </c>
      <c r="G3154" t="s">
        <v>28</v>
      </c>
      <c r="H3154">
        <v>280.33999999999997</v>
      </c>
    </row>
    <row r="3155" spans="1:8" x14ac:dyDescent="0.3">
      <c r="A3155">
        <v>202210</v>
      </c>
      <c r="B3155" s="1">
        <v>44835</v>
      </c>
      <c r="C3155">
        <v>2022</v>
      </c>
      <c r="D3155" t="s">
        <v>17</v>
      </c>
      <c r="E3155" t="s">
        <v>29</v>
      </c>
      <c r="F3155" t="s">
        <v>40</v>
      </c>
      <c r="G3155" t="s">
        <v>28</v>
      </c>
      <c r="H3155">
        <v>224.04</v>
      </c>
    </row>
    <row r="3156" spans="1:8" x14ac:dyDescent="0.3">
      <c r="A3156">
        <v>202211</v>
      </c>
      <c r="B3156" s="1">
        <v>44866</v>
      </c>
      <c r="C3156">
        <v>2022</v>
      </c>
      <c r="D3156" t="s">
        <v>18</v>
      </c>
      <c r="E3156" t="s">
        <v>29</v>
      </c>
      <c r="F3156" t="s">
        <v>40</v>
      </c>
      <c r="G3156" t="s">
        <v>28</v>
      </c>
      <c r="H3156">
        <v>263.14</v>
      </c>
    </row>
    <row r="3157" spans="1:8" x14ac:dyDescent="0.3">
      <c r="A3157">
        <v>202212</v>
      </c>
      <c r="B3157" s="1">
        <v>44896</v>
      </c>
      <c r="C3157">
        <v>2022</v>
      </c>
      <c r="D3157" t="s">
        <v>19</v>
      </c>
      <c r="E3157" t="s">
        <v>29</v>
      </c>
      <c r="F3157" t="s">
        <v>40</v>
      </c>
      <c r="G3157" t="s">
        <v>28</v>
      </c>
      <c r="H3157">
        <v>259.42</v>
      </c>
    </row>
    <row r="3158" spans="1:8" x14ac:dyDescent="0.3">
      <c r="A3158">
        <v>202201</v>
      </c>
      <c r="B3158" s="1">
        <v>44562</v>
      </c>
      <c r="C3158">
        <v>2022</v>
      </c>
      <c r="D3158" t="s">
        <v>6</v>
      </c>
      <c r="E3158" t="s">
        <v>30</v>
      </c>
      <c r="F3158" t="s">
        <v>40</v>
      </c>
      <c r="G3158" t="s">
        <v>28</v>
      </c>
      <c r="H3158">
        <v>211.58</v>
      </c>
    </row>
    <row r="3159" spans="1:8" x14ac:dyDescent="0.3">
      <c r="A3159">
        <v>202202</v>
      </c>
      <c r="B3159" s="1">
        <v>44593</v>
      </c>
      <c r="C3159">
        <v>2022</v>
      </c>
      <c r="D3159" t="s">
        <v>9</v>
      </c>
      <c r="E3159" t="s">
        <v>30</v>
      </c>
      <c r="F3159" t="s">
        <v>40</v>
      </c>
      <c r="G3159" t="s">
        <v>28</v>
      </c>
      <c r="H3159">
        <v>164.45</v>
      </c>
    </row>
    <row r="3160" spans="1:8" x14ac:dyDescent="0.3">
      <c r="A3160">
        <v>202203</v>
      </c>
      <c r="B3160" s="1">
        <v>44621</v>
      </c>
      <c r="C3160">
        <v>2022</v>
      </c>
      <c r="D3160" t="s">
        <v>10</v>
      </c>
      <c r="E3160" t="s">
        <v>30</v>
      </c>
      <c r="F3160" t="s">
        <v>40</v>
      </c>
      <c r="G3160" t="s">
        <v>28</v>
      </c>
      <c r="H3160">
        <v>207.41</v>
      </c>
    </row>
    <row r="3161" spans="1:8" x14ac:dyDescent="0.3">
      <c r="A3161">
        <v>202204</v>
      </c>
      <c r="B3161" s="1">
        <v>44652</v>
      </c>
      <c r="C3161">
        <v>2022</v>
      </c>
      <c r="D3161" t="s">
        <v>11</v>
      </c>
      <c r="E3161" t="s">
        <v>30</v>
      </c>
      <c r="F3161" t="s">
        <v>40</v>
      </c>
      <c r="G3161" t="s">
        <v>28</v>
      </c>
      <c r="H3161">
        <v>312.70999999999998</v>
      </c>
    </row>
    <row r="3162" spans="1:8" x14ac:dyDescent="0.3">
      <c r="A3162">
        <v>202205</v>
      </c>
      <c r="B3162" s="1">
        <v>44682</v>
      </c>
      <c r="C3162">
        <v>2022</v>
      </c>
      <c r="D3162" t="s">
        <v>12</v>
      </c>
      <c r="E3162" t="s">
        <v>30</v>
      </c>
      <c r="F3162" t="s">
        <v>40</v>
      </c>
      <c r="G3162" t="s">
        <v>28</v>
      </c>
      <c r="H3162">
        <v>238.2</v>
      </c>
    </row>
    <row r="3163" spans="1:8" x14ac:dyDescent="0.3">
      <c r="A3163">
        <v>202206</v>
      </c>
      <c r="B3163" s="1">
        <v>44713</v>
      </c>
      <c r="C3163">
        <v>2022</v>
      </c>
      <c r="D3163" t="s">
        <v>13</v>
      </c>
      <c r="E3163" t="s">
        <v>30</v>
      </c>
      <c r="F3163" t="s">
        <v>40</v>
      </c>
      <c r="G3163" t="s">
        <v>28</v>
      </c>
      <c r="H3163">
        <v>250.83</v>
      </c>
    </row>
    <row r="3164" spans="1:8" x14ac:dyDescent="0.3">
      <c r="A3164">
        <v>202207</v>
      </c>
      <c r="B3164" s="1">
        <v>44743</v>
      </c>
      <c r="C3164">
        <v>2022</v>
      </c>
      <c r="D3164" t="s">
        <v>14</v>
      </c>
      <c r="E3164" t="s">
        <v>30</v>
      </c>
      <c r="F3164" t="s">
        <v>40</v>
      </c>
      <c r="G3164" t="s">
        <v>28</v>
      </c>
      <c r="H3164">
        <v>282.81</v>
      </c>
    </row>
    <row r="3165" spans="1:8" x14ac:dyDescent="0.3">
      <c r="A3165">
        <v>202208</v>
      </c>
      <c r="B3165" s="1">
        <v>44774</v>
      </c>
      <c r="C3165">
        <v>2022</v>
      </c>
      <c r="D3165" t="s">
        <v>15</v>
      </c>
      <c r="E3165" t="s">
        <v>30</v>
      </c>
      <c r="F3165" t="s">
        <v>40</v>
      </c>
      <c r="G3165" t="s">
        <v>28</v>
      </c>
      <c r="H3165">
        <v>268.85000000000002</v>
      </c>
    </row>
    <row r="3166" spans="1:8" x14ac:dyDescent="0.3">
      <c r="A3166">
        <v>202209</v>
      </c>
      <c r="B3166" s="1">
        <v>44805</v>
      </c>
      <c r="C3166">
        <v>2022</v>
      </c>
      <c r="D3166" t="s">
        <v>16</v>
      </c>
      <c r="E3166" t="s">
        <v>30</v>
      </c>
      <c r="F3166" t="s">
        <v>40</v>
      </c>
      <c r="G3166" t="s">
        <v>28</v>
      </c>
      <c r="H3166">
        <v>234.02</v>
      </c>
    </row>
    <row r="3167" spans="1:8" x14ac:dyDescent="0.3">
      <c r="A3167">
        <v>202210</v>
      </c>
      <c r="B3167" s="1">
        <v>44835</v>
      </c>
      <c r="C3167">
        <v>2022</v>
      </c>
      <c r="D3167" t="s">
        <v>17</v>
      </c>
      <c r="E3167" t="s">
        <v>30</v>
      </c>
      <c r="F3167" t="s">
        <v>40</v>
      </c>
      <c r="G3167" t="s">
        <v>28</v>
      </c>
      <c r="H3167">
        <v>304.42</v>
      </c>
    </row>
    <row r="3168" spans="1:8" x14ac:dyDescent="0.3">
      <c r="A3168">
        <v>202211</v>
      </c>
      <c r="B3168" s="1">
        <v>44866</v>
      </c>
      <c r="C3168">
        <v>2022</v>
      </c>
      <c r="D3168" t="s">
        <v>18</v>
      </c>
      <c r="E3168" t="s">
        <v>30</v>
      </c>
      <c r="F3168" t="s">
        <v>40</v>
      </c>
      <c r="G3168" t="s">
        <v>28</v>
      </c>
      <c r="H3168">
        <v>266.74</v>
      </c>
    </row>
    <row r="3169" spans="1:8" x14ac:dyDescent="0.3">
      <c r="A3169">
        <v>202212</v>
      </c>
      <c r="B3169" s="1">
        <v>44896</v>
      </c>
      <c r="C3169">
        <v>2022</v>
      </c>
      <c r="D3169" t="s">
        <v>19</v>
      </c>
      <c r="E3169" t="s">
        <v>30</v>
      </c>
      <c r="F3169" t="s">
        <v>40</v>
      </c>
      <c r="G3169" t="s">
        <v>28</v>
      </c>
      <c r="H3169">
        <v>259.91000000000003</v>
      </c>
    </row>
    <row r="3170" spans="1:8" x14ac:dyDescent="0.3">
      <c r="A3170">
        <v>202201</v>
      </c>
      <c r="B3170" s="1">
        <v>44562</v>
      </c>
      <c r="C3170">
        <v>2022</v>
      </c>
      <c r="D3170" t="s">
        <v>6</v>
      </c>
      <c r="E3170" t="s">
        <v>30</v>
      </c>
      <c r="F3170" t="s">
        <v>40</v>
      </c>
      <c r="G3170" t="s">
        <v>28</v>
      </c>
      <c r="H3170">
        <v>1283.7</v>
      </c>
    </row>
    <row r="3171" spans="1:8" x14ac:dyDescent="0.3">
      <c r="A3171">
        <v>202202</v>
      </c>
      <c r="B3171" s="1">
        <v>44593</v>
      </c>
      <c r="C3171">
        <v>2022</v>
      </c>
      <c r="D3171" t="s">
        <v>9</v>
      </c>
      <c r="E3171" t="s">
        <v>30</v>
      </c>
      <c r="F3171" t="s">
        <v>40</v>
      </c>
      <c r="G3171" t="s">
        <v>28</v>
      </c>
      <c r="H3171">
        <v>1146.6300000000001</v>
      </c>
    </row>
    <row r="3172" spans="1:8" x14ac:dyDescent="0.3">
      <c r="A3172">
        <v>202203</v>
      </c>
      <c r="B3172" s="1">
        <v>44621</v>
      </c>
      <c r="C3172">
        <v>2022</v>
      </c>
      <c r="D3172" t="s">
        <v>10</v>
      </c>
      <c r="E3172" t="s">
        <v>30</v>
      </c>
      <c r="F3172" t="s">
        <v>40</v>
      </c>
      <c r="G3172" t="s">
        <v>28</v>
      </c>
      <c r="H3172">
        <v>1185.79</v>
      </c>
    </row>
    <row r="3173" spans="1:8" x14ac:dyDescent="0.3">
      <c r="A3173">
        <v>202204</v>
      </c>
      <c r="B3173" s="1">
        <v>44652</v>
      </c>
      <c r="C3173">
        <v>2022</v>
      </c>
      <c r="D3173" t="s">
        <v>11</v>
      </c>
      <c r="E3173" t="s">
        <v>30</v>
      </c>
      <c r="F3173" t="s">
        <v>40</v>
      </c>
      <c r="G3173" t="s">
        <v>28</v>
      </c>
      <c r="H3173">
        <v>1828.76</v>
      </c>
    </row>
    <row r="3174" spans="1:8" x14ac:dyDescent="0.3">
      <c r="A3174">
        <v>202205</v>
      </c>
      <c r="B3174" s="1">
        <v>44682</v>
      </c>
      <c r="C3174">
        <v>2022</v>
      </c>
      <c r="D3174" t="s">
        <v>12</v>
      </c>
      <c r="E3174" t="s">
        <v>30</v>
      </c>
      <c r="F3174" t="s">
        <v>40</v>
      </c>
      <c r="G3174" t="s">
        <v>28</v>
      </c>
      <c r="H3174">
        <v>1351.18</v>
      </c>
    </row>
    <row r="3175" spans="1:8" x14ac:dyDescent="0.3">
      <c r="A3175">
        <v>202206</v>
      </c>
      <c r="B3175" s="1">
        <v>44713</v>
      </c>
      <c r="C3175">
        <v>2022</v>
      </c>
      <c r="D3175" t="s">
        <v>13</v>
      </c>
      <c r="E3175" t="s">
        <v>30</v>
      </c>
      <c r="F3175" t="s">
        <v>40</v>
      </c>
      <c r="G3175" t="s">
        <v>28</v>
      </c>
      <c r="H3175">
        <v>1180.8699999999999</v>
      </c>
    </row>
    <row r="3176" spans="1:8" x14ac:dyDescent="0.3">
      <c r="A3176">
        <v>202207</v>
      </c>
      <c r="B3176" s="1">
        <v>44743</v>
      </c>
      <c r="C3176">
        <v>2022</v>
      </c>
      <c r="D3176" t="s">
        <v>14</v>
      </c>
      <c r="E3176" t="s">
        <v>30</v>
      </c>
      <c r="F3176" t="s">
        <v>40</v>
      </c>
      <c r="G3176" t="s">
        <v>28</v>
      </c>
      <c r="H3176">
        <v>1495.13</v>
      </c>
    </row>
    <row r="3177" spans="1:8" x14ac:dyDescent="0.3">
      <c r="A3177">
        <v>202208</v>
      </c>
      <c r="B3177" s="1">
        <v>44774</v>
      </c>
      <c r="C3177">
        <v>2022</v>
      </c>
      <c r="D3177" t="s">
        <v>15</v>
      </c>
      <c r="E3177" t="s">
        <v>30</v>
      </c>
      <c r="F3177" t="s">
        <v>40</v>
      </c>
      <c r="G3177" t="s">
        <v>28</v>
      </c>
      <c r="H3177">
        <v>1629.14</v>
      </c>
    </row>
    <row r="3178" spans="1:8" x14ac:dyDescent="0.3">
      <c r="A3178">
        <v>202209</v>
      </c>
      <c r="B3178" s="1">
        <v>44805</v>
      </c>
      <c r="C3178">
        <v>2022</v>
      </c>
      <c r="D3178" t="s">
        <v>16</v>
      </c>
      <c r="E3178" t="s">
        <v>30</v>
      </c>
      <c r="F3178" t="s">
        <v>40</v>
      </c>
      <c r="G3178" t="s">
        <v>28</v>
      </c>
      <c r="H3178">
        <v>1301.17</v>
      </c>
    </row>
    <row r="3179" spans="1:8" x14ac:dyDescent="0.3">
      <c r="A3179">
        <v>202210</v>
      </c>
      <c r="B3179" s="1">
        <v>44835</v>
      </c>
      <c r="C3179">
        <v>2022</v>
      </c>
      <c r="D3179" t="s">
        <v>17</v>
      </c>
      <c r="E3179" t="s">
        <v>30</v>
      </c>
      <c r="F3179" t="s">
        <v>40</v>
      </c>
      <c r="G3179" t="s">
        <v>28</v>
      </c>
      <c r="H3179">
        <v>1431.63</v>
      </c>
    </row>
    <row r="3180" spans="1:8" x14ac:dyDescent="0.3">
      <c r="A3180">
        <v>202211</v>
      </c>
      <c r="B3180" s="1">
        <v>44866</v>
      </c>
      <c r="C3180">
        <v>2022</v>
      </c>
      <c r="D3180" t="s">
        <v>18</v>
      </c>
      <c r="E3180" t="s">
        <v>30</v>
      </c>
      <c r="F3180" t="s">
        <v>40</v>
      </c>
      <c r="G3180" t="s">
        <v>28</v>
      </c>
      <c r="H3180">
        <v>1630.7</v>
      </c>
    </row>
    <row r="3181" spans="1:8" x14ac:dyDescent="0.3">
      <c r="A3181">
        <v>202212</v>
      </c>
      <c r="B3181" s="1">
        <v>44896</v>
      </c>
      <c r="C3181">
        <v>2022</v>
      </c>
      <c r="D3181" t="s">
        <v>19</v>
      </c>
      <c r="E3181" t="s">
        <v>30</v>
      </c>
      <c r="F3181" t="s">
        <v>40</v>
      </c>
      <c r="G3181" t="s">
        <v>28</v>
      </c>
      <c r="H3181">
        <v>1331.43</v>
      </c>
    </row>
    <row r="3182" spans="1:8" x14ac:dyDescent="0.3">
      <c r="A3182">
        <v>202201</v>
      </c>
      <c r="B3182" s="1">
        <v>44562</v>
      </c>
      <c r="C3182">
        <v>2022</v>
      </c>
      <c r="D3182" t="s">
        <v>6</v>
      </c>
      <c r="E3182" t="s">
        <v>30</v>
      </c>
      <c r="F3182" t="s">
        <v>40</v>
      </c>
      <c r="G3182" t="s">
        <v>28</v>
      </c>
      <c r="H3182">
        <v>1920.53</v>
      </c>
    </row>
    <row r="3183" spans="1:8" x14ac:dyDescent="0.3">
      <c r="A3183">
        <v>202202</v>
      </c>
      <c r="B3183" s="1">
        <v>44593</v>
      </c>
      <c r="C3183">
        <v>2022</v>
      </c>
      <c r="D3183" t="s">
        <v>9</v>
      </c>
      <c r="E3183" t="s">
        <v>30</v>
      </c>
      <c r="F3183" t="s">
        <v>40</v>
      </c>
      <c r="G3183" t="s">
        <v>28</v>
      </c>
      <c r="H3183">
        <v>1065.04</v>
      </c>
    </row>
    <row r="3184" spans="1:8" x14ac:dyDescent="0.3">
      <c r="A3184">
        <v>202203</v>
      </c>
      <c r="B3184" s="1">
        <v>44621</v>
      </c>
      <c r="C3184">
        <v>2022</v>
      </c>
      <c r="D3184" t="s">
        <v>10</v>
      </c>
      <c r="E3184" t="s">
        <v>30</v>
      </c>
      <c r="F3184" t="s">
        <v>40</v>
      </c>
      <c r="G3184" t="s">
        <v>28</v>
      </c>
      <c r="H3184">
        <v>1265.3699999999999</v>
      </c>
    </row>
    <row r="3185" spans="1:8" x14ac:dyDescent="0.3">
      <c r="A3185">
        <v>202204</v>
      </c>
      <c r="B3185" s="1">
        <v>44652</v>
      </c>
      <c r="C3185">
        <v>2022</v>
      </c>
      <c r="D3185" t="s">
        <v>11</v>
      </c>
      <c r="E3185" t="s">
        <v>30</v>
      </c>
      <c r="F3185" t="s">
        <v>40</v>
      </c>
      <c r="G3185" t="s">
        <v>28</v>
      </c>
      <c r="H3185">
        <v>2056.35</v>
      </c>
    </row>
    <row r="3186" spans="1:8" x14ac:dyDescent="0.3">
      <c r="A3186">
        <v>202205</v>
      </c>
      <c r="B3186" s="1">
        <v>44682</v>
      </c>
      <c r="C3186">
        <v>2022</v>
      </c>
      <c r="D3186" t="s">
        <v>12</v>
      </c>
      <c r="E3186" t="s">
        <v>30</v>
      </c>
      <c r="F3186" t="s">
        <v>40</v>
      </c>
      <c r="G3186" t="s">
        <v>28</v>
      </c>
      <c r="H3186">
        <v>1756.5</v>
      </c>
    </row>
    <row r="3187" spans="1:8" x14ac:dyDescent="0.3">
      <c r="A3187">
        <v>202206</v>
      </c>
      <c r="B3187" s="1">
        <v>44713</v>
      </c>
      <c r="C3187">
        <v>2022</v>
      </c>
      <c r="D3187" t="s">
        <v>13</v>
      </c>
      <c r="E3187" t="s">
        <v>30</v>
      </c>
      <c r="F3187" t="s">
        <v>40</v>
      </c>
      <c r="G3187" t="s">
        <v>28</v>
      </c>
      <c r="H3187">
        <v>1294.43</v>
      </c>
    </row>
    <row r="3188" spans="1:8" x14ac:dyDescent="0.3">
      <c r="A3188">
        <v>202207</v>
      </c>
      <c r="B3188" s="1">
        <v>44743</v>
      </c>
      <c r="C3188">
        <v>2022</v>
      </c>
      <c r="D3188" t="s">
        <v>14</v>
      </c>
      <c r="E3188" t="s">
        <v>30</v>
      </c>
      <c r="F3188" t="s">
        <v>40</v>
      </c>
      <c r="G3188" t="s">
        <v>28</v>
      </c>
      <c r="H3188">
        <v>1487.41</v>
      </c>
    </row>
    <row r="3189" spans="1:8" x14ac:dyDescent="0.3">
      <c r="A3189">
        <v>202208</v>
      </c>
      <c r="B3189" s="1">
        <v>44774</v>
      </c>
      <c r="C3189">
        <v>2022</v>
      </c>
      <c r="D3189" t="s">
        <v>15</v>
      </c>
      <c r="E3189" t="s">
        <v>30</v>
      </c>
      <c r="F3189" t="s">
        <v>40</v>
      </c>
      <c r="G3189" t="s">
        <v>28</v>
      </c>
      <c r="H3189">
        <v>1955.65</v>
      </c>
    </row>
    <row r="3190" spans="1:8" x14ac:dyDescent="0.3">
      <c r="A3190">
        <v>202209</v>
      </c>
      <c r="B3190" s="1">
        <v>44805</v>
      </c>
      <c r="C3190">
        <v>2022</v>
      </c>
      <c r="D3190" t="s">
        <v>16</v>
      </c>
      <c r="E3190" t="s">
        <v>30</v>
      </c>
      <c r="F3190" t="s">
        <v>40</v>
      </c>
      <c r="G3190" t="s">
        <v>28</v>
      </c>
      <c r="H3190">
        <v>1282.93</v>
      </c>
    </row>
    <row r="3191" spans="1:8" x14ac:dyDescent="0.3">
      <c r="A3191">
        <v>202210</v>
      </c>
      <c r="B3191" s="1">
        <v>44835</v>
      </c>
      <c r="C3191">
        <v>2022</v>
      </c>
      <c r="D3191" t="s">
        <v>17</v>
      </c>
      <c r="E3191" t="s">
        <v>30</v>
      </c>
      <c r="F3191" t="s">
        <v>40</v>
      </c>
      <c r="G3191" t="s">
        <v>28</v>
      </c>
      <c r="H3191">
        <v>1600.06</v>
      </c>
    </row>
    <row r="3192" spans="1:8" x14ac:dyDescent="0.3">
      <c r="A3192">
        <v>202211</v>
      </c>
      <c r="B3192" s="1">
        <v>44866</v>
      </c>
      <c r="C3192">
        <v>2022</v>
      </c>
      <c r="D3192" t="s">
        <v>18</v>
      </c>
      <c r="E3192" t="s">
        <v>30</v>
      </c>
      <c r="F3192" t="s">
        <v>40</v>
      </c>
      <c r="G3192" t="s">
        <v>28</v>
      </c>
      <c r="H3192">
        <v>1771.23</v>
      </c>
    </row>
    <row r="3193" spans="1:8" x14ac:dyDescent="0.3">
      <c r="A3193">
        <v>202212</v>
      </c>
      <c r="B3193" s="1">
        <v>44896</v>
      </c>
      <c r="C3193">
        <v>2022</v>
      </c>
      <c r="D3193" t="s">
        <v>19</v>
      </c>
      <c r="E3193" t="s">
        <v>30</v>
      </c>
      <c r="F3193" t="s">
        <v>40</v>
      </c>
      <c r="G3193" t="s">
        <v>28</v>
      </c>
      <c r="H3193">
        <v>1358.79</v>
      </c>
    </row>
    <row r="3194" spans="1:8" x14ac:dyDescent="0.3">
      <c r="A3194">
        <v>202201</v>
      </c>
      <c r="B3194" s="1">
        <v>44562</v>
      </c>
      <c r="C3194">
        <v>2022</v>
      </c>
      <c r="D3194" t="s">
        <v>6</v>
      </c>
      <c r="E3194" t="s">
        <v>30</v>
      </c>
      <c r="F3194" t="s">
        <v>40</v>
      </c>
      <c r="G3194" t="s">
        <v>28</v>
      </c>
      <c r="H3194">
        <v>2674.13</v>
      </c>
    </row>
    <row r="3195" spans="1:8" x14ac:dyDescent="0.3">
      <c r="A3195">
        <v>202202</v>
      </c>
      <c r="B3195" s="1">
        <v>44593</v>
      </c>
      <c r="C3195">
        <v>2022</v>
      </c>
      <c r="D3195" t="s">
        <v>9</v>
      </c>
      <c r="E3195" t="s">
        <v>30</v>
      </c>
      <c r="F3195" t="s">
        <v>40</v>
      </c>
      <c r="G3195" t="s">
        <v>28</v>
      </c>
      <c r="H3195">
        <v>1623.68</v>
      </c>
    </row>
    <row r="3196" spans="1:8" x14ac:dyDescent="0.3">
      <c r="A3196">
        <v>202203</v>
      </c>
      <c r="B3196" s="1">
        <v>44621</v>
      </c>
      <c r="C3196">
        <v>2022</v>
      </c>
      <c r="D3196" t="s">
        <v>10</v>
      </c>
      <c r="E3196" t="s">
        <v>30</v>
      </c>
      <c r="F3196" t="s">
        <v>40</v>
      </c>
      <c r="G3196" t="s">
        <v>28</v>
      </c>
      <c r="H3196">
        <v>1762.64</v>
      </c>
    </row>
    <row r="3197" spans="1:8" x14ac:dyDescent="0.3">
      <c r="A3197">
        <v>202204</v>
      </c>
      <c r="B3197" s="1">
        <v>44652</v>
      </c>
      <c r="C3197">
        <v>2022</v>
      </c>
      <c r="D3197" t="s">
        <v>11</v>
      </c>
      <c r="E3197" t="s">
        <v>30</v>
      </c>
      <c r="F3197" t="s">
        <v>40</v>
      </c>
      <c r="G3197" t="s">
        <v>28</v>
      </c>
      <c r="H3197">
        <v>5547.76</v>
      </c>
    </row>
    <row r="3198" spans="1:8" x14ac:dyDescent="0.3">
      <c r="A3198">
        <v>202205</v>
      </c>
      <c r="B3198" s="1">
        <v>44682</v>
      </c>
      <c r="C3198">
        <v>2022</v>
      </c>
      <c r="D3198" t="s">
        <v>12</v>
      </c>
      <c r="E3198" t="s">
        <v>30</v>
      </c>
      <c r="F3198" t="s">
        <v>40</v>
      </c>
      <c r="G3198" t="s">
        <v>28</v>
      </c>
      <c r="H3198">
        <v>3242.28</v>
      </c>
    </row>
    <row r="3199" spans="1:8" x14ac:dyDescent="0.3">
      <c r="A3199">
        <v>202206</v>
      </c>
      <c r="B3199" s="1">
        <v>44713</v>
      </c>
      <c r="C3199">
        <v>2022</v>
      </c>
      <c r="D3199" t="s">
        <v>13</v>
      </c>
      <c r="E3199" t="s">
        <v>30</v>
      </c>
      <c r="F3199" t="s">
        <v>40</v>
      </c>
      <c r="G3199" t="s">
        <v>28</v>
      </c>
      <c r="H3199">
        <v>2051.25</v>
      </c>
    </row>
    <row r="3200" spans="1:8" x14ac:dyDescent="0.3">
      <c r="A3200">
        <v>202207</v>
      </c>
      <c r="B3200" s="1">
        <v>44743</v>
      </c>
      <c r="C3200">
        <v>2022</v>
      </c>
      <c r="D3200" t="s">
        <v>14</v>
      </c>
      <c r="E3200" t="s">
        <v>30</v>
      </c>
      <c r="F3200" t="s">
        <v>40</v>
      </c>
      <c r="G3200" t="s">
        <v>28</v>
      </c>
      <c r="H3200">
        <v>2722.02</v>
      </c>
    </row>
    <row r="3201" spans="1:8" x14ac:dyDescent="0.3">
      <c r="A3201">
        <v>202208</v>
      </c>
      <c r="B3201" s="1">
        <v>44774</v>
      </c>
      <c r="C3201">
        <v>2022</v>
      </c>
      <c r="D3201" t="s">
        <v>15</v>
      </c>
      <c r="E3201" t="s">
        <v>30</v>
      </c>
      <c r="F3201" t="s">
        <v>40</v>
      </c>
      <c r="G3201" t="s">
        <v>28</v>
      </c>
      <c r="H3201">
        <v>3069.42</v>
      </c>
    </row>
    <row r="3202" spans="1:8" x14ac:dyDescent="0.3">
      <c r="A3202">
        <v>202209</v>
      </c>
      <c r="B3202" s="1">
        <v>44805</v>
      </c>
      <c r="C3202">
        <v>2022</v>
      </c>
      <c r="D3202" t="s">
        <v>16</v>
      </c>
      <c r="E3202" t="s">
        <v>30</v>
      </c>
      <c r="F3202" t="s">
        <v>40</v>
      </c>
      <c r="G3202" t="s">
        <v>28</v>
      </c>
      <c r="H3202">
        <v>1963.09</v>
      </c>
    </row>
    <row r="3203" spans="1:8" x14ac:dyDescent="0.3">
      <c r="A3203">
        <v>202210</v>
      </c>
      <c r="B3203" s="1">
        <v>44835</v>
      </c>
      <c r="C3203">
        <v>2022</v>
      </c>
      <c r="D3203" t="s">
        <v>17</v>
      </c>
      <c r="E3203" t="s">
        <v>30</v>
      </c>
      <c r="F3203" t="s">
        <v>40</v>
      </c>
      <c r="G3203" t="s">
        <v>28</v>
      </c>
      <c r="H3203">
        <v>2473.4</v>
      </c>
    </row>
    <row r="3204" spans="1:8" x14ac:dyDescent="0.3">
      <c r="A3204">
        <v>202211</v>
      </c>
      <c r="B3204" s="1">
        <v>44866</v>
      </c>
      <c r="C3204">
        <v>2022</v>
      </c>
      <c r="D3204" t="s">
        <v>18</v>
      </c>
      <c r="E3204" t="s">
        <v>30</v>
      </c>
      <c r="F3204" t="s">
        <v>40</v>
      </c>
      <c r="G3204" t="s">
        <v>28</v>
      </c>
      <c r="H3204">
        <v>3144.42</v>
      </c>
    </row>
    <row r="3205" spans="1:8" x14ac:dyDescent="0.3">
      <c r="A3205">
        <v>202212</v>
      </c>
      <c r="B3205" s="1">
        <v>44896</v>
      </c>
      <c r="C3205">
        <v>2022</v>
      </c>
      <c r="D3205" t="s">
        <v>19</v>
      </c>
      <c r="E3205" t="s">
        <v>30</v>
      </c>
      <c r="F3205" t="s">
        <v>40</v>
      </c>
      <c r="G3205" t="s">
        <v>28</v>
      </c>
      <c r="H3205">
        <v>1987.63</v>
      </c>
    </row>
    <row r="3206" spans="1:8" x14ac:dyDescent="0.3">
      <c r="A3206">
        <v>202201</v>
      </c>
      <c r="B3206" s="1">
        <v>44562</v>
      </c>
      <c r="C3206">
        <v>2022</v>
      </c>
      <c r="D3206" t="s">
        <v>6</v>
      </c>
      <c r="E3206" t="s">
        <v>31</v>
      </c>
      <c r="F3206" t="s">
        <v>40</v>
      </c>
      <c r="G3206" t="s">
        <v>28</v>
      </c>
      <c r="H3206">
        <v>73.790000000000006</v>
      </c>
    </row>
    <row r="3207" spans="1:8" x14ac:dyDescent="0.3">
      <c r="A3207">
        <v>202202</v>
      </c>
      <c r="B3207" s="1">
        <v>44593</v>
      </c>
      <c r="C3207">
        <v>2022</v>
      </c>
      <c r="D3207" t="s">
        <v>9</v>
      </c>
      <c r="E3207" t="s">
        <v>31</v>
      </c>
      <c r="F3207" t="s">
        <v>40</v>
      </c>
      <c r="G3207" t="s">
        <v>28</v>
      </c>
      <c r="H3207">
        <v>52.25</v>
      </c>
    </row>
    <row r="3208" spans="1:8" x14ac:dyDescent="0.3">
      <c r="A3208">
        <v>202203</v>
      </c>
      <c r="B3208" s="1">
        <v>44621</v>
      </c>
      <c r="C3208">
        <v>2022</v>
      </c>
      <c r="D3208" t="s">
        <v>10</v>
      </c>
      <c r="E3208" t="s">
        <v>31</v>
      </c>
      <c r="F3208" t="s">
        <v>40</v>
      </c>
      <c r="G3208" t="s">
        <v>28</v>
      </c>
      <c r="H3208">
        <v>52.7</v>
      </c>
    </row>
    <row r="3209" spans="1:8" x14ac:dyDescent="0.3">
      <c r="A3209">
        <v>202204</v>
      </c>
      <c r="B3209" s="1">
        <v>44652</v>
      </c>
      <c r="C3209">
        <v>2022</v>
      </c>
      <c r="D3209" t="s">
        <v>11</v>
      </c>
      <c r="E3209" t="s">
        <v>31</v>
      </c>
      <c r="F3209" t="s">
        <v>40</v>
      </c>
      <c r="G3209" t="s">
        <v>28</v>
      </c>
      <c r="H3209">
        <v>73.34</v>
      </c>
    </row>
    <row r="3210" spans="1:8" x14ac:dyDescent="0.3">
      <c r="A3210">
        <v>202205</v>
      </c>
      <c r="B3210" s="1">
        <v>44682</v>
      </c>
      <c r="C3210">
        <v>2022</v>
      </c>
      <c r="D3210" t="s">
        <v>12</v>
      </c>
      <c r="E3210" t="s">
        <v>31</v>
      </c>
      <c r="F3210" t="s">
        <v>40</v>
      </c>
      <c r="G3210" t="s">
        <v>28</v>
      </c>
      <c r="H3210">
        <v>68.75</v>
      </c>
    </row>
    <row r="3211" spans="1:8" x14ac:dyDescent="0.3">
      <c r="A3211">
        <v>202206</v>
      </c>
      <c r="B3211" s="1">
        <v>44713</v>
      </c>
      <c r="C3211">
        <v>2022</v>
      </c>
      <c r="D3211" t="s">
        <v>13</v>
      </c>
      <c r="E3211" t="s">
        <v>31</v>
      </c>
      <c r="F3211" t="s">
        <v>40</v>
      </c>
      <c r="G3211" t="s">
        <v>28</v>
      </c>
      <c r="H3211">
        <v>67.209999999999994</v>
      </c>
    </row>
    <row r="3212" spans="1:8" x14ac:dyDescent="0.3">
      <c r="A3212">
        <v>202207</v>
      </c>
      <c r="B3212" s="1">
        <v>44743</v>
      </c>
      <c r="C3212">
        <v>2022</v>
      </c>
      <c r="D3212" t="s">
        <v>14</v>
      </c>
      <c r="E3212" t="s">
        <v>31</v>
      </c>
      <c r="F3212" t="s">
        <v>40</v>
      </c>
      <c r="G3212" t="s">
        <v>28</v>
      </c>
      <c r="H3212">
        <v>80.8</v>
      </c>
    </row>
    <row r="3213" spans="1:8" x14ac:dyDescent="0.3">
      <c r="A3213">
        <v>202208</v>
      </c>
      <c r="B3213" s="1">
        <v>44774</v>
      </c>
      <c r="C3213">
        <v>2022</v>
      </c>
      <c r="D3213" t="s">
        <v>15</v>
      </c>
      <c r="E3213" t="s">
        <v>31</v>
      </c>
      <c r="F3213" t="s">
        <v>40</v>
      </c>
      <c r="G3213" t="s">
        <v>28</v>
      </c>
      <c r="H3213">
        <v>77.239999999999995</v>
      </c>
    </row>
    <row r="3214" spans="1:8" x14ac:dyDescent="0.3">
      <c r="A3214">
        <v>202209</v>
      </c>
      <c r="B3214" s="1">
        <v>44805</v>
      </c>
      <c r="C3214">
        <v>2022</v>
      </c>
      <c r="D3214" t="s">
        <v>16</v>
      </c>
      <c r="E3214" t="s">
        <v>31</v>
      </c>
      <c r="F3214" t="s">
        <v>40</v>
      </c>
      <c r="G3214" t="s">
        <v>28</v>
      </c>
      <c r="H3214">
        <v>57.58</v>
      </c>
    </row>
    <row r="3215" spans="1:8" x14ac:dyDescent="0.3">
      <c r="A3215">
        <v>202210</v>
      </c>
      <c r="B3215" s="1">
        <v>44835</v>
      </c>
      <c r="C3215">
        <v>2022</v>
      </c>
      <c r="D3215" t="s">
        <v>17</v>
      </c>
      <c r="E3215" t="s">
        <v>31</v>
      </c>
      <c r="F3215" t="s">
        <v>40</v>
      </c>
      <c r="G3215" t="s">
        <v>28</v>
      </c>
      <c r="H3215">
        <v>78.77</v>
      </c>
    </row>
    <row r="3216" spans="1:8" x14ac:dyDescent="0.3">
      <c r="A3216">
        <v>202211</v>
      </c>
      <c r="B3216" s="1">
        <v>44866</v>
      </c>
      <c r="C3216">
        <v>2022</v>
      </c>
      <c r="D3216" t="s">
        <v>18</v>
      </c>
      <c r="E3216" t="s">
        <v>31</v>
      </c>
      <c r="F3216" t="s">
        <v>40</v>
      </c>
      <c r="G3216" t="s">
        <v>28</v>
      </c>
      <c r="H3216">
        <v>63.05</v>
      </c>
    </row>
    <row r="3217" spans="1:8" x14ac:dyDescent="0.3">
      <c r="A3217">
        <v>202212</v>
      </c>
      <c r="B3217" s="1">
        <v>44896</v>
      </c>
      <c r="C3217">
        <v>2022</v>
      </c>
      <c r="D3217" t="s">
        <v>19</v>
      </c>
      <c r="E3217" t="s">
        <v>31</v>
      </c>
      <c r="F3217" t="s">
        <v>40</v>
      </c>
      <c r="G3217" t="s">
        <v>28</v>
      </c>
      <c r="H3217">
        <v>49.42</v>
      </c>
    </row>
    <row r="3218" spans="1:8" x14ac:dyDescent="0.3">
      <c r="A3218">
        <v>202201</v>
      </c>
      <c r="B3218" s="1">
        <v>44562</v>
      </c>
      <c r="C3218">
        <v>2022</v>
      </c>
      <c r="D3218" t="s">
        <v>6</v>
      </c>
      <c r="E3218" t="s">
        <v>31</v>
      </c>
      <c r="F3218" t="s">
        <v>40</v>
      </c>
      <c r="G3218" t="s">
        <v>28</v>
      </c>
      <c r="H3218">
        <v>174.27</v>
      </c>
    </row>
    <row r="3219" spans="1:8" x14ac:dyDescent="0.3">
      <c r="A3219">
        <v>202202</v>
      </c>
      <c r="B3219" s="1">
        <v>44593</v>
      </c>
      <c r="C3219">
        <v>2022</v>
      </c>
      <c r="D3219" t="s">
        <v>9</v>
      </c>
      <c r="E3219" t="s">
        <v>31</v>
      </c>
      <c r="F3219" t="s">
        <v>40</v>
      </c>
      <c r="G3219" t="s">
        <v>28</v>
      </c>
      <c r="H3219">
        <v>121.07</v>
      </c>
    </row>
    <row r="3220" spans="1:8" x14ac:dyDescent="0.3">
      <c r="A3220">
        <v>202203</v>
      </c>
      <c r="B3220" s="1">
        <v>44621</v>
      </c>
      <c r="C3220">
        <v>2022</v>
      </c>
      <c r="D3220" t="s">
        <v>10</v>
      </c>
      <c r="E3220" t="s">
        <v>31</v>
      </c>
      <c r="F3220" t="s">
        <v>40</v>
      </c>
      <c r="G3220" t="s">
        <v>28</v>
      </c>
      <c r="H3220">
        <v>147.57</v>
      </c>
    </row>
    <row r="3221" spans="1:8" x14ac:dyDescent="0.3">
      <c r="A3221">
        <v>202204</v>
      </c>
      <c r="B3221" s="1">
        <v>44652</v>
      </c>
      <c r="C3221">
        <v>2022</v>
      </c>
      <c r="D3221" t="s">
        <v>11</v>
      </c>
      <c r="E3221" t="s">
        <v>31</v>
      </c>
      <c r="F3221" t="s">
        <v>40</v>
      </c>
      <c r="G3221" t="s">
        <v>28</v>
      </c>
      <c r="H3221">
        <v>245.77</v>
      </c>
    </row>
    <row r="3222" spans="1:8" x14ac:dyDescent="0.3">
      <c r="A3222">
        <v>202205</v>
      </c>
      <c r="B3222" s="1">
        <v>44682</v>
      </c>
      <c r="C3222">
        <v>2022</v>
      </c>
      <c r="D3222" t="s">
        <v>12</v>
      </c>
      <c r="E3222" t="s">
        <v>31</v>
      </c>
      <c r="F3222" t="s">
        <v>40</v>
      </c>
      <c r="G3222" t="s">
        <v>28</v>
      </c>
      <c r="H3222">
        <v>159.16</v>
      </c>
    </row>
    <row r="3223" spans="1:8" x14ac:dyDescent="0.3">
      <c r="A3223">
        <v>202206</v>
      </c>
      <c r="B3223" s="1">
        <v>44713</v>
      </c>
      <c r="C3223">
        <v>2022</v>
      </c>
      <c r="D3223" t="s">
        <v>13</v>
      </c>
      <c r="E3223" t="s">
        <v>31</v>
      </c>
      <c r="F3223" t="s">
        <v>40</v>
      </c>
      <c r="G3223" t="s">
        <v>28</v>
      </c>
      <c r="H3223">
        <v>145.63999999999999</v>
      </c>
    </row>
    <row r="3224" spans="1:8" x14ac:dyDescent="0.3">
      <c r="A3224">
        <v>202207</v>
      </c>
      <c r="B3224" s="1">
        <v>44743</v>
      </c>
      <c r="C3224">
        <v>2022</v>
      </c>
      <c r="D3224" t="s">
        <v>14</v>
      </c>
      <c r="E3224" t="s">
        <v>31</v>
      </c>
      <c r="F3224" t="s">
        <v>40</v>
      </c>
      <c r="G3224" t="s">
        <v>28</v>
      </c>
      <c r="H3224">
        <v>150.62</v>
      </c>
    </row>
    <row r="3225" spans="1:8" x14ac:dyDescent="0.3">
      <c r="A3225">
        <v>202208</v>
      </c>
      <c r="B3225" s="1">
        <v>44774</v>
      </c>
      <c r="C3225">
        <v>2022</v>
      </c>
      <c r="D3225" t="s">
        <v>15</v>
      </c>
      <c r="E3225" t="s">
        <v>31</v>
      </c>
      <c r="F3225" t="s">
        <v>40</v>
      </c>
      <c r="G3225" t="s">
        <v>28</v>
      </c>
      <c r="H3225">
        <v>190.71</v>
      </c>
    </row>
    <row r="3226" spans="1:8" x14ac:dyDescent="0.3">
      <c r="A3226">
        <v>202209</v>
      </c>
      <c r="B3226" s="1">
        <v>44805</v>
      </c>
      <c r="C3226">
        <v>2022</v>
      </c>
      <c r="D3226" t="s">
        <v>16</v>
      </c>
      <c r="E3226" t="s">
        <v>31</v>
      </c>
      <c r="F3226" t="s">
        <v>40</v>
      </c>
      <c r="G3226" t="s">
        <v>28</v>
      </c>
      <c r="H3226">
        <v>152.85</v>
      </c>
    </row>
    <row r="3227" spans="1:8" x14ac:dyDescent="0.3">
      <c r="A3227">
        <v>202210</v>
      </c>
      <c r="B3227" s="1">
        <v>44835</v>
      </c>
      <c r="C3227">
        <v>2022</v>
      </c>
      <c r="D3227" t="s">
        <v>17</v>
      </c>
      <c r="E3227" t="s">
        <v>31</v>
      </c>
      <c r="F3227" t="s">
        <v>40</v>
      </c>
      <c r="G3227" t="s">
        <v>28</v>
      </c>
      <c r="H3227">
        <v>166.17</v>
      </c>
    </row>
    <row r="3228" spans="1:8" x14ac:dyDescent="0.3">
      <c r="A3228">
        <v>202211</v>
      </c>
      <c r="B3228" s="1">
        <v>44866</v>
      </c>
      <c r="C3228">
        <v>2022</v>
      </c>
      <c r="D3228" t="s">
        <v>18</v>
      </c>
      <c r="E3228" t="s">
        <v>31</v>
      </c>
      <c r="F3228" t="s">
        <v>40</v>
      </c>
      <c r="G3228" t="s">
        <v>28</v>
      </c>
      <c r="H3228">
        <v>199.59</v>
      </c>
    </row>
    <row r="3229" spans="1:8" x14ac:dyDescent="0.3">
      <c r="A3229">
        <v>202212</v>
      </c>
      <c r="B3229" s="1">
        <v>44896</v>
      </c>
      <c r="C3229">
        <v>2022</v>
      </c>
      <c r="D3229" t="s">
        <v>19</v>
      </c>
      <c r="E3229" t="s">
        <v>31</v>
      </c>
      <c r="F3229" t="s">
        <v>40</v>
      </c>
      <c r="G3229" t="s">
        <v>28</v>
      </c>
      <c r="H3229">
        <v>149.38</v>
      </c>
    </row>
    <row r="3230" spans="1:8" x14ac:dyDescent="0.3">
      <c r="A3230">
        <v>202201</v>
      </c>
      <c r="B3230" s="1">
        <v>44562</v>
      </c>
      <c r="C3230">
        <v>2022</v>
      </c>
      <c r="D3230" t="s">
        <v>6</v>
      </c>
      <c r="E3230" t="s">
        <v>31</v>
      </c>
      <c r="F3230" t="s">
        <v>40</v>
      </c>
      <c r="G3230" t="s">
        <v>28</v>
      </c>
      <c r="H3230">
        <v>87.31</v>
      </c>
    </row>
    <row r="3231" spans="1:8" x14ac:dyDescent="0.3">
      <c r="A3231">
        <v>202202</v>
      </c>
      <c r="B3231" s="1">
        <v>44593</v>
      </c>
      <c r="C3231">
        <v>2022</v>
      </c>
      <c r="D3231" t="s">
        <v>9</v>
      </c>
      <c r="E3231" t="s">
        <v>31</v>
      </c>
      <c r="F3231" t="s">
        <v>40</v>
      </c>
      <c r="G3231" t="s">
        <v>28</v>
      </c>
      <c r="H3231">
        <v>52.64</v>
      </c>
    </row>
    <row r="3232" spans="1:8" x14ac:dyDescent="0.3">
      <c r="A3232">
        <v>202203</v>
      </c>
      <c r="B3232" s="1">
        <v>44621</v>
      </c>
      <c r="C3232">
        <v>2022</v>
      </c>
      <c r="D3232" t="s">
        <v>10</v>
      </c>
      <c r="E3232" t="s">
        <v>31</v>
      </c>
      <c r="F3232" t="s">
        <v>40</v>
      </c>
      <c r="G3232" t="s">
        <v>28</v>
      </c>
      <c r="H3232">
        <v>57.93</v>
      </c>
    </row>
    <row r="3233" spans="1:8" x14ac:dyDescent="0.3">
      <c r="A3233">
        <v>202204</v>
      </c>
      <c r="B3233" s="1">
        <v>44652</v>
      </c>
      <c r="C3233">
        <v>2022</v>
      </c>
      <c r="D3233" t="s">
        <v>11</v>
      </c>
      <c r="E3233" t="s">
        <v>31</v>
      </c>
      <c r="F3233" t="s">
        <v>40</v>
      </c>
      <c r="G3233" t="s">
        <v>28</v>
      </c>
      <c r="H3233">
        <v>74.33</v>
      </c>
    </row>
    <row r="3234" spans="1:8" x14ac:dyDescent="0.3">
      <c r="A3234">
        <v>202205</v>
      </c>
      <c r="B3234" s="1">
        <v>44682</v>
      </c>
      <c r="C3234">
        <v>2022</v>
      </c>
      <c r="D3234" t="s">
        <v>12</v>
      </c>
      <c r="E3234" t="s">
        <v>31</v>
      </c>
      <c r="F3234" t="s">
        <v>40</v>
      </c>
      <c r="G3234" t="s">
        <v>28</v>
      </c>
      <c r="H3234">
        <v>56.05</v>
      </c>
    </row>
    <row r="3235" spans="1:8" x14ac:dyDescent="0.3">
      <c r="A3235">
        <v>202206</v>
      </c>
      <c r="B3235" s="1">
        <v>44713</v>
      </c>
      <c r="C3235">
        <v>2022</v>
      </c>
      <c r="D3235" t="s">
        <v>13</v>
      </c>
      <c r="E3235" t="s">
        <v>31</v>
      </c>
      <c r="F3235" t="s">
        <v>40</v>
      </c>
      <c r="G3235" t="s">
        <v>28</v>
      </c>
      <c r="H3235">
        <v>97.54</v>
      </c>
    </row>
    <row r="3236" spans="1:8" x14ac:dyDescent="0.3">
      <c r="A3236">
        <v>202207</v>
      </c>
      <c r="B3236" s="1">
        <v>44743</v>
      </c>
      <c r="C3236">
        <v>2022</v>
      </c>
      <c r="D3236" t="s">
        <v>14</v>
      </c>
      <c r="E3236" t="s">
        <v>31</v>
      </c>
      <c r="F3236" t="s">
        <v>40</v>
      </c>
      <c r="G3236" t="s">
        <v>28</v>
      </c>
      <c r="H3236">
        <v>66.39</v>
      </c>
    </row>
    <row r="3237" spans="1:8" x14ac:dyDescent="0.3">
      <c r="A3237">
        <v>202208</v>
      </c>
      <c r="B3237" s="1">
        <v>44774</v>
      </c>
      <c r="C3237">
        <v>2022</v>
      </c>
      <c r="D3237" t="s">
        <v>15</v>
      </c>
      <c r="E3237" t="s">
        <v>31</v>
      </c>
      <c r="F3237" t="s">
        <v>40</v>
      </c>
      <c r="G3237" t="s">
        <v>28</v>
      </c>
      <c r="H3237">
        <v>60.98</v>
      </c>
    </row>
    <row r="3238" spans="1:8" x14ac:dyDescent="0.3">
      <c r="A3238">
        <v>202209</v>
      </c>
      <c r="B3238" s="1">
        <v>44805</v>
      </c>
      <c r="C3238">
        <v>2022</v>
      </c>
      <c r="D3238" t="s">
        <v>16</v>
      </c>
      <c r="E3238" t="s">
        <v>31</v>
      </c>
      <c r="F3238" t="s">
        <v>40</v>
      </c>
      <c r="G3238" t="s">
        <v>28</v>
      </c>
      <c r="H3238">
        <v>66.209999999999994</v>
      </c>
    </row>
    <row r="3239" spans="1:8" x14ac:dyDescent="0.3">
      <c r="A3239">
        <v>202210</v>
      </c>
      <c r="B3239" s="1">
        <v>44835</v>
      </c>
      <c r="C3239">
        <v>2022</v>
      </c>
      <c r="D3239" t="s">
        <v>17</v>
      </c>
      <c r="E3239" t="s">
        <v>31</v>
      </c>
      <c r="F3239" t="s">
        <v>40</v>
      </c>
      <c r="G3239" t="s">
        <v>28</v>
      </c>
      <c r="H3239">
        <v>62.42</v>
      </c>
    </row>
    <row r="3240" spans="1:8" x14ac:dyDescent="0.3">
      <c r="A3240">
        <v>202211</v>
      </c>
      <c r="B3240" s="1">
        <v>44866</v>
      </c>
      <c r="C3240">
        <v>2022</v>
      </c>
      <c r="D3240" t="s">
        <v>18</v>
      </c>
      <c r="E3240" t="s">
        <v>31</v>
      </c>
      <c r="F3240" t="s">
        <v>40</v>
      </c>
      <c r="G3240" t="s">
        <v>28</v>
      </c>
      <c r="H3240">
        <v>81.22</v>
      </c>
    </row>
    <row r="3241" spans="1:8" x14ac:dyDescent="0.3">
      <c r="A3241">
        <v>202212</v>
      </c>
      <c r="B3241" s="1">
        <v>44896</v>
      </c>
      <c r="C3241">
        <v>2022</v>
      </c>
      <c r="D3241" t="s">
        <v>19</v>
      </c>
      <c r="E3241" t="s">
        <v>31</v>
      </c>
      <c r="F3241" t="s">
        <v>40</v>
      </c>
      <c r="G3241" t="s">
        <v>28</v>
      </c>
      <c r="H3241">
        <v>67.53</v>
      </c>
    </row>
    <row r="3242" spans="1:8" x14ac:dyDescent="0.3">
      <c r="A3242">
        <v>202201</v>
      </c>
      <c r="B3242" s="1">
        <v>44562</v>
      </c>
      <c r="C3242">
        <v>2022</v>
      </c>
      <c r="D3242" t="s">
        <v>6</v>
      </c>
      <c r="E3242" t="s">
        <v>31</v>
      </c>
      <c r="F3242" t="s">
        <v>40</v>
      </c>
      <c r="G3242" t="s">
        <v>28</v>
      </c>
      <c r="H3242">
        <v>96.63</v>
      </c>
    </row>
    <row r="3243" spans="1:8" x14ac:dyDescent="0.3">
      <c r="A3243">
        <v>202202</v>
      </c>
      <c r="B3243" s="1">
        <v>44593</v>
      </c>
      <c r="C3243">
        <v>2022</v>
      </c>
      <c r="D3243" t="s">
        <v>9</v>
      </c>
      <c r="E3243" t="s">
        <v>31</v>
      </c>
      <c r="F3243" t="s">
        <v>40</v>
      </c>
      <c r="G3243" t="s">
        <v>28</v>
      </c>
      <c r="H3243">
        <v>87.93</v>
      </c>
    </row>
    <row r="3244" spans="1:8" x14ac:dyDescent="0.3">
      <c r="A3244">
        <v>202203</v>
      </c>
      <c r="B3244" s="1">
        <v>44621</v>
      </c>
      <c r="C3244">
        <v>2022</v>
      </c>
      <c r="D3244" t="s">
        <v>10</v>
      </c>
      <c r="E3244" t="s">
        <v>31</v>
      </c>
      <c r="F3244" t="s">
        <v>40</v>
      </c>
      <c r="G3244" t="s">
        <v>28</v>
      </c>
      <c r="H3244">
        <v>116.28</v>
      </c>
    </row>
    <row r="3245" spans="1:8" x14ac:dyDescent="0.3">
      <c r="A3245">
        <v>202204</v>
      </c>
      <c r="B3245" s="1">
        <v>44652</v>
      </c>
      <c r="C3245">
        <v>2022</v>
      </c>
      <c r="D3245" t="s">
        <v>11</v>
      </c>
      <c r="E3245" t="s">
        <v>31</v>
      </c>
      <c r="F3245" t="s">
        <v>40</v>
      </c>
      <c r="G3245" t="s">
        <v>28</v>
      </c>
      <c r="H3245">
        <v>123.1</v>
      </c>
    </row>
    <row r="3246" spans="1:8" x14ac:dyDescent="0.3">
      <c r="A3246">
        <v>202205</v>
      </c>
      <c r="B3246" s="1">
        <v>44682</v>
      </c>
      <c r="C3246">
        <v>2022</v>
      </c>
      <c r="D3246" t="s">
        <v>12</v>
      </c>
      <c r="E3246" t="s">
        <v>31</v>
      </c>
      <c r="F3246" t="s">
        <v>40</v>
      </c>
      <c r="G3246" t="s">
        <v>28</v>
      </c>
      <c r="H3246">
        <v>125.52</v>
      </c>
    </row>
    <row r="3247" spans="1:8" x14ac:dyDescent="0.3">
      <c r="A3247">
        <v>202206</v>
      </c>
      <c r="B3247" s="1">
        <v>44713</v>
      </c>
      <c r="C3247">
        <v>2022</v>
      </c>
      <c r="D3247" t="s">
        <v>13</v>
      </c>
      <c r="E3247" t="s">
        <v>31</v>
      </c>
      <c r="F3247" t="s">
        <v>40</v>
      </c>
      <c r="G3247" t="s">
        <v>28</v>
      </c>
      <c r="H3247">
        <v>104.59</v>
      </c>
    </row>
    <row r="3248" spans="1:8" x14ac:dyDescent="0.3">
      <c r="A3248">
        <v>202207</v>
      </c>
      <c r="B3248" s="1">
        <v>44743</v>
      </c>
      <c r="C3248">
        <v>2022</v>
      </c>
      <c r="D3248" t="s">
        <v>14</v>
      </c>
      <c r="E3248" t="s">
        <v>31</v>
      </c>
      <c r="F3248" t="s">
        <v>40</v>
      </c>
      <c r="G3248" t="s">
        <v>28</v>
      </c>
      <c r="H3248">
        <v>111.71</v>
      </c>
    </row>
    <row r="3249" spans="1:8" x14ac:dyDescent="0.3">
      <c r="A3249">
        <v>202208</v>
      </c>
      <c r="B3249" s="1">
        <v>44774</v>
      </c>
      <c r="C3249">
        <v>2022</v>
      </c>
      <c r="D3249" t="s">
        <v>15</v>
      </c>
      <c r="E3249" t="s">
        <v>31</v>
      </c>
      <c r="F3249" t="s">
        <v>40</v>
      </c>
      <c r="G3249" t="s">
        <v>28</v>
      </c>
      <c r="H3249">
        <v>101.67</v>
      </c>
    </row>
    <row r="3250" spans="1:8" x14ac:dyDescent="0.3">
      <c r="A3250">
        <v>202209</v>
      </c>
      <c r="B3250" s="1">
        <v>44805</v>
      </c>
      <c r="C3250">
        <v>2022</v>
      </c>
      <c r="D3250" t="s">
        <v>16</v>
      </c>
      <c r="E3250" t="s">
        <v>31</v>
      </c>
      <c r="F3250" t="s">
        <v>40</v>
      </c>
      <c r="G3250" t="s">
        <v>28</v>
      </c>
      <c r="H3250">
        <v>106.05</v>
      </c>
    </row>
    <row r="3251" spans="1:8" x14ac:dyDescent="0.3">
      <c r="A3251">
        <v>202210</v>
      </c>
      <c r="B3251" s="1">
        <v>44835</v>
      </c>
      <c r="C3251">
        <v>2022</v>
      </c>
      <c r="D3251" t="s">
        <v>17</v>
      </c>
      <c r="E3251" t="s">
        <v>31</v>
      </c>
      <c r="F3251" t="s">
        <v>40</v>
      </c>
      <c r="G3251" t="s">
        <v>28</v>
      </c>
      <c r="H3251">
        <v>110.81</v>
      </c>
    </row>
    <row r="3252" spans="1:8" x14ac:dyDescent="0.3">
      <c r="A3252">
        <v>202211</v>
      </c>
      <c r="B3252" s="1">
        <v>44866</v>
      </c>
      <c r="C3252">
        <v>2022</v>
      </c>
      <c r="D3252" t="s">
        <v>18</v>
      </c>
      <c r="E3252" t="s">
        <v>31</v>
      </c>
      <c r="F3252" t="s">
        <v>40</v>
      </c>
      <c r="G3252" t="s">
        <v>28</v>
      </c>
      <c r="H3252">
        <v>92.16</v>
      </c>
    </row>
    <row r="3253" spans="1:8" x14ac:dyDescent="0.3">
      <c r="A3253">
        <v>202212</v>
      </c>
      <c r="B3253" s="1">
        <v>44896</v>
      </c>
      <c r="C3253">
        <v>2022</v>
      </c>
      <c r="D3253" t="s">
        <v>19</v>
      </c>
      <c r="E3253" t="s">
        <v>31</v>
      </c>
      <c r="F3253" t="s">
        <v>40</v>
      </c>
      <c r="G3253" t="s">
        <v>28</v>
      </c>
      <c r="H3253">
        <v>115.65</v>
      </c>
    </row>
    <row r="3254" spans="1:8" x14ac:dyDescent="0.3">
      <c r="A3254">
        <v>202201</v>
      </c>
      <c r="B3254" s="1">
        <v>44562</v>
      </c>
      <c r="C3254">
        <v>2022</v>
      </c>
      <c r="D3254" t="s">
        <v>6</v>
      </c>
      <c r="E3254" t="s">
        <v>31</v>
      </c>
      <c r="F3254" t="s">
        <v>40</v>
      </c>
      <c r="G3254" t="s">
        <v>28</v>
      </c>
      <c r="H3254">
        <v>79.91</v>
      </c>
    </row>
    <row r="3255" spans="1:8" x14ac:dyDescent="0.3">
      <c r="A3255">
        <v>202202</v>
      </c>
      <c r="B3255" s="1">
        <v>44593</v>
      </c>
      <c r="C3255">
        <v>2022</v>
      </c>
      <c r="D3255" t="s">
        <v>9</v>
      </c>
      <c r="E3255" t="s">
        <v>31</v>
      </c>
      <c r="F3255" t="s">
        <v>40</v>
      </c>
      <c r="G3255" t="s">
        <v>28</v>
      </c>
      <c r="H3255">
        <v>46.07</v>
      </c>
    </row>
    <row r="3256" spans="1:8" x14ac:dyDescent="0.3">
      <c r="A3256">
        <v>202203</v>
      </c>
      <c r="B3256" s="1">
        <v>44621</v>
      </c>
      <c r="C3256">
        <v>2022</v>
      </c>
      <c r="D3256" t="s">
        <v>10</v>
      </c>
      <c r="E3256" t="s">
        <v>31</v>
      </c>
      <c r="F3256" t="s">
        <v>40</v>
      </c>
      <c r="G3256" t="s">
        <v>28</v>
      </c>
      <c r="H3256">
        <v>52.55</v>
      </c>
    </row>
    <row r="3257" spans="1:8" x14ac:dyDescent="0.3">
      <c r="A3257">
        <v>202204</v>
      </c>
      <c r="B3257" s="1">
        <v>44652</v>
      </c>
      <c r="C3257">
        <v>2022</v>
      </c>
      <c r="D3257" t="s">
        <v>11</v>
      </c>
      <c r="E3257" t="s">
        <v>31</v>
      </c>
      <c r="F3257" t="s">
        <v>40</v>
      </c>
      <c r="G3257" t="s">
        <v>28</v>
      </c>
      <c r="H3257">
        <v>68.69</v>
      </c>
    </row>
    <row r="3258" spans="1:8" x14ac:dyDescent="0.3">
      <c r="A3258">
        <v>202205</v>
      </c>
      <c r="B3258" s="1">
        <v>44682</v>
      </c>
      <c r="C3258">
        <v>2022</v>
      </c>
      <c r="D3258" t="s">
        <v>12</v>
      </c>
      <c r="E3258" t="s">
        <v>31</v>
      </c>
      <c r="F3258" t="s">
        <v>40</v>
      </c>
      <c r="G3258" t="s">
        <v>28</v>
      </c>
      <c r="H3258">
        <v>60.27</v>
      </c>
    </row>
    <row r="3259" spans="1:8" x14ac:dyDescent="0.3">
      <c r="A3259">
        <v>202206</v>
      </c>
      <c r="B3259" s="1">
        <v>44713</v>
      </c>
      <c r="C3259">
        <v>2022</v>
      </c>
      <c r="D3259" t="s">
        <v>13</v>
      </c>
      <c r="E3259" t="s">
        <v>31</v>
      </c>
      <c r="F3259" t="s">
        <v>40</v>
      </c>
      <c r="G3259" t="s">
        <v>28</v>
      </c>
      <c r="H3259">
        <v>63.01</v>
      </c>
    </row>
    <row r="3260" spans="1:8" x14ac:dyDescent="0.3">
      <c r="A3260">
        <v>202207</v>
      </c>
      <c r="B3260" s="1">
        <v>44743</v>
      </c>
      <c r="C3260">
        <v>2022</v>
      </c>
      <c r="D3260" t="s">
        <v>14</v>
      </c>
      <c r="E3260" t="s">
        <v>31</v>
      </c>
      <c r="F3260" t="s">
        <v>40</v>
      </c>
      <c r="G3260" t="s">
        <v>28</v>
      </c>
      <c r="H3260">
        <v>75.09</v>
      </c>
    </row>
    <row r="3261" spans="1:8" x14ac:dyDescent="0.3">
      <c r="A3261">
        <v>202208</v>
      </c>
      <c r="B3261" s="1">
        <v>44774</v>
      </c>
      <c r="C3261">
        <v>2022</v>
      </c>
      <c r="D3261" t="s">
        <v>15</v>
      </c>
      <c r="E3261" t="s">
        <v>31</v>
      </c>
      <c r="F3261" t="s">
        <v>40</v>
      </c>
      <c r="G3261" t="s">
        <v>28</v>
      </c>
      <c r="H3261">
        <v>61.74</v>
      </c>
    </row>
    <row r="3262" spans="1:8" x14ac:dyDescent="0.3">
      <c r="A3262">
        <v>202209</v>
      </c>
      <c r="B3262" s="1">
        <v>44805</v>
      </c>
      <c r="C3262">
        <v>2022</v>
      </c>
      <c r="D3262" t="s">
        <v>16</v>
      </c>
      <c r="E3262" t="s">
        <v>31</v>
      </c>
      <c r="F3262" t="s">
        <v>40</v>
      </c>
      <c r="G3262" t="s">
        <v>28</v>
      </c>
      <c r="H3262">
        <v>74.45</v>
      </c>
    </row>
    <row r="3263" spans="1:8" x14ac:dyDescent="0.3">
      <c r="A3263">
        <v>202210</v>
      </c>
      <c r="B3263" s="1">
        <v>44835</v>
      </c>
      <c r="C3263">
        <v>2022</v>
      </c>
      <c r="D3263" t="s">
        <v>17</v>
      </c>
      <c r="E3263" t="s">
        <v>31</v>
      </c>
      <c r="F3263" t="s">
        <v>40</v>
      </c>
      <c r="G3263" t="s">
        <v>28</v>
      </c>
      <c r="H3263">
        <v>67.59</v>
      </c>
    </row>
    <row r="3264" spans="1:8" x14ac:dyDescent="0.3">
      <c r="A3264">
        <v>202211</v>
      </c>
      <c r="B3264" s="1">
        <v>44866</v>
      </c>
      <c r="C3264">
        <v>2022</v>
      </c>
      <c r="D3264" t="s">
        <v>18</v>
      </c>
      <c r="E3264" t="s">
        <v>31</v>
      </c>
      <c r="F3264" t="s">
        <v>40</v>
      </c>
      <c r="G3264" t="s">
        <v>28</v>
      </c>
      <c r="H3264">
        <v>69.36</v>
      </c>
    </row>
    <row r="3265" spans="1:8" x14ac:dyDescent="0.3">
      <c r="A3265">
        <v>202212</v>
      </c>
      <c r="B3265" s="1">
        <v>44896</v>
      </c>
      <c r="C3265">
        <v>2022</v>
      </c>
      <c r="D3265" t="s">
        <v>19</v>
      </c>
      <c r="E3265" t="s">
        <v>31</v>
      </c>
      <c r="F3265" t="s">
        <v>40</v>
      </c>
      <c r="G3265" t="s">
        <v>28</v>
      </c>
      <c r="H3265">
        <v>65.78</v>
      </c>
    </row>
    <row r="3266" spans="1:8" x14ac:dyDescent="0.3">
      <c r="A3266">
        <v>202201</v>
      </c>
      <c r="B3266" s="1">
        <v>44562</v>
      </c>
      <c r="C3266">
        <v>2022</v>
      </c>
      <c r="D3266" t="s">
        <v>6</v>
      </c>
      <c r="E3266" t="s">
        <v>31</v>
      </c>
      <c r="F3266" t="s">
        <v>40</v>
      </c>
      <c r="G3266" t="s">
        <v>28</v>
      </c>
      <c r="H3266">
        <v>362.25</v>
      </c>
    </row>
    <row r="3267" spans="1:8" x14ac:dyDescent="0.3">
      <c r="A3267">
        <v>202202</v>
      </c>
      <c r="B3267" s="1">
        <v>44593</v>
      </c>
      <c r="C3267">
        <v>2022</v>
      </c>
      <c r="D3267" t="s">
        <v>9</v>
      </c>
      <c r="E3267" t="s">
        <v>31</v>
      </c>
      <c r="F3267" t="s">
        <v>40</v>
      </c>
      <c r="G3267" t="s">
        <v>28</v>
      </c>
      <c r="H3267">
        <v>209.95</v>
      </c>
    </row>
    <row r="3268" spans="1:8" x14ac:dyDescent="0.3">
      <c r="A3268">
        <v>202203</v>
      </c>
      <c r="B3268" s="1">
        <v>44621</v>
      </c>
      <c r="C3268">
        <v>2022</v>
      </c>
      <c r="D3268" t="s">
        <v>10</v>
      </c>
      <c r="E3268" t="s">
        <v>31</v>
      </c>
      <c r="F3268" t="s">
        <v>40</v>
      </c>
      <c r="G3268" t="s">
        <v>28</v>
      </c>
      <c r="H3268">
        <v>271.77</v>
      </c>
    </row>
    <row r="3269" spans="1:8" x14ac:dyDescent="0.3">
      <c r="A3269">
        <v>202204</v>
      </c>
      <c r="B3269" s="1">
        <v>44652</v>
      </c>
      <c r="C3269">
        <v>2022</v>
      </c>
      <c r="D3269" t="s">
        <v>11</v>
      </c>
      <c r="E3269" t="s">
        <v>31</v>
      </c>
      <c r="F3269" t="s">
        <v>40</v>
      </c>
      <c r="G3269" t="s">
        <v>28</v>
      </c>
      <c r="H3269">
        <v>360.81</v>
      </c>
    </row>
    <row r="3270" spans="1:8" x14ac:dyDescent="0.3">
      <c r="A3270">
        <v>202205</v>
      </c>
      <c r="B3270" s="1">
        <v>44682</v>
      </c>
      <c r="C3270">
        <v>2022</v>
      </c>
      <c r="D3270" t="s">
        <v>12</v>
      </c>
      <c r="E3270" t="s">
        <v>31</v>
      </c>
      <c r="F3270" t="s">
        <v>40</v>
      </c>
      <c r="G3270" t="s">
        <v>28</v>
      </c>
      <c r="H3270">
        <v>264.75</v>
      </c>
    </row>
    <row r="3271" spans="1:8" x14ac:dyDescent="0.3">
      <c r="A3271">
        <v>202206</v>
      </c>
      <c r="B3271" s="1">
        <v>44713</v>
      </c>
      <c r="C3271">
        <v>2022</v>
      </c>
      <c r="D3271" t="s">
        <v>13</v>
      </c>
      <c r="E3271" t="s">
        <v>31</v>
      </c>
      <c r="F3271" t="s">
        <v>40</v>
      </c>
      <c r="G3271" t="s">
        <v>28</v>
      </c>
      <c r="H3271">
        <v>294.08999999999997</v>
      </c>
    </row>
    <row r="3272" spans="1:8" x14ac:dyDescent="0.3">
      <c r="A3272">
        <v>202207</v>
      </c>
      <c r="B3272" s="1">
        <v>44743</v>
      </c>
      <c r="C3272">
        <v>2022</v>
      </c>
      <c r="D3272" t="s">
        <v>14</v>
      </c>
      <c r="E3272" t="s">
        <v>31</v>
      </c>
      <c r="F3272" t="s">
        <v>40</v>
      </c>
      <c r="G3272" t="s">
        <v>28</v>
      </c>
      <c r="H3272">
        <v>349.97</v>
      </c>
    </row>
    <row r="3273" spans="1:8" x14ac:dyDescent="0.3">
      <c r="A3273">
        <v>202208</v>
      </c>
      <c r="B3273" s="1">
        <v>44774</v>
      </c>
      <c r="C3273">
        <v>2022</v>
      </c>
      <c r="D3273" t="s">
        <v>15</v>
      </c>
      <c r="E3273" t="s">
        <v>31</v>
      </c>
      <c r="F3273" t="s">
        <v>40</v>
      </c>
      <c r="G3273" t="s">
        <v>28</v>
      </c>
      <c r="H3273">
        <v>309.57</v>
      </c>
    </row>
    <row r="3274" spans="1:8" x14ac:dyDescent="0.3">
      <c r="A3274">
        <v>202209</v>
      </c>
      <c r="B3274" s="1">
        <v>44805</v>
      </c>
      <c r="C3274">
        <v>2022</v>
      </c>
      <c r="D3274" t="s">
        <v>16</v>
      </c>
      <c r="E3274" t="s">
        <v>31</v>
      </c>
      <c r="F3274" t="s">
        <v>40</v>
      </c>
      <c r="G3274" t="s">
        <v>28</v>
      </c>
      <c r="H3274">
        <v>311.72000000000003</v>
      </c>
    </row>
    <row r="3275" spans="1:8" x14ac:dyDescent="0.3">
      <c r="A3275">
        <v>202210</v>
      </c>
      <c r="B3275" s="1">
        <v>44835</v>
      </c>
      <c r="C3275">
        <v>2022</v>
      </c>
      <c r="D3275" t="s">
        <v>17</v>
      </c>
      <c r="E3275" t="s">
        <v>31</v>
      </c>
      <c r="F3275" t="s">
        <v>40</v>
      </c>
      <c r="G3275" t="s">
        <v>28</v>
      </c>
      <c r="H3275">
        <v>304.73</v>
      </c>
    </row>
    <row r="3276" spans="1:8" x14ac:dyDescent="0.3">
      <c r="A3276">
        <v>202211</v>
      </c>
      <c r="B3276" s="1">
        <v>44866</v>
      </c>
      <c r="C3276">
        <v>2022</v>
      </c>
      <c r="D3276" t="s">
        <v>18</v>
      </c>
      <c r="E3276" t="s">
        <v>31</v>
      </c>
      <c r="F3276" t="s">
        <v>40</v>
      </c>
      <c r="G3276" t="s">
        <v>28</v>
      </c>
      <c r="H3276">
        <v>310.13</v>
      </c>
    </row>
    <row r="3277" spans="1:8" x14ac:dyDescent="0.3">
      <c r="A3277">
        <v>202212</v>
      </c>
      <c r="B3277" s="1">
        <v>44896</v>
      </c>
      <c r="C3277">
        <v>2022</v>
      </c>
      <c r="D3277" t="s">
        <v>19</v>
      </c>
      <c r="E3277" t="s">
        <v>31</v>
      </c>
      <c r="F3277" t="s">
        <v>40</v>
      </c>
      <c r="G3277" t="s">
        <v>28</v>
      </c>
      <c r="H3277">
        <v>298.83</v>
      </c>
    </row>
    <row r="3278" spans="1:8" x14ac:dyDescent="0.3">
      <c r="A3278">
        <v>202201</v>
      </c>
      <c r="B3278" s="1">
        <v>44562</v>
      </c>
      <c r="C3278">
        <v>2022</v>
      </c>
      <c r="D3278" t="s">
        <v>6</v>
      </c>
      <c r="E3278" t="s">
        <v>32</v>
      </c>
      <c r="F3278" t="s">
        <v>40</v>
      </c>
      <c r="G3278" t="s">
        <v>33</v>
      </c>
      <c r="H3278">
        <v>185.95</v>
      </c>
    </row>
    <row r="3279" spans="1:8" x14ac:dyDescent="0.3">
      <c r="A3279">
        <v>202202</v>
      </c>
      <c r="B3279" s="1">
        <v>44593</v>
      </c>
      <c r="C3279">
        <v>2022</v>
      </c>
      <c r="D3279" t="s">
        <v>9</v>
      </c>
      <c r="E3279" t="s">
        <v>32</v>
      </c>
      <c r="F3279" t="s">
        <v>40</v>
      </c>
      <c r="G3279" t="s">
        <v>33</v>
      </c>
      <c r="H3279">
        <v>114.75</v>
      </c>
    </row>
    <row r="3280" spans="1:8" x14ac:dyDescent="0.3">
      <c r="A3280">
        <v>202203</v>
      </c>
      <c r="B3280" s="1">
        <v>44621</v>
      </c>
      <c r="C3280">
        <v>2022</v>
      </c>
      <c r="D3280" t="s">
        <v>10</v>
      </c>
      <c r="E3280" t="s">
        <v>32</v>
      </c>
      <c r="F3280" t="s">
        <v>40</v>
      </c>
      <c r="G3280" t="s">
        <v>33</v>
      </c>
      <c r="H3280">
        <v>157.4</v>
      </c>
    </row>
    <row r="3281" spans="1:8" x14ac:dyDescent="0.3">
      <c r="A3281">
        <v>202204</v>
      </c>
      <c r="B3281" s="1">
        <v>44652</v>
      </c>
      <c r="C3281">
        <v>2022</v>
      </c>
      <c r="D3281" t="s">
        <v>11</v>
      </c>
      <c r="E3281" t="s">
        <v>32</v>
      </c>
      <c r="F3281" t="s">
        <v>40</v>
      </c>
      <c r="G3281" t="s">
        <v>33</v>
      </c>
      <c r="H3281">
        <v>223.57</v>
      </c>
    </row>
    <row r="3282" spans="1:8" x14ac:dyDescent="0.3">
      <c r="A3282">
        <v>202205</v>
      </c>
      <c r="B3282" s="1">
        <v>44682</v>
      </c>
      <c r="C3282">
        <v>2022</v>
      </c>
      <c r="D3282" t="s">
        <v>12</v>
      </c>
      <c r="E3282" t="s">
        <v>32</v>
      </c>
      <c r="F3282" t="s">
        <v>40</v>
      </c>
      <c r="G3282" t="s">
        <v>33</v>
      </c>
      <c r="H3282">
        <v>164.79</v>
      </c>
    </row>
    <row r="3283" spans="1:8" x14ac:dyDescent="0.3">
      <c r="A3283">
        <v>202206</v>
      </c>
      <c r="B3283" s="1">
        <v>44713</v>
      </c>
      <c r="C3283">
        <v>2022</v>
      </c>
      <c r="D3283" t="s">
        <v>13</v>
      </c>
      <c r="E3283" t="s">
        <v>32</v>
      </c>
      <c r="F3283" t="s">
        <v>40</v>
      </c>
      <c r="G3283" t="s">
        <v>33</v>
      </c>
      <c r="H3283">
        <v>177.26</v>
      </c>
    </row>
    <row r="3284" spans="1:8" x14ac:dyDescent="0.3">
      <c r="A3284">
        <v>202207</v>
      </c>
      <c r="B3284" s="1">
        <v>44743</v>
      </c>
      <c r="C3284">
        <v>2022</v>
      </c>
      <c r="D3284" t="s">
        <v>14</v>
      </c>
      <c r="E3284" t="s">
        <v>32</v>
      </c>
      <c r="F3284" t="s">
        <v>40</v>
      </c>
      <c r="G3284" t="s">
        <v>33</v>
      </c>
      <c r="H3284">
        <v>224.08</v>
      </c>
    </row>
    <row r="3285" spans="1:8" x14ac:dyDescent="0.3">
      <c r="A3285">
        <v>202208</v>
      </c>
      <c r="B3285" s="1">
        <v>44774</v>
      </c>
      <c r="C3285">
        <v>2022</v>
      </c>
      <c r="D3285" t="s">
        <v>15</v>
      </c>
      <c r="E3285" t="s">
        <v>32</v>
      </c>
      <c r="F3285" t="s">
        <v>40</v>
      </c>
      <c r="G3285" t="s">
        <v>33</v>
      </c>
      <c r="H3285">
        <v>143.41</v>
      </c>
    </row>
    <row r="3286" spans="1:8" x14ac:dyDescent="0.3">
      <c r="A3286">
        <v>202209</v>
      </c>
      <c r="B3286" s="1">
        <v>44805</v>
      </c>
      <c r="C3286">
        <v>2022</v>
      </c>
      <c r="D3286" t="s">
        <v>16</v>
      </c>
      <c r="E3286" t="s">
        <v>32</v>
      </c>
      <c r="F3286" t="s">
        <v>40</v>
      </c>
      <c r="G3286" t="s">
        <v>33</v>
      </c>
      <c r="H3286">
        <v>143.22</v>
      </c>
    </row>
    <row r="3287" spans="1:8" x14ac:dyDescent="0.3">
      <c r="A3287">
        <v>202210</v>
      </c>
      <c r="B3287" s="1">
        <v>44835</v>
      </c>
      <c r="C3287">
        <v>2022</v>
      </c>
      <c r="D3287" t="s">
        <v>17</v>
      </c>
      <c r="E3287" t="s">
        <v>32</v>
      </c>
      <c r="F3287" t="s">
        <v>40</v>
      </c>
      <c r="G3287" t="s">
        <v>33</v>
      </c>
      <c r="H3287">
        <v>182.11</v>
      </c>
    </row>
    <row r="3288" spans="1:8" x14ac:dyDescent="0.3">
      <c r="A3288">
        <v>202211</v>
      </c>
      <c r="B3288" s="1">
        <v>44866</v>
      </c>
      <c r="C3288">
        <v>2022</v>
      </c>
      <c r="D3288" t="s">
        <v>18</v>
      </c>
      <c r="E3288" t="s">
        <v>32</v>
      </c>
      <c r="F3288" t="s">
        <v>40</v>
      </c>
      <c r="G3288" t="s">
        <v>33</v>
      </c>
      <c r="H3288">
        <v>157.19</v>
      </c>
    </row>
    <row r="3289" spans="1:8" x14ac:dyDescent="0.3">
      <c r="A3289">
        <v>202212</v>
      </c>
      <c r="B3289" s="1">
        <v>44896</v>
      </c>
      <c r="C3289">
        <v>2022</v>
      </c>
      <c r="D3289" t="s">
        <v>19</v>
      </c>
      <c r="E3289" t="s">
        <v>32</v>
      </c>
      <c r="F3289" t="s">
        <v>40</v>
      </c>
      <c r="G3289" t="s">
        <v>33</v>
      </c>
      <c r="H3289">
        <v>133.03</v>
      </c>
    </row>
    <row r="3290" spans="1:8" x14ac:dyDescent="0.3">
      <c r="A3290">
        <v>202201</v>
      </c>
      <c r="B3290" s="1">
        <v>44562</v>
      </c>
      <c r="C3290">
        <v>2022</v>
      </c>
      <c r="D3290" t="s">
        <v>6</v>
      </c>
      <c r="E3290" t="s">
        <v>32</v>
      </c>
      <c r="F3290" t="s">
        <v>40</v>
      </c>
      <c r="G3290" t="s">
        <v>33</v>
      </c>
      <c r="H3290">
        <v>184.89</v>
      </c>
    </row>
    <row r="3291" spans="1:8" x14ac:dyDescent="0.3">
      <c r="A3291">
        <v>202202</v>
      </c>
      <c r="B3291" s="1">
        <v>44593</v>
      </c>
      <c r="C3291">
        <v>2022</v>
      </c>
      <c r="D3291" t="s">
        <v>9</v>
      </c>
      <c r="E3291" t="s">
        <v>32</v>
      </c>
      <c r="F3291" t="s">
        <v>40</v>
      </c>
      <c r="G3291" t="s">
        <v>33</v>
      </c>
      <c r="H3291">
        <v>107.79</v>
      </c>
    </row>
    <row r="3292" spans="1:8" x14ac:dyDescent="0.3">
      <c r="A3292">
        <v>202203</v>
      </c>
      <c r="B3292" s="1">
        <v>44621</v>
      </c>
      <c r="C3292">
        <v>2022</v>
      </c>
      <c r="D3292" t="s">
        <v>10</v>
      </c>
      <c r="E3292" t="s">
        <v>32</v>
      </c>
      <c r="F3292" t="s">
        <v>40</v>
      </c>
      <c r="G3292" t="s">
        <v>33</v>
      </c>
      <c r="H3292">
        <v>122.31</v>
      </c>
    </row>
    <row r="3293" spans="1:8" x14ac:dyDescent="0.3">
      <c r="A3293">
        <v>202204</v>
      </c>
      <c r="B3293" s="1">
        <v>44652</v>
      </c>
      <c r="C3293">
        <v>2022</v>
      </c>
      <c r="D3293" t="s">
        <v>11</v>
      </c>
      <c r="E3293" t="s">
        <v>32</v>
      </c>
      <c r="F3293" t="s">
        <v>40</v>
      </c>
      <c r="G3293" t="s">
        <v>33</v>
      </c>
      <c r="H3293">
        <v>189.94</v>
      </c>
    </row>
    <row r="3294" spans="1:8" x14ac:dyDescent="0.3">
      <c r="A3294">
        <v>202205</v>
      </c>
      <c r="B3294" s="1">
        <v>44682</v>
      </c>
      <c r="C3294">
        <v>2022</v>
      </c>
      <c r="D3294" t="s">
        <v>12</v>
      </c>
      <c r="E3294" t="s">
        <v>32</v>
      </c>
      <c r="F3294" t="s">
        <v>40</v>
      </c>
      <c r="G3294" t="s">
        <v>33</v>
      </c>
      <c r="H3294">
        <v>119.75</v>
      </c>
    </row>
    <row r="3295" spans="1:8" x14ac:dyDescent="0.3">
      <c r="A3295">
        <v>202206</v>
      </c>
      <c r="B3295" s="1">
        <v>44713</v>
      </c>
      <c r="C3295">
        <v>2022</v>
      </c>
      <c r="D3295" t="s">
        <v>13</v>
      </c>
      <c r="E3295" t="s">
        <v>32</v>
      </c>
      <c r="F3295" t="s">
        <v>40</v>
      </c>
      <c r="G3295" t="s">
        <v>33</v>
      </c>
      <c r="H3295">
        <v>135.29</v>
      </c>
    </row>
    <row r="3296" spans="1:8" x14ac:dyDescent="0.3">
      <c r="A3296">
        <v>202207</v>
      </c>
      <c r="B3296" s="1">
        <v>44743</v>
      </c>
      <c r="C3296">
        <v>2022</v>
      </c>
      <c r="D3296" t="s">
        <v>14</v>
      </c>
      <c r="E3296" t="s">
        <v>32</v>
      </c>
      <c r="F3296" t="s">
        <v>40</v>
      </c>
      <c r="G3296" t="s">
        <v>33</v>
      </c>
      <c r="H3296">
        <v>149.13999999999999</v>
      </c>
    </row>
    <row r="3297" spans="1:8" x14ac:dyDescent="0.3">
      <c r="A3297">
        <v>202208</v>
      </c>
      <c r="B3297" s="1">
        <v>44774</v>
      </c>
      <c r="C3297">
        <v>2022</v>
      </c>
      <c r="D3297" t="s">
        <v>15</v>
      </c>
      <c r="E3297" t="s">
        <v>32</v>
      </c>
      <c r="F3297" t="s">
        <v>40</v>
      </c>
      <c r="G3297" t="s">
        <v>33</v>
      </c>
      <c r="H3297">
        <v>137.27000000000001</v>
      </c>
    </row>
    <row r="3298" spans="1:8" x14ac:dyDescent="0.3">
      <c r="A3298">
        <v>202209</v>
      </c>
      <c r="B3298" s="1">
        <v>44805</v>
      </c>
      <c r="C3298">
        <v>2022</v>
      </c>
      <c r="D3298" t="s">
        <v>16</v>
      </c>
      <c r="E3298" t="s">
        <v>32</v>
      </c>
      <c r="F3298" t="s">
        <v>40</v>
      </c>
      <c r="G3298" t="s">
        <v>33</v>
      </c>
      <c r="H3298">
        <v>131.38999999999999</v>
      </c>
    </row>
    <row r="3299" spans="1:8" x14ac:dyDescent="0.3">
      <c r="A3299">
        <v>202210</v>
      </c>
      <c r="B3299" s="1">
        <v>44835</v>
      </c>
      <c r="C3299">
        <v>2022</v>
      </c>
      <c r="D3299" t="s">
        <v>17</v>
      </c>
      <c r="E3299" t="s">
        <v>32</v>
      </c>
      <c r="F3299" t="s">
        <v>40</v>
      </c>
      <c r="G3299" t="s">
        <v>33</v>
      </c>
      <c r="H3299">
        <v>146.38999999999999</v>
      </c>
    </row>
    <row r="3300" spans="1:8" x14ac:dyDescent="0.3">
      <c r="A3300">
        <v>202211</v>
      </c>
      <c r="B3300" s="1">
        <v>44866</v>
      </c>
      <c r="C3300">
        <v>2022</v>
      </c>
      <c r="D3300" t="s">
        <v>18</v>
      </c>
      <c r="E3300" t="s">
        <v>32</v>
      </c>
      <c r="F3300" t="s">
        <v>40</v>
      </c>
      <c r="G3300" t="s">
        <v>33</v>
      </c>
      <c r="H3300">
        <v>150.18</v>
      </c>
    </row>
    <row r="3301" spans="1:8" x14ac:dyDescent="0.3">
      <c r="A3301">
        <v>202212</v>
      </c>
      <c r="B3301" s="1">
        <v>44896</v>
      </c>
      <c r="C3301">
        <v>2022</v>
      </c>
      <c r="D3301" t="s">
        <v>19</v>
      </c>
      <c r="E3301" t="s">
        <v>32</v>
      </c>
      <c r="F3301" t="s">
        <v>40</v>
      </c>
      <c r="G3301" t="s">
        <v>33</v>
      </c>
      <c r="H3301">
        <v>151.61000000000001</v>
      </c>
    </row>
    <row r="3302" spans="1:8" x14ac:dyDescent="0.3">
      <c r="A3302">
        <v>202201</v>
      </c>
      <c r="B3302" s="1">
        <v>44562</v>
      </c>
      <c r="C3302">
        <v>2022</v>
      </c>
      <c r="D3302" t="s">
        <v>6</v>
      </c>
      <c r="E3302" t="s">
        <v>32</v>
      </c>
      <c r="F3302" t="s">
        <v>40</v>
      </c>
      <c r="G3302" t="s">
        <v>33</v>
      </c>
      <c r="H3302">
        <v>47.07</v>
      </c>
    </row>
    <row r="3303" spans="1:8" x14ac:dyDescent="0.3">
      <c r="A3303">
        <v>202202</v>
      </c>
      <c r="B3303" s="1">
        <v>44593</v>
      </c>
      <c r="C3303">
        <v>2022</v>
      </c>
      <c r="D3303" t="s">
        <v>9</v>
      </c>
      <c r="E3303" t="s">
        <v>32</v>
      </c>
      <c r="F3303" t="s">
        <v>40</v>
      </c>
      <c r="G3303" t="s">
        <v>33</v>
      </c>
      <c r="H3303">
        <v>32.630000000000003</v>
      </c>
    </row>
    <row r="3304" spans="1:8" x14ac:dyDescent="0.3">
      <c r="A3304">
        <v>202203</v>
      </c>
      <c r="B3304" s="1">
        <v>44621</v>
      </c>
      <c r="C3304">
        <v>2022</v>
      </c>
      <c r="D3304" t="s">
        <v>10</v>
      </c>
      <c r="E3304" t="s">
        <v>32</v>
      </c>
      <c r="F3304" t="s">
        <v>40</v>
      </c>
      <c r="G3304" t="s">
        <v>33</v>
      </c>
      <c r="H3304">
        <v>45.84</v>
      </c>
    </row>
    <row r="3305" spans="1:8" x14ac:dyDescent="0.3">
      <c r="A3305">
        <v>202204</v>
      </c>
      <c r="B3305" s="1">
        <v>44652</v>
      </c>
      <c r="C3305">
        <v>2022</v>
      </c>
      <c r="D3305" t="s">
        <v>11</v>
      </c>
      <c r="E3305" t="s">
        <v>32</v>
      </c>
      <c r="F3305" t="s">
        <v>40</v>
      </c>
      <c r="G3305" t="s">
        <v>33</v>
      </c>
      <c r="H3305">
        <v>41.48</v>
      </c>
    </row>
    <row r="3306" spans="1:8" x14ac:dyDescent="0.3">
      <c r="A3306">
        <v>202205</v>
      </c>
      <c r="B3306" s="1">
        <v>44682</v>
      </c>
      <c r="C3306">
        <v>2022</v>
      </c>
      <c r="D3306" t="s">
        <v>12</v>
      </c>
      <c r="E3306" t="s">
        <v>32</v>
      </c>
      <c r="F3306" t="s">
        <v>40</v>
      </c>
      <c r="G3306" t="s">
        <v>33</v>
      </c>
      <c r="H3306">
        <v>42.12</v>
      </c>
    </row>
    <row r="3307" spans="1:8" x14ac:dyDescent="0.3">
      <c r="A3307">
        <v>202206</v>
      </c>
      <c r="B3307" s="1">
        <v>44713</v>
      </c>
      <c r="C3307">
        <v>2022</v>
      </c>
      <c r="D3307" t="s">
        <v>13</v>
      </c>
      <c r="E3307" t="s">
        <v>32</v>
      </c>
      <c r="F3307" t="s">
        <v>40</v>
      </c>
      <c r="G3307" t="s">
        <v>33</v>
      </c>
      <c r="H3307">
        <v>57.58</v>
      </c>
    </row>
    <row r="3308" spans="1:8" x14ac:dyDescent="0.3">
      <c r="A3308">
        <v>202207</v>
      </c>
      <c r="B3308" s="1">
        <v>44743</v>
      </c>
      <c r="C3308">
        <v>2022</v>
      </c>
      <c r="D3308" t="s">
        <v>14</v>
      </c>
      <c r="E3308" t="s">
        <v>32</v>
      </c>
      <c r="F3308" t="s">
        <v>40</v>
      </c>
      <c r="G3308" t="s">
        <v>33</v>
      </c>
      <c r="H3308">
        <v>61.92</v>
      </c>
    </row>
    <row r="3309" spans="1:8" x14ac:dyDescent="0.3">
      <c r="A3309">
        <v>202208</v>
      </c>
      <c r="B3309" s="1">
        <v>44774</v>
      </c>
      <c r="C3309">
        <v>2022</v>
      </c>
      <c r="D3309" t="s">
        <v>15</v>
      </c>
      <c r="E3309" t="s">
        <v>32</v>
      </c>
      <c r="F3309" t="s">
        <v>40</v>
      </c>
      <c r="G3309" t="s">
        <v>33</v>
      </c>
      <c r="H3309">
        <v>50.26</v>
      </c>
    </row>
    <row r="3310" spans="1:8" x14ac:dyDescent="0.3">
      <c r="A3310">
        <v>202209</v>
      </c>
      <c r="B3310" s="1">
        <v>44805</v>
      </c>
      <c r="C3310">
        <v>2022</v>
      </c>
      <c r="D3310" t="s">
        <v>16</v>
      </c>
      <c r="E3310" t="s">
        <v>32</v>
      </c>
      <c r="F3310" t="s">
        <v>40</v>
      </c>
      <c r="G3310" t="s">
        <v>33</v>
      </c>
      <c r="H3310">
        <v>43.54</v>
      </c>
    </row>
    <row r="3311" spans="1:8" x14ac:dyDescent="0.3">
      <c r="A3311">
        <v>202210</v>
      </c>
      <c r="B3311" s="1">
        <v>44835</v>
      </c>
      <c r="C3311">
        <v>2022</v>
      </c>
      <c r="D3311" t="s">
        <v>17</v>
      </c>
      <c r="E3311" t="s">
        <v>32</v>
      </c>
      <c r="F3311" t="s">
        <v>40</v>
      </c>
      <c r="G3311" t="s">
        <v>33</v>
      </c>
      <c r="H3311">
        <v>46.35</v>
      </c>
    </row>
    <row r="3312" spans="1:8" x14ac:dyDescent="0.3">
      <c r="A3312">
        <v>202211</v>
      </c>
      <c r="B3312" s="1">
        <v>44866</v>
      </c>
      <c r="C3312">
        <v>2022</v>
      </c>
      <c r="D3312" t="s">
        <v>18</v>
      </c>
      <c r="E3312" t="s">
        <v>32</v>
      </c>
      <c r="F3312" t="s">
        <v>40</v>
      </c>
      <c r="G3312" t="s">
        <v>33</v>
      </c>
      <c r="H3312">
        <v>66.489999999999995</v>
      </c>
    </row>
    <row r="3313" spans="1:8" x14ac:dyDescent="0.3">
      <c r="A3313">
        <v>202212</v>
      </c>
      <c r="B3313" s="1">
        <v>44896</v>
      </c>
      <c r="C3313">
        <v>2022</v>
      </c>
      <c r="D3313" t="s">
        <v>19</v>
      </c>
      <c r="E3313" t="s">
        <v>32</v>
      </c>
      <c r="F3313" t="s">
        <v>40</v>
      </c>
      <c r="G3313" t="s">
        <v>33</v>
      </c>
      <c r="H3313">
        <v>45.84</v>
      </c>
    </row>
    <row r="3314" spans="1:8" x14ac:dyDescent="0.3">
      <c r="A3314">
        <v>202201</v>
      </c>
      <c r="B3314" s="1">
        <v>44562</v>
      </c>
      <c r="C3314">
        <v>2022</v>
      </c>
      <c r="D3314" t="s">
        <v>6</v>
      </c>
      <c r="E3314" t="s">
        <v>32</v>
      </c>
      <c r="F3314" t="s">
        <v>40</v>
      </c>
      <c r="G3314" t="s">
        <v>33</v>
      </c>
      <c r="H3314">
        <v>284.58</v>
      </c>
    </row>
    <row r="3315" spans="1:8" x14ac:dyDescent="0.3">
      <c r="A3315">
        <v>202202</v>
      </c>
      <c r="B3315" s="1">
        <v>44593</v>
      </c>
      <c r="C3315">
        <v>2022</v>
      </c>
      <c r="D3315" t="s">
        <v>9</v>
      </c>
      <c r="E3315" t="s">
        <v>32</v>
      </c>
      <c r="F3315" t="s">
        <v>40</v>
      </c>
      <c r="G3315" t="s">
        <v>33</v>
      </c>
      <c r="H3315">
        <v>191.76</v>
      </c>
    </row>
    <row r="3316" spans="1:8" x14ac:dyDescent="0.3">
      <c r="A3316">
        <v>202203</v>
      </c>
      <c r="B3316" s="1">
        <v>44621</v>
      </c>
      <c r="C3316">
        <v>2022</v>
      </c>
      <c r="D3316" t="s">
        <v>10</v>
      </c>
      <c r="E3316" t="s">
        <v>32</v>
      </c>
      <c r="F3316" t="s">
        <v>40</v>
      </c>
      <c r="G3316" t="s">
        <v>33</v>
      </c>
      <c r="H3316">
        <v>207.2</v>
      </c>
    </row>
    <row r="3317" spans="1:8" x14ac:dyDescent="0.3">
      <c r="A3317">
        <v>202204</v>
      </c>
      <c r="B3317" s="1">
        <v>44652</v>
      </c>
      <c r="C3317">
        <v>2022</v>
      </c>
      <c r="D3317" t="s">
        <v>11</v>
      </c>
      <c r="E3317" t="s">
        <v>32</v>
      </c>
      <c r="F3317" t="s">
        <v>40</v>
      </c>
      <c r="G3317" t="s">
        <v>33</v>
      </c>
      <c r="H3317">
        <v>337.78</v>
      </c>
    </row>
    <row r="3318" spans="1:8" x14ac:dyDescent="0.3">
      <c r="A3318">
        <v>202205</v>
      </c>
      <c r="B3318" s="1">
        <v>44682</v>
      </c>
      <c r="C3318">
        <v>2022</v>
      </c>
      <c r="D3318" t="s">
        <v>12</v>
      </c>
      <c r="E3318" t="s">
        <v>32</v>
      </c>
      <c r="F3318" t="s">
        <v>40</v>
      </c>
      <c r="G3318" t="s">
        <v>33</v>
      </c>
      <c r="H3318">
        <v>233.57</v>
      </c>
    </row>
    <row r="3319" spans="1:8" x14ac:dyDescent="0.3">
      <c r="A3319">
        <v>202206</v>
      </c>
      <c r="B3319" s="1">
        <v>44713</v>
      </c>
      <c r="C3319">
        <v>2022</v>
      </c>
      <c r="D3319" t="s">
        <v>13</v>
      </c>
      <c r="E3319" t="s">
        <v>32</v>
      </c>
      <c r="F3319" t="s">
        <v>40</v>
      </c>
      <c r="G3319" t="s">
        <v>33</v>
      </c>
      <c r="H3319">
        <v>232.59</v>
      </c>
    </row>
    <row r="3320" spans="1:8" x14ac:dyDescent="0.3">
      <c r="A3320">
        <v>202207</v>
      </c>
      <c r="B3320" s="1">
        <v>44743</v>
      </c>
      <c r="C3320">
        <v>2022</v>
      </c>
      <c r="D3320" t="s">
        <v>14</v>
      </c>
      <c r="E3320" t="s">
        <v>32</v>
      </c>
      <c r="F3320" t="s">
        <v>40</v>
      </c>
      <c r="G3320" t="s">
        <v>33</v>
      </c>
      <c r="H3320">
        <v>280.48</v>
      </c>
    </row>
    <row r="3321" spans="1:8" x14ac:dyDescent="0.3">
      <c r="A3321">
        <v>202208</v>
      </c>
      <c r="B3321" s="1">
        <v>44774</v>
      </c>
      <c r="C3321">
        <v>2022</v>
      </c>
      <c r="D3321" t="s">
        <v>15</v>
      </c>
      <c r="E3321" t="s">
        <v>32</v>
      </c>
      <c r="F3321" t="s">
        <v>40</v>
      </c>
      <c r="G3321" t="s">
        <v>33</v>
      </c>
      <c r="H3321">
        <v>249.91</v>
      </c>
    </row>
    <row r="3322" spans="1:8" x14ac:dyDescent="0.3">
      <c r="A3322">
        <v>202209</v>
      </c>
      <c r="B3322" s="1">
        <v>44805</v>
      </c>
      <c r="C3322">
        <v>2022</v>
      </c>
      <c r="D3322" t="s">
        <v>16</v>
      </c>
      <c r="E3322" t="s">
        <v>32</v>
      </c>
      <c r="F3322" t="s">
        <v>40</v>
      </c>
      <c r="G3322" t="s">
        <v>33</v>
      </c>
      <c r="H3322">
        <v>239.81</v>
      </c>
    </row>
    <row r="3323" spans="1:8" x14ac:dyDescent="0.3">
      <c r="A3323">
        <v>202210</v>
      </c>
      <c r="B3323" s="1">
        <v>44835</v>
      </c>
      <c r="C3323">
        <v>2022</v>
      </c>
      <c r="D3323" t="s">
        <v>17</v>
      </c>
      <c r="E3323" t="s">
        <v>32</v>
      </c>
      <c r="F3323" t="s">
        <v>40</v>
      </c>
      <c r="G3323" t="s">
        <v>33</v>
      </c>
      <c r="H3323">
        <v>247.95</v>
      </c>
    </row>
    <row r="3324" spans="1:8" x14ac:dyDescent="0.3">
      <c r="A3324">
        <v>202211</v>
      </c>
      <c r="B3324" s="1">
        <v>44866</v>
      </c>
      <c r="C3324">
        <v>2022</v>
      </c>
      <c r="D3324" t="s">
        <v>18</v>
      </c>
      <c r="E3324" t="s">
        <v>32</v>
      </c>
      <c r="F3324" t="s">
        <v>40</v>
      </c>
      <c r="G3324" t="s">
        <v>33</v>
      </c>
      <c r="H3324">
        <v>262.5</v>
      </c>
    </row>
    <row r="3325" spans="1:8" x14ac:dyDescent="0.3">
      <c r="A3325">
        <v>202212</v>
      </c>
      <c r="B3325" s="1">
        <v>44896</v>
      </c>
      <c r="C3325">
        <v>2022</v>
      </c>
      <c r="D3325" t="s">
        <v>19</v>
      </c>
      <c r="E3325" t="s">
        <v>32</v>
      </c>
      <c r="F3325" t="s">
        <v>40</v>
      </c>
      <c r="G3325" t="s">
        <v>33</v>
      </c>
      <c r="H3325">
        <v>226.7</v>
      </c>
    </row>
    <row r="3326" spans="1:8" x14ac:dyDescent="0.3">
      <c r="A3326">
        <v>202201</v>
      </c>
      <c r="B3326" s="1">
        <v>44562</v>
      </c>
      <c r="C3326">
        <v>2022</v>
      </c>
      <c r="D3326" t="s">
        <v>6</v>
      </c>
      <c r="E3326" t="s">
        <v>34</v>
      </c>
      <c r="F3326" t="s">
        <v>40</v>
      </c>
      <c r="G3326" t="s">
        <v>33</v>
      </c>
      <c r="H3326">
        <v>329.83</v>
      </c>
    </row>
    <row r="3327" spans="1:8" x14ac:dyDescent="0.3">
      <c r="A3327">
        <v>202202</v>
      </c>
      <c r="B3327" s="1">
        <v>44593</v>
      </c>
      <c r="C3327">
        <v>2022</v>
      </c>
      <c r="D3327" t="s">
        <v>9</v>
      </c>
      <c r="E3327" t="s">
        <v>34</v>
      </c>
      <c r="F3327" t="s">
        <v>40</v>
      </c>
      <c r="G3327" t="s">
        <v>33</v>
      </c>
      <c r="H3327">
        <v>160.30000000000001</v>
      </c>
    </row>
    <row r="3328" spans="1:8" x14ac:dyDescent="0.3">
      <c r="A3328">
        <v>202203</v>
      </c>
      <c r="B3328" s="1">
        <v>44621</v>
      </c>
      <c r="C3328">
        <v>2022</v>
      </c>
      <c r="D3328" t="s">
        <v>10</v>
      </c>
      <c r="E3328" t="s">
        <v>34</v>
      </c>
      <c r="F3328" t="s">
        <v>40</v>
      </c>
      <c r="G3328" t="s">
        <v>33</v>
      </c>
      <c r="H3328">
        <v>171.45</v>
      </c>
    </row>
    <row r="3329" spans="1:8" x14ac:dyDescent="0.3">
      <c r="A3329">
        <v>202204</v>
      </c>
      <c r="B3329" s="1">
        <v>44652</v>
      </c>
      <c r="C3329">
        <v>2022</v>
      </c>
      <c r="D3329" t="s">
        <v>11</v>
      </c>
      <c r="E3329" t="s">
        <v>34</v>
      </c>
      <c r="F3329" t="s">
        <v>40</v>
      </c>
      <c r="G3329" t="s">
        <v>33</v>
      </c>
      <c r="H3329">
        <v>306.56</v>
      </c>
    </row>
    <row r="3330" spans="1:8" x14ac:dyDescent="0.3">
      <c r="A3330">
        <v>202205</v>
      </c>
      <c r="B3330" s="1">
        <v>44682</v>
      </c>
      <c r="C3330">
        <v>2022</v>
      </c>
      <c r="D3330" t="s">
        <v>12</v>
      </c>
      <c r="E3330" t="s">
        <v>34</v>
      </c>
      <c r="F3330" t="s">
        <v>40</v>
      </c>
      <c r="G3330" t="s">
        <v>33</v>
      </c>
      <c r="H3330">
        <v>183.38</v>
      </c>
    </row>
    <row r="3331" spans="1:8" x14ac:dyDescent="0.3">
      <c r="A3331">
        <v>202206</v>
      </c>
      <c r="B3331" s="1">
        <v>44713</v>
      </c>
      <c r="C3331">
        <v>2022</v>
      </c>
      <c r="D3331" t="s">
        <v>13</v>
      </c>
      <c r="E3331" t="s">
        <v>34</v>
      </c>
      <c r="F3331" t="s">
        <v>40</v>
      </c>
      <c r="G3331" t="s">
        <v>33</v>
      </c>
      <c r="H3331">
        <v>214.6</v>
      </c>
    </row>
    <row r="3332" spans="1:8" x14ac:dyDescent="0.3">
      <c r="A3332">
        <v>202207</v>
      </c>
      <c r="B3332" s="1">
        <v>44743</v>
      </c>
      <c r="C3332">
        <v>2022</v>
      </c>
      <c r="D3332" t="s">
        <v>14</v>
      </c>
      <c r="E3332" t="s">
        <v>34</v>
      </c>
      <c r="F3332" t="s">
        <v>40</v>
      </c>
      <c r="G3332" t="s">
        <v>33</v>
      </c>
      <c r="H3332">
        <v>240.86</v>
      </c>
    </row>
    <row r="3333" spans="1:8" x14ac:dyDescent="0.3">
      <c r="A3333">
        <v>202208</v>
      </c>
      <c r="B3333" s="1">
        <v>44774</v>
      </c>
      <c r="C3333">
        <v>2022</v>
      </c>
      <c r="D3333" t="s">
        <v>15</v>
      </c>
      <c r="E3333" t="s">
        <v>34</v>
      </c>
      <c r="F3333" t="s">
        <v>40</v>
      </c>
      <c r="G3333" t="s">
        <v>33</v>
      </c>
      <c r="H3333">
        <v>211.71</v>
      </c>
    </row>
    <row r="3334" spans="1:8" x14ac:dyDescent="0.3">
      <c r="A3334">
        <v>202209</v>
      </c>
      <c r="B3334" s="1">
        <v>44805</v>
      </c>
      <c r="C3334">
        <v>2022</v>
      </c>
      <c r="D3334" t="s">
        <v>16</v>
      </c>
      <c r="E3334" t="s">
        <v>34</v>
      </c>
      <c r="F3334" t="s">
        <v>40</v>
      </c>
      <c r="G3334" t="s">
        <v>33</v>
      </c>
      <c r="H3334">
        <v>207.68</v>
      </c>
    </row>
    <row r="3335" spans="1:8" x14ac:dyDescent="0.3">
      <c r="A3335">
        <v>202210</v>
      </c>
      <c r="B3335" s="1">
        <v>44835</v>
      </c>
      <c r="C3335">
        <v>2022</v>
      </c>
      <c r="D3335" t="s">
        <v>17</v>
      </c>
      <c r="E3335" t="s">
        <v>34</v>
      </c>
      <c r="F3335" t="s">
        <v>40</v>
      </c>
      <c r="G3335" t="s">
        <v>33</v>
      </c>
      <c r="H3335">
        <v>206.13</v>
      </c>
    </row>
    <row r="3336" spans="1:8" x14ac:dyDescent="0.3">
      <c r="A3336">
        <v>202211</v>
      </c>
      <c r="B3336" s="1">
        <v>44866</v>
      </c>
      <c r="C3336">
        <v>2022</v>
      </c>
      <c r="D3336" t="s">
        <v>18</v>
      </c>
      <c r="E3336" t="s">
        <v>34</v>
      </c>
      <c r="F3336" t="s">
        <v>40</v>
      </c>
      <c r="G3336" t="s">
        <v>33</v>
      </c>
      <c r="H3336">
        <v>272.27</v>
      </c>
    </row>
    <row r="3337" spans="1:8" x14ac:dyDescent="0.3">
      <c r="A3337">
        <v>202212</v>
      </c>
      <c r="B3337" s="1">
        <v>44896</v>
      </c>
      <c r="C3337">
        <v>2022</v>
      </c>
      <c r="D3337" t="s">
        <v>19</v>
      </c>
      <c r="E3337" t="s">
        <v>34</v>
      </c>
      <c r="F3337" t="s">
        <v>40</v>
      </c>
      <c r="G3337" t="s">
        <v>33</v>
      </c>
      <c r="H3337">
        <v>225.47</v>
      </c>
    </row>
    <row r="3338" spans="1:8" x14ac:dyDescent="0.3">
      <c r="A3338">
        <v>202201</v>
      </c>
      <c r="B3338" s="1">
        <v>44562</v>
      </c>
      <c r="C3338">
        <v>2022</v>
      </c>
      <c r="D3338" t="s">
        <v>6</v>
      </c>
      <c r="E3338" t="s">
        <v>34</v>
      </c>
      <c r="F3338" t="s">
        <v>40</v>
      </c>
      <c r="G3338" t="s">
        <v>33</v>
      </c>
      <c r="H3338">
        <v>178.98</v>
      </c>
    </row>
    <row r="3339" spans="1:8" x14ac:dyDescent="0.3">
      <c r="A3339">
        <v>202202</v>
      </c>
      <c r="B3339" s="1">
        <v>44593</v>
      </c>
      <c r="C3339">
        <v>2022</v>
      </c>
      <c r="D3339" t="s">
        <v>9</v>
      </c>
      <c r="E3339" t="s">
        <v>34</v>
      </c>
      <c r="F3339" t="s">
        <v>40</v>
      </c>
      <c r="G3339" t="s">
        <v>33</v>
      </c>
      <c r="H3339">
        <v>137.97</v>
      </c>
    </row>
    <row r="3340" spans="1:8" x14ac:dyDescent="0.3">
      <c r="A3340">
        <v>202203</v>
      </c>
      <c r="B3340" s="1">
        <v>44621</v>
      </c>
      <c r="C3340">
        <v>2022</v>
      </c>
      <c r="D3340" t="s">
        <v>10</v>
      </c>
      <c r="E3340" t="s">
        <v>34</v>
      </c>
      <c r="F3340" t="s">
        <v>40</v>
      </c>
      <c r="G3340" t="s">
        <v>33</v>
      </c>
      <c r="H3340">
        <v>131.88</v>
      </c>
    </row>
    <row r="3341" spans="1:8" x14ac:dyDescent="0.3">
      <c r="A3341">
        <v>202204</v>
      </c>
      <c r="B3341" s="1">
        <v>44652</v>
      </c>
      <c r="C3341">
        <v>2022</v>
      </c>
      <c r="D3341" t="s">
        <v>11</v>
      </c>
      <c r="E3341" t="s">
        <v>34</v>
      </c>
      <c r="F3341" t="s">
        <v>40</v>
      </c>
      <c r="G3341" t="s">
        <v>33</v>
      </c>
      <c r="H3341">
        <v>189.89</v>
      </c>
    </row>
    <row r="3342" spans="1:8" x14ac:dyDescent="0.3">
      <c r="A3342">
        <v>202205</v>
      </c>
      <c r="B3342" s="1">
        <v>44682</v>
      </c>
      <c r="C3342">
        <v>2022</v>
      </c>
      <c r="D3342" t="s">
        <v>12</v>
      </c>
      <c r="E3342" t="s">
        <v>34</v>
      </c>
      <c r="F3342" t="s">
        <v>40</v>
      </c>
      <c r="G3342" t="s">
        <v>33</v>
      </c>
      <c r="H3342">
        <v>134.83000000000001</v>
      </c>
    </row>
    <row r="3343" spans="1:8" x14ac:dyDescent="0.3">
      <c r="A3343">
        <v>202206</v>
      </c>
      <c r="B3343" s="1">
        <v>44713</v>
      </c>
      <c r="C3343">
        <v>2022</v>
      </c>
      <c r="D3343" t="s">
        <v>13</v>
      </c>
      <c r="E3343" t="s">
        <v>34</v>
      </c>
      <c r="F3343" t="s">
        <v>40</v>
      </c>
      <c r="G3343" t="s">
        <v>33</v>
      </c>
      <c r="H3343">
        <v>156.27000000000001</v>
      </c>
    </row>
    <row r="3344" spans="1:8" x14ac:dyDescent="0.3">
      <c r="A3344">
        <v>202207</v>
      </c>
      <c r="B3344" s="1">
        <v>44743</v>
      </c>
      <c r="C3344">
        <v>2022</v>
      </c>
      <c r="D3344" t="s">
        <v>14</v>
      </c>
      <c r="E3344" t="s">
        <v>34</v>
      </c>
      <c r="F3344" t="s">
        <v>40</v>
      </c>
      <c r="G3344" t="s">
        <v>33</v>
      </c>
      <c r="H3344">
        <v>147.68</v>
      </c>
    </row>
    <row r="3345" spans="1:8" x14ac:dyDescent="0.3">
      <c r="A3345">
        <v>202208</v>
      </c>
      <c r="B3345" s="1">
        <v>44774</v>
      </c>
      <c r="C3345">
        <v>2022</v>
      </c>
      <c r="D3345" t="s">
        <v>15</v>
      </c>
      <c r="E3345" t="s">
        <v>34</v>
      </c>
      <c r="F3345" t="s">
        <v>40</v>
      </c>
      <c r="G3345" t="s">
        <v>33</v>
      </c>
      <c r="H3345">
        <v>154.72999999999999</v>
      </c>
    </row>
    <row r="3346" spans="1:8" x14ac:dyDescent="0.3">
      <c r="A3346">
        <v>202209</v>
      </c>
      <c r="B3346" s="1">
        <v>44805</v>
      </c>
      <c r="C3346">
        <v>2022</v>
      </c>
      <c r="D3346" t="s">
        <v>16</v>
      </c>
      <c r="E3346" t="s">
        <v>34</v>
      </c>
      <c r="F3346" t="s">
        <v>40</v>
      </c>
      <c r="G3346" t="s">
        <v>33</v>
      </c>
      <c r="H3346">
        <v>141.08000000000001</v>
      </c>
    </row>
    <row r="3347" spans="1:8" x14ac:dyDescent="0.3">
      <c r="A3347">
        <v>202210</v>
      </c>
      <c r="B3347" s="1">
        <v>44835</v>
      </c>
      <c r="C3347">
        <v>2022</v>
      </c>
      <c r="D3347" t="s">
        <v>17</v>
      </c>
      <c r="E3347" t="s">
        <v>34</v>
      </c>
      <c r="F3347" t="s">
        <v>40</v>
      </c>
      <c r="G3347" t="s">
        <v>33</v>
      </c>
      <c r="H3347">
        <v>173.84</v>
      </c>
    </row>
    <row r="3348" spans="1:8" x14ac:dyDescent="0.3">
      <c r="A3348">
        <v>202211</v>
      </c>
      <c r="B3348" s="1">
        <v>44866</v>
      </c>
      <c r="C3348">
        <v>2022</v>
      </c>
      <c r="D3348" t="s">
        <v>18</v>
      </c>
      <c r="E3348" t="s">
        <v>34</v>
      </c>
      <c r="F3348" t="s">
        <v>40</v>
      </c>
      <c r="G3348" t="s">
        <v>33</v>
      </c>
      <c r="H3348">
        <v>163.49</v>
      </c>
    </row>
    <row r="3349" spans="1:8" x14ac:dyDescent="0.3">
      <c r="A3349">
        <v>202212</v>
      </c>
      <c r="B3349" s="1">
        <v>44896</v>
      </c>
      <c r="C3349">
        <v>2022</v>
      </c>
      <c r="D3349" t="s">
        <v>19</v>
      </c>
      <c r="E3349" t="s">
        <v>34</v>
      </c>
      <c r="F3349" t="s">
        <v>40</v>
      </c>
      <c r="G3349" t="s">
        <v>33</v>
      </c>
      <c r="H3349">
        <v>170.66</v>
      </c>
    </row>
    <row r="3350" spans="1:8" x14ac:dyDescent="0.3">
      <c r="A3350">
        <v>202201</v>
      </c>
      <c r="B3350" s="1">
        <v>44562</v>
      </c>
      <c r="C3350">
        <v>2022</v>
      </c>
      <c r="D3350" t="s">
        <v>6</v>
      </c>
      <c r="E3350" t="s">
        <v>34</v>
      </c>
      <c r="F3350" t="s">
        <v>40</v>
      </c>
      <c r="G3350" t="s">
        <v>33</v>
      </c>
      <c r="H3350">
        <v>159.05000000000001</v>
      </c>
    </row>
    <row r="3351" spans="1:8" x14ac:dyDescent="0.3">
      <c r="A3351">
        <v>202202</v>
      </c>
      <c r="B3351" s="1">
        <v>44593</v>
      </c>
      <c r="C3351">
        <v>2022</v>
      </c>
      <c r="D3351" t="s">
        <v>9</v>
      </c>
      <c r="E3351" t="s">
        <v>34</v>
      </c>
      <c r="F3351" t="s">
        <v>40</v>
      </c>
      <c r="G3351" t="s">
        <v>33</v>
      </c>
      <c r="H3351">
        <v>103.92</v>
      </c>
    </row>
    <row r="3352" spans="1:8" x14ac:dyDescent="0.3">
      <c r="A3352">
        <v>202203</v>
      </c>
      <c r="B3352" s="1">
        <v>44621</v>
      </c>
      <c r="C3352">
        <v>2022</v>
      </c>
      <c r="D3352" t="s">
        <v>10</v>
      </c>
      <c r="E3352" t="s">
        <v>34</v>
      </c>
      <c r="F3352" t="s">
        <v>40</v>
      </c>
      <c r="G3352" t="s">
        <v>33</v>
      </c>
      <c r="H3352">
        <v>106.09</v>
      </c>
    </row>
    <row r="3353" spans="1:8" x14ac:dyDescent="0.3">
      <c r="A3353">
        <v>202204</v>
      </c>
      <c r="B3353" s="1">
        <v>44652</v>
      </c>
      <c r="C3353">
        <v>2022</v>
      </c>
      <c r="D3353" t="s">
        <v>11</v>
      </c>
      <c r="E3353" t="s">
        <v>34</v>
      </c>
      <c r="F3353" t="s">
        <v>40</v>
      </c>
      <c r="G3353" t="s">
        <v>33</v>
      </c>
      <c r="H3353">
        <v>143.44</v>
      </c>
    </row>
    <row r="3354" spans="1:8" x14ac:dyDescent="0.3">
      <c r="A3354">
        <v>202205</v>
      </c>
      <c r="B3354" s="1">
        <v>44682</v>
      </c>
      <c r="C3354">
        <v>2022</v>
      </c>
      <c r="D3354" t="s">
        <v>12</v>
      </c>
      <c r="E3354" t="s">
        <v>34</v>
      </c>
      <c r="F3354" t="s">
        <v>40</v>
      </c>
      <c r="G3354" t="s">
        <v>33</v>
      </c>
      <c r="H3354">
        <v>125.7</v>
      </c>
    </row>
    <row r="3355" spans="1:8" x14ac:dyDescent="0.3">
      <c r="A3355">
        <v>202206</v>
      </c>
      <c r="B3355" s="1">
        <v>44713</v>
      </c>
      <c r="C3355">
        <v>2022</v>
      </c>
      <c r="D3355" t="s">
        <v>13</v>
      </c>
      <c r="E3355" t="s">
        <v>34</v>
      </c>
      <c r="F3355" t="s">
        <v>40</v>
      </c>
      <c r="G3355" t="s">
        <v>33</v>
      </c>
      <c r="H3355">
        <v>115.95</v>
      </c>
    </row>
    <row r="3356" spans="1:8" x14ac:dyDescent="0.3">
      <c r="A3356">
        <v>202207</v>
      </c>
      <c r="B3356" s="1">
        <v>44743</v>
      </c>
      <c r="C3356">
        <v>2022</v>
      </c>
      <c r="D3356" t="s">
        <v>14</v>
      </c>
      <c r="E3356" t="s">
        <v>34</v>
      </c>
      <c r="F3356" t="s">
        <v>40</v>
      </c>
      <c r="G3356" t="s">
        <v>33</v>
      </c>
      <c r="H3356">
        <v>126.6</v>
      </c>
    </row>
    <row r="3357" spans="1:8" x14ac:dyDescent="0.3">
      <c r="A3357">
        <v>202208</v>
      </c>
      <c r="B3357" s="1">
        <v>44774</v>
      </c>
      <c r="C3357">
        <v>2022</v>
      </c>
      <c r="D3357" t="s">
        <v>15</v>
      </c>
      <c r="E3357" t="s">
        <v>34</v>
      </c>
      <c r="F3357" t="s">
        <v>40</v>
      </c>
      <c r="G3357" t="s">
        <v>33</v>
      </c>
      <c r="H3357">
        <v>127.95</v>
      </c>
    </row>
    <row r="3358" spans="1:8" x14ac:dyDescent="0.3">
      <c r="A3358">
        <v>202209</v>
      </c>
      <c r="B3358" s="1">
        <v>44805</v>
      </c>
      <c r="C3358">
        <v>2022</v>
      </c>
      <c r="D3358" t="s">
        <v>16</v>
      </c>
      <c r="E3358" t="s">
        <v>34</v>
      </c>
      <c r="F3358" t="s">
        <v>40</v>
      </c>
      <c r="G3358" t="s">
        <v>33</v>
      </c>
      <c r="H3358">
        <v>124.46</v>
      </c>
    </row>
    <row r="3359" spans="1:8" x14ac:dyDescent="0.3">
      <c r="A3359">
        <v>202210</v>
      </c>
      <c r="B3359" s="1">
        <v>44835</v>
      </c>
      <c r="C3359">
        <v>2022</v>
      </c>
      <c r="D3359" t="s">
        <v>17</v>
      </c>
      <c r="E3359" t="s">
        <v>34</v>
      </c>
      <c r="F3359" t="s">
        <v>40</v>
      </c>
      <c r="G3359" t="s">
        <v>33</v>
      </c>
      <c r="H3359">
        <v>115.78</v>
      </c>
    </row>
    <row r="3360" spans="1:8" x14ac:dyDescent="0.3">
      <c r="A3360">
        <v>202211</v>
      </c>
      <c r="B3360" s="1">
        <v>44866</v>
      </c>
      <c r="C3360">
        <v>2022</v>
      </c>
      <c r="D3360" t="s">
        <v>18</v>
      </c>
      <c r="E3360" t="s">
        <v>34</v>
      </c>
      <c r="F3360" t="s">
        <v>40</v>
      </c>
      <c r="G3360" t="s">
        <v>33</v>
      </c>
      <c r="H3360">
        <v>158.61000000000001</v>
      </c>
    </row>
    <row r="3361" spans="1:8" x14ac:dyDescent="0.3">
      <c r="A3361">
        <v>202212</v>
      </c>
      <c r="B3361" s="1">
        <v>44896</v>
      </c>
      <c r="C3361">
        <v>2022</v>
      </c>
      <c r="D3361" t="s">
        <v>19</v>
      </c>
      <c r="E3361" t="s">
        <v>34</v>
      </c>
      <c r="F3361" t="s">
        <v>40</v>
      </c>
      <c r="G3361" t="s">
        <v>33</v>
      </c>
      <c r="H3361">
        <v>107.37</v>
      </c>
    </row>
    <row r="3362" spans="1:8" x14ac:dyDescent="0.3">
      <c r="A3362">
        <v>202201</v>
      </c>
      <c r="B3362" s="1">
        <v>44562</v>
      </c>
      <c r="C3362">
        <v>2022</v>
      </c>
      <c r="D3362" t="s">
        <v>6</v>
      </c>
      <c r="E3362" t="s">
        <v>34</v>
      </c>
      <c r="F3362" t="s">
        <v>40</v>
      </c>
      <c r="G3362" t="s">
        <v>33</v>
      </c>
      <c r="H3362">
        <v>86.63</v>
      </c>
    </row>
    <row r="3363" spans="1:8" x14ac:dyDescent="0.3">
      <c r="A3363">
        <v>202202</v>
      </c>
      <c r="B3363" s="1">
        <v>44593</v>
      </c>
      <c r="C3363">
        <v>2022</v>
      </c>
      <c r="D3363" t="s">
        <v>9</v>
      </c>
      <c r="E3363" t="s">
        <v>34</v>
      </c>
      <c r="F3363" t="s">
        <v>40</v>
      </c>
      <c r="G3363" t="s">
        <v>33</v>
      </c>
      <c r="H3363">
        <v>55.1</v>
      </c>
    </row>
    <row r="3364" spans="1:8" x14ac:dyDescent="0.3">
      <c r="A3364">
        <v>202203</v>
      </c>
      <c r="B3364" s="1">
        <v>44621</v>
      </c>
      <c r="C3364">
        <v>2022</v>
      </c>
      <c r="D3364" t="s">
        <v>10</v>
      </c>
      <c r="E3364" t="s">
        <v>34</v>
      </c>
      <c r="F3364" t="s">
        <v>40</v>
      </c>
      <c r="G3364" t="s">
        <v>33</v>
      </c>
      <c r="H3364">
        <v>59.28</v>
      </c>
    </row>
    <row r="3365" spans="1:8" x14ac:dyDescent="0.3">
      <c r="A3365">
        <v>202204</v>
      </c>
      <c r="B3365" s="1">
        <v>44652</v>
      </c>
      <c r="C3365">
        <v>2022</v>
      </c>
      <c r="D3365" t="s">
        <v>11</v>
      </c>
      <c r="E3365" t="s">
        <v>34</v>
      </c>
      <c r="F3365" t="s">
        <v>40</v>
      </c>
      <c r="G3365" t="s">
        <v>33</v>
      </c>
      <c r="H3365">
        <v>91.14</v>
      </c>
    </row>
    <row r="3366" spans="1:8" x14ac:dyDescent="0.3">
      <c r="A3366">
        <v>202205</v>
      </c>
      <c r="B3366" s="1">
        <v>44682</v>
      </c>
      <c r="C3366">
        <v>2022</v>
      </c>
      <c r="D3366" t="s">
        <v>12</v>
      </c>
      <c r="E3366" t="s">
        <v>34</v>
      </c>
      <c r="F3366" t="s">
        <v>40</v>
      </c>
      <c r="G3366" t="s">
        <v>33</v>
      </c>
      <c r="H3366">
        <v>68.02</v>
      </c>
    </row>
    <row r="3367" spans="1:8" x14ac:dyDescent="0.3">
      <c r="A3367">
        <v>202206</v>
      </c>
      <c r="B3367" s="1">
        <v>44713</v>
      </c>
      <c r="C3367">
        <v>2022</v>
      </c>
      <c r="D3367" t="s">
        <v>13</v>
      </c>
      <c r="E3367" t="s">
        <v>34</v>
      </c>
      <c r="F3367" t="s">
        <v>40</v>
      </c>
      <c r="G3367" t="s">
        <v>33</v>
      </c>
      <c r="H3367">
        <v>60.39</v>
      </c>
    </row>
    <row r="3368" spans="1:8" x14ac:dyDescent="0.3">
      <c r="A3368">
        <v>202207</v>
      </c>
      <c r="B3368" s="1">
        <v>44743</v>
      </c>
      <c r="C3368">
        <v>2022</v>
      </c>
      <c r="D3368" t="s">
        <v>14</v>
      </c>
      <c r="E3368" t="s">
        <v>34</v>
      </c>
      <c r="F3368" t="s">
        <v>40</v>
      </c>
      <c r="G3368" t="s">
        <v>33</v>
      </c>
      <c r="H3368">
        <v>63.83</v>
      </c>
    </row>
    <row r="3369" spans="1:8" x14ac:dyDescent="0.3">
      <c r="A3369">
        <v>202208</v>
      </c>
      <c r="B3369" s="1">
        <v>44774</v>
      </c>
      <c r="C3369">
        <v>2022</v>
      </c>
      <c r="D3369" t="s">
        <v>15</v>
      </c>
      <c r="E3369" t="s">
        <v>34</v>
      </c>
      <c r="F3369" t="s">
        <v>40</v>
      </c>
      <c r="G3369" t="s">
        <v>33</v>
      </c>
      <c r="H3369">
        <v>69.87</v>
      </c>
    </row>
    <row r="3370" spans="1:8" x14ac:dyDescent="0.3">
      <c r="A3370">
        <v>202209</v>
      </c>
      <c r="B3370" s="1">
        <v>44805</v>
      </c>
      <c r="C3370">
        <v>2022</v>
      </c>
      <c r="D3370" t="s">
        <v>16</v>
      </c>
      <c r="E3370" t="s">
        <v>34</v>
      </c>
      <c r="F3370" t="s">
        <v>40</v>
      </c>
      <c r="G3370" t="s">
        <v>33</v>
      </c>
      <c r="H3370">
        <v>64.78</v>
      </c>
    </row>
    <row r="3371" spans="1:8" x14ac:dyDescent="0.3">
      <c r="A3371">
        <v>202210</v>
      </c>
      <c r="B3371" s="1">
        <v>44835</v>
      </c>
      <c r="C3371">
        <v>2022</v>
      </c>
      <c r="D3371" t="s">
        <v>17</v>
      </c>
      <c r="E3371" t="s">
        <v>34</v>
      </c>
      <c r="F3371" t="s">
        <v>40</v>
      </c>
      <c r="G3371" t="s">
        <v>33</v>
      </c>
      <c r="H3371">
        <v>59.16</v>
      </c>
    </row>
    <row r="3372" spans="1:8" x14ac:dyDescent="0.3">
      <c r="A3372">
        <v>202211</v>
      </c>
      <c r="B3372" s="1">
        <v>44866</v>
      </c>
      <c r="C3372">
        <v>2022</v>
      </c>
      <c r="D3372" t="s">
        <v>18</v>
      </c>
      <c r="E3372" t="s">
        <v>34</v>
      </c>
      <c r="F3372" t="s">
        <v>40</v>
      </c>
      <c r="G3372" t="s">
        <v>33</v>
      </c>
      <c r="H3372">
        <v>70.16</v>
      </c>
    </row>
    <row r="3373" spans="1:8" x14ac:dyDescent="0.3">
      <c r="A3373">
        <v>202212</v>
      </c>
      <c r="B3373" s="1">
        <v>44896</v>
      </c>
      <c r="C3373">
        <v>2022</v>
      </c>
      <c r="D3373" t="s">
        <v>19</v>
      </c>
      <c r="E3373" t="s">
        <v>34</v>
      </c>
      <c r="F3373" t="s">
        <v>40</v>
      </c>
      <c r="G3373" t="s">
        <v>33</v>
      </c>
      <c r="H3373">
        <v>57.32</v>
      </c>
    </row>
    <row r="3374" spans="1:8" x14ac:dyDescent="0.3">
      <c r="A3374">
        <v>202201</v>
      </c>
      <c r="B3374" s="1">
        <v>44562</v>
      </c>
      <c r="C3374">
        <v>2022</v>
      </c>
      <c r="D3374" t="s">
        <v>6</v>
      </c>
      <c r="E3374" t="s">
        <v>34</v>
      </c>
      <c r="F3374" t="s">
        <v>40</v>
      </c>
      <c r="G3374" t="s">
        <v>33</v>
      </c>
      <c r="H3374">
        <v>643.38</v>
      </c>
    </row>
    <row r="3375" spans="1:8" x14ac:dyDescent="0.3">
      <c r="A3375">
        <v>202202</v>
      </c>
      <c r="B3375" s="1">
        <v>44593</v>
      </c>
      <c r="C3375">
        <v>2022</v>
      </c>
      <c r="D3375" t="s">
        <v>9</v>
      </c>
      <c r="E3375" t="s">
        <v>34</v>
      </c>
      <c r="F3375" t="s">
        <v>40</v>
      </c>
      <c r="G3375" t="s">
        <v>33</v>
      </c>
      <c r="H3375">
        <v>417.55</v>
      </c>
    </row>
    <row r="3376" spans="1:8" x14ac:dyDescent="0.3">
      <c r="A3376">
        <v>202203</v>
      </c>
      <c r="B3376" s="1">
        <v>44621</v>
      </c>
      <c r="C3376">
        <v>2022</v>
      </c>
      <c r="D3376" t="s">
        <v>10</v>
      </c>
      <c r="E3376" t="s">
        <v>34</v>
      </c>
      <c r="F3376" t="s">
        <v>40</v>
      </c>
      <c r="G3376" t="s">
        <v>33</v>
      </c>
      <c r="H3376">
        <v>479.45</v>
      </c>
    </row>
    <row r="3377" spans="1:8" x14ac:dyDescent="0.3">
      <c r="A3377">
        <v>202204</v>
      </c>
      <c r="B3377" s="1">
        <v>44652</v>
      </c>
      <c r="C3377">
        <v>2022</v>
      </c>
      <c r="D3377" t="s">
        <v>11</v>
      </c>
      <c r="E3377" t="s">
        <v>34</v>
      </c>
      <c r="F3377" t="s">
        <v>40</v>
      </c>
      <c r="G3377" t="s">
        <v>33</v>
      </c>
      <c r="H3377">
        <v>656.89</v>
      </c>
    </row>
    <row r="3378" spans="1:8" x14ac:dyDescent="0.3">
      <c r="A3378">
        <v>202205</v>
      </c>
      <c r="B3378" s="1">
        <v>44682</v>
      </c>
      <c r="C3378">
        <v>2022</v>
      </c>
      <c r="D3378" t="s">
        <v>12</v>
      </c>
      <c r="E3378" t="s">
        <v>34</v>
      </c>
      <c r="F3378" t="s">
        <v>40</v>
      </c>
      <c r="G3378" t="s">
        <v>33</v>
      </c>
      <c r="H3378">
        <v>610.86</v>
      </c>
    </row>
    <row r="3379" spans="1:8" x14ac:dyDescent="0.3">
      <c r="A3379">
        <v>202206</v>
      </c>
      <c r="B3379" s="1">
        <v>44713</v>
      </c>
      <c r="C3379">
        <v>2022</v>
      </c>
      <c r="D3379" t="s">
        <v>13</v>
      </c>
      <c r="E3379" t="s">
        <v>34</v>
      </c>
      <c r="F3379" t="s">
        <v>40</v>
      </c>
      <c r="G3379" t="s">
        <v>33</v>
      </c>
      <c r="H3379">
        <v>540.95000000000005</v>
      </c>
    </row>
    <row r="3380" spans="1:8" x14ac:dyDescent="0.3">
      <c r="A3380">
        <v>202207</v>
      </c>
      <c r="B3380" s="1">
        <v>44743</v>
      </c>
      <c r="C3380">
        <v>2022</v>
      </c>
      <c r="D3380" t="s">
        <v>14</v>
      </c>
      <c r="E3380" t="s">
        <v>34</v>
      </c>
      <c r="F3380" t="s">
        <v>40</v>
      </c>
      <c r="G3380" t="s">
        <v>33</v>
      </c>
      <c r="H3380">
        <v>551.77</v>
      </c>
    </row>
    <row r="3381" spans="1:8" x14ac:dyDescent="0.3">
      <c r="A3381">
        <v>202208</v>
      </c>
      <c r="B3381" s="1">
        <v>44774</v>
      </c>
      <c r="C3381">
        <v>2022</v>
      </c>
      <c r="D3381" t="s">
        <v>15</v>
      </c>
      <c r="E3381" t="s">
        <v>34</v>
      </c>
      <c r="F3381" t="s">
        <v>40</v>
      </c>
      <c r="G3381" t="s">
        <v>33</v>
      </c>
      <c r="H3381">
        <v>563.29</v>
      </c>
    </row>
    <row r="3382" spans="1:8" x14ac:dyDescent="0.3">
      <c r="A3382">
        <v>202209</v>
      </c>
      <c r="B3382" s="1">
        <v>44805</v>
      </c>
      <c r="C3382">
        <v>2022</v>
      </c>
      <c r="D3382" t="s">
        <v>16</v>
      </c>
      <c r="E3382" t="s">
        <v>34</v>
      </c>
      <c r="F3382" t="s">
        <v>40</v>
      </c>
      <c r="G3382" t="s">
        <v>33</v>
      </c>
      <c r="H3382">
        <v>529.99</v>
      </c>
    </row>
    <row r="3383" spans="1:8" x14ac:dyDescent="0.3">
      <c r="A3383">
        <v>202210</v>
      </c>
      <c r="B3383" s="1">
        <v>44835</v>
      </c>
      <c r="C3383">
        <v>2022</v>
      </c>
      <c r="D3383" t="s">
        <v>17</v>
      </c>
      <c r="E3383" t="s">
        <v>34</v>
      </c>
      <c r="F3383" t="s">
        <v>40</v>
      </c>
      <c r="G3383" t="s">
        <v>33</v>
      </c>
      <c r="H3383">
        <v>656.03</v>
      </c>
    </row>
    <row r="3384" spans="1:8" x14ac:dyDescent="0.3">
      <c r="A3384">
        <v>202211</v>
      </c>
      <c r="B3384" s="1">
        <v>44866</v>
      </c>
      <c r="C3384">
        <v>2022</v>
      </c>
      <c r="D3384" t="s">
        <v>18</v>
      </c>
      <c r="E3384" t="s">
        <v>34</v>
      </c>
      <c r="F3384" t="s">
        <v>40</v>
      </c>
      <c r="G3384" t="s">
        <v>33</v>
      </c>
      <c r="H3384">
        <v>703.62</v>
      </c>
    </row>
    <row r="3385" spans="1:8" x14ac:dyDescent="0.3">
      <c r="A3385">
        <v>202212</v>
      </c>
      <c r="B3385" s="1">
        <v>44896</v>
      </c>
      <c r="C3385">
        <v>2022</v>
      </c>
      <c r="D3385" t="s">
        <v>19</v>
      </c>
      <c r="E3385" t="s">
        <v>34</v>
      </c>
      <c r="F3385" t="s">
        <v>40</v>
      </c>
      <c r="G3385" t="s">
        <v>33</v>
      </c>
      <c r="H3385">
        <v>542.85</v>
      </c>
    </row>
    <row r="3386" spans="1:8" x14ac:dyDescent="0.3">
      <c r="A3386">
        <v>202201</v>
      </c>
      <c r="B3386" s="1">
        <v>44562</v>
      </c>
      <c r="C3386">
        <v>2022</v>
      </c>
      <c r="D3386" t="s">
        <v>6</v>
      </c>
      <c r="E3386" t="s">
        <v>35</v>
      </c>
      <c r="F3386" t="s">
        <v>40</v>
      </c>
      <c r="G3386" t="s">
        <v>33</v>
      </c>
      <c r="H3386">
        <v>367.91</v>
      </c>
    </row>
    <row r="3387" spans="1:8" x14ac:dyDescent="0.3">
      <c r="A3387">
        <v>202202</v>
      </c>
      <c r="B3387" s="1">
        <v>44593</v>
      </c>
      <c r="C3387">
        <v>2022</v>
      </c>
      <c r="D3387" t="s">
        <v>9</v>
      </c>
      <c r="E3387" t="s">
        <v>35</v>
      </c>
      <c r="F3387" t="s">
        <v>40</v>
      </c>
      <c r="G3387" t="s">
        <v>33</v>
      </c>
      <c r="H3387">
        <v>284.42</v>
      </c>
    </row>
    <row r="3388" spans="1:8" x14ac:dyDescent="0.3">
      <c r="A3388">
        <v>202203</v>
      </c>
      <c r="B3388" s="1">
        <v>44621</v>
      </c>
      <c r="C3388">
        <v>2022</v>
      </c>
      <c r="D3388" t="s">
        <v>10</v>
      </c>
      <c r="E3388" t="s">
        <v>35</v>
      </c>
      <c r="F3388" t="s">
        <v>40</v>
      </c>
      <c r="G3388" t="s">
        <v>33</v>
      </c>
      <c r="H3388">
        <v>331.23</v>
      </c>
    </row>
    <row r="3389" spans="1:8" x14ac:dyDescent="0.3">
      <c r="A3389">
        <v>202204</v>
      </c>
      <c r="B3389" s="1">
        <v>44652</v>
      </c>
      <c r="C3389">
        <v>2022</v>
      </c>
      <c r="D3389" t="s">
        <v>11</v>
      </c>
      <c r="E3389" t="s">
        <v>35</v>
      </c>
      <c r="F3389" t="s">
        <v>40</v>
      </c>
      <c r="G3389" t="s">
        <v>33</v>
      </c>
      <c r="H3389">
        <v>447.44</v>
      </c>
    </row>
    <row r="3390" spans="1:8" x14ac:dyDescent="0.3">
      <c r="A3390">
        <v>202205</v>
      </c>
      <c r="B3390" s="1">
        <v>44682</v>
      </c>
      <c r="C3390">
        <v>2022</v>
      </c>
      <c r="D3390" t="s">
        <v>12</v>
      </c>
      <c r="E3390" t="s">
        <v>35</v>
      </c>
      <c r="F3390" t="s">
        <v>40</v>
      </c>
      <c r="G3390" t="s">
        <v>33</v>
      </c>
      <c r="H3390">
        <v>312.38</v>
      </c>
    </row>
    <row r="3391" spans="1:8" x14ac:dyDescent="0.3">
      <c r="A3391">
        <v>202206</v>
      </c>
      <c r="B3391" s="1">
        <v>44713</v>
      </c>
      <c r="C3391">
        <v>2022</v>
      </c>
      <c r="D3391" t="s">
        <v>13</v>
      </c>
      <c r="E3391" t="s">
        <v>35</v>
      </c>
      <c r="F3391" t="s">
        <v>40</v>
      </c>
      <c r="G3391" t="s">
        <v>33</v>
      </c>
      <c r="H3391">
        <v>317.60000000000002</v>
      </c>
    </row>
    <row r="3392" spans="1:8" x14ac:dyDescent="0.3">
      <c r="A3392">
        <v>202207</v>
      </c>
      <c r="B3392" s="1">
        <v>44743</v>
      </c>
      <c r="C3392">
        <v>2022</v>
      </c>
      <c r="D3392" t="s">
        <v>14</v>
      </c>
      <c r="E3392" t="s">
        <v>35</v>
      </c>
      <c r="F3392" t="s">
        <v>40</v>
      </c>
      <c r="G3392" t="s">
        <v>33</v>
      </c>
      <c r="H3392">
        <v>377.77</v>
      </c>
    </row>
    <row r="3393" spans="1:8" x14ac:dyDescent="0.3">
      <c r="A3393">
        <v>202208</v>
      </c>
      <c r="B3393" s="1">
        <v>44774</v>
      </c>
      <c r="C3393">
        <v>2022</v>
      </c>
      <c r="D3393" t="s">
        <v>15</v>
      </c>
      <c r="E3393" t="s">
        <v>35</v>
      </c>
      <c r="F3393" t="s">
        <v>40</v>
      </c>
      <c r="G3393" t="s">
        <v>33</v>
      </c>
      <c r="H3393">
        <v>387.16</v>
      </c>
    </row>
    <row r="3394" spans="1:8" x14ac:dyDescent="0.3">
      <c r="A3394">
        <v>202209</v>
      </c>
      <c r="B3394" s="1">
        <v>44805</v>
      </c>
      <c r="C3394">
        <v>2022</v>
      </c>
      <c r="D3394" t="s">
        <v>16</v>
      </c>
      <c r="E3394" t="s">
        <v>35</v>
      </c>
      <c r="F3394" t="s">
        <v>40</v>
      </c>
      <c r="G3394" t="s">
        <v>33</v>
      </c>
      <c r="H3394">
        <v>343.77</v>
      </c>
    </row>
    <row r="3395" spans="1:8" x14ac:dyDescent="0.3">
      <c r="A3395">
        <v>202210</v>
      </c>
      <c r="B3395" s="1">
        <v>44835</v>
      </c>
      <c r="C3395">
        <v>2022</v>
      </c>
      <c r="D3395" t="s">
        <v>17</v>
      </c>
      <c r="E3395" t="s">
        <v>35</v>
      </c>
      <c r="F3395" t="s">
        <v>40</v>
      </c>
      <c r="G3395" t="s">
        <v>33</v>
      </c>
      <c r="H3395">
        <v>359.95</v>
      </c>
    </row>
    <row r="3396" spans="1:8" x14ac:dyDescent="0.3">
      <c r="A3396">
        <v>202211</v>
      </c>
      <c r="B3396" s="1">
        <v>44866</v>
      </c>
      <c r="C3396">
        <v>2022</v>
      </c>
      <c r="D3396" t="s">
        <v>18</v>
      </c>
      <c r="E3396" t="s">
        <v>35</v>
      </c>
      <c r="F3396" t="s">
        <v>40</v>
      </c>
      <c r="G3396" t="s">
        <v>33</v>
      </c>
      <c r="H3396">
        <v>368.8</v>
      </c>
    </row>
    <row r="3397" spans="1:8" x14ac:dyDescent="0.3">
      <c r="A3397">
        <v>202212</v>
      </c>
      <c r="B3397" s="1">
        <v>44896</v>
      </c>
      <c r="C3397">
        <v>2022</v>
      </c>
      <c r="D3397" t="s">
        <v>19</v>
      </c>
      <c r="E3397" t="s">
        <v>35</v>
      </c>
      <c r="F3397" t="s">
        <v>40</v>
      </c>
      <c r="G3397" t="s">
        <v>33</v>
      </c>
      <c r="H3397">
        <v>315.38</v>
      </c>
    </row>
    <row r="3398" spans="1:8" x14ac:dyDescent="0.3">
      <c r="A3398">
        <v>202201</v>
      </c>
      <c r="B3398" s="1">
        <v>44562</v>
      </c>
      <c r="C3398">
        <v>2022</v>
      </c>
      <c r="D3398" t="s">
        <v>6</v>
      </c>
      <c r="E3398" t="s">
        <v>35</v>
      </c>
      <c r="F3398" t="s">
        <v>40</v>
      </c>
      <c r="G3398" t="s">
        <v>33</v>
      </c>
      <c r="H3398">
        <v>148.53</v>
      </c>
    </row>
    <row r="3399" spans="1:8" x14ac:dyDescent="0.3">
      <c r="A3399">
        <v>202202</v>
      </c>
      <c r="B3399" s="1">
        <v>44593</v>
      </c>
      <c r="C3399">
        <v>2022</v>
      </c>
      <c r="D3399" t="s">
        <v>9</v>
      </c>
      <c r="E3399" t="s">
        <v>35</v>
      </c>
      <c r="F3399" t="s">
        <v>40</v>
      </c>
      <c r="G3399" t="s">
        <v>33</v>
      </c>
      <c r="H3399">
        <v>109.47</v>
      </c>
    </row>
    <row r="3400" spans="1:8" x14ac:dyDescent="0.3">
      <c r="A3400">
        <v>202203</v>
      </c>
      <c r="B3400" s="1">
        <v>44621</v>
      </c>
      <c r="C3400">
        <v>2022</v>
      </c>
      <c r="D3400" t="s">
        <v>10</v>
      </c>
      <c r="E3400" t="s">
        <v>35</v>
      </c>
      <c r="F3400" t="s">
        <v>40</v>
      </c>
      <c r="G3400" t="s">
        <v>33</v>
      </c>
      <c r="H3400">
        <v>96.67</v>
      </c>
    </row>
    <row r="3401" spans="1:8" x14ac:dyDescent="0.3">
      <c r="A3401">
        <v>202204</v>
      </c>
      <c r="B3401" s="1">
        <v>44652</v>
      </c>
      <c r="C3401">
        <v>2022</v>
      </c>
      <c r="D3401" t="s">
        <v>11</v>
      </c>
      <c r="E3401" t="s">
        <v>35</v>
      </c>
      <c r="F3401" t="s">
        <v>40</v>
      </c>
      <c r="G3401" t="s">
        <v>33</v>
      </c>
      <c r="H3401">
        <v>158.62</v>
      </c>
    </row>
    <row r="3402" spans="1:8" x14ac:dyDescent="0.3">
      <c r="A3402">
        <v>202205</v>
      </c>
      <c r="B3402" s="1">
        <v>44682</v>
      </c>
      <c r="C3402">
        <v>2022</v>
      </c>
      <c r="D3402" t="s">
        <v>12</v>
      </c>
      <c r="E3402" t="s">
        <v>35</v>
      </c>
      <c r="F3402" t="s">
        <v>40</v>
      </c>
      <c r="G3402" t="s">
        <v>33</v>
      </c>
      <c r="H3402">
        <v>130.09</v>
      </c>
    </row>
    <row r="3403" spans="1:8" x14ac:dyDescent="0.3">
      <c r="A3403">
        <v>202206</v>
      </c>
      <c r="B3403" s="1">
        <v>44713</v>
      </c>
      <c r="C3403">
        <v>2022</v>
      </c>
      <c r="D3403" t="s">
        <v>13</v>
      </c>
      <c r="E3403" t="s">
        <v>35</v>
      </c>
      <c r="F3403" t="s">
        <v>40</v>
      </c>
      <c r="G3403" t="s">
        <v>33</v>
      </c>
      <c r="H3403">
        <v>131.66</v>
      </c>
    </row>
    <row r="3404" spans="1:8" x14ac:dyDescent="0.3">
      <c r="A3404">
        <v>202207</v>
      </c>
      <c r="B3404" s="1">
        <v>44743</v>
      </c>
      <c r="C3404">
        <v>2022</v>
      </c>
      <c r="D3404" t="s">
        <v>14</v>
      </c>
      <c r="E3404" t="s">
        <v>35</v>
      </c>
      <c r="F3404" t="s">
        <v>40</v>
      </c>
      <c r="G3404" t="s">
        <v>33</v>
      </c>
      <c r="H3404">
        <v>139.22</v>
      </c>
    </row>
    <row r="3405" spans="1:8" x14ac:dyDescent="0.3">
      <c r="A3405">
        <v>202208</v>
      </c>
      <c r="B3405" s="1">
        <v>44774</v>
      </c>
      <c r="C3405">
        <v>2022</v>
      </c>
      <c r="D3405" t="s">
        <v>15</v>
      </c>
      <c r="E3405" t="s">
        <v>35</v>
      </c>
      <c r="F3405" t="s">
        <v>40</v>
      </c>
      <c r="G3405" t="s">
        <v>33</v>
      </c>
      <c r="H3405">
        <v>145.22999999999999</v>
      </c>
    </row>
    <row r="3406" spans="1:8" x14ac:dyDescent="0.3">
      <c r="A3406">
        <v>202209</v>
      </c>
      <c r="B3406" s="1">
        <v>44805</v>
      </c>
      <c r="C3406">
        <v>2022</v>
      </c>
      <c r="D3406" t="s">
        <v>16</v>
      </c>
      <c r="E3406" t="s">
        <v>35</v>
      </c>
      <c r="F3406" t="s">
        <v>40</v>
      </c>
      <c r="G3406" t="s">
        <v>33</v>
      </c>
      <c r="H3406">
        <v>138.27000000000001</v>
      </c>
    </row>
    <row r="3407" spans="1:8" x14ac:dyDescent="0.3">
      <c r="A3407">
        <v>202210</v>
      </c>
      <c r="B3407" s="1">
        <v>44835</v>
      </c>
      <c r="C3407">
        <v>2022</v>
      </c>
      <c r="D3407" t="s">
        <v>17</v>
      </c>
      <c r="E3407" t="s">
        <v>35</v>
      </c>
      <c r="F3407" t="s">
        <v>40</v>
      </c>
      <c r="G3407" t="s">
        <v>33</v>
      </c>
      <c r="H3407">
        <v>125.53</v>
      </c>
    </row>
    <row r="3408" spans="1:8" x14ac:dyDescent="0.3">
      <c r="A3408">
        <v>202211</v>
      </c>
      <c r="B3408" s="1">
        <v>44866</v>
      </c>
      <c r="C3408">
        <v>2022</v>
      </c>
      <c r="D3408" t="s">
        <v>18</v>
      </c>
      <c r="E3408" t="s">
        <v>35</v>
      </c>
      <c r="F3408" t="s">
        <v>40</v>
      </c>
      <c r="G3408" t="s">
        <v>33</v>
      </c>
      <c r="H3408">
        <v>144.38</v>
      </c>
    </row>
    <row r="3409" spans="1:8" x14ac:dyDescent="0.3">
      <c r="A3409">
        <v>202212</v>
      </c>
      <c r="B3409" s="1">
        <v>44896</v>
      </c>
      <c r="C3409">
        <v>2022</v>
      </c>
      <c r="D3409" t="s">
        <v>19</v>
      </c>
      <c r="E3409" t="s">
        <v>35</v>
      </c>
      <c r="F3409" t="s">
        <v>40</v>
      </c>
      <c r="G3409" t="s">
        <v>33</v>
      </c>
      <c r="H3409">
        <v>118.87</v>
      </c>
    </row>
    <row r="3410" spans="1:8" x14ac:dyDescent="0.3">
      <c r="A3410">
        <v>202201</v>
      </c>
      <c r="B3410" s="1">
        <v>44562</v>
      </c>
      <c r="C3410">
        <v>2022</v>
      </c>
      <c r="D3410" t="s">
        <v>6</v>
      </c>
      <c r="E3410" t="s">
        <v>35</v>
      </c>
      <c r="F3410" t="s">
        <v>40</v>
      </c>
      <c r="G3410" t="s">
        <v>33</v>
      </c>
      <c r="H3410">
        <v>94.12</v>
      </c>
    </row>
    <row r="3411" spans="1:8" x14ac:dyDescent="0.3">
      <c r="A3411">
        <v>202202</v>
      </c>
      <c r="B3411" s="1">
        <v>44593</v>
      </c>
      <c r="C3411">
        <v>2022</v>
      </c>
      <c r="D3411" t="s">
        <v>9</v>
      </c>
      <c r="E3411" t="s">
        <v>35</v>
      </c>
      <c r="F3411" t="s">
        <v>40</v>
      </c>
      <c r="G3411" t="s">
        <v>33</v>
      </c>
      <c r="H3411">
        <v>59.3</v>
      </c>
    </row>
    <row r="3412" spans="1:8" x14ac:dyDescent="0.3">
      <c r="A3412">
        <v>202203</v>
      </c>
      <c r="B3412" s="1">
        <v>44621</v>
      </c>
      <c r="C3412">
        <v>2022</v>
      </c>
      <c r="D3412" t="s">
        <v>10</v>
      </c>
      <c r="E3412" t="s">
        <v>35</v>
      </c>
      <c r="F3412" t="s">
        <v>40</v>
      </c>
      <c r="G3412" t="s">
        <v>33</v>
      </c>
      <c r="H3412">
        <v>69.38</v>
      </c>
    </row>
    <row r="3413" spans="1:8" x14ac:dyDescent="0.3">
      <c r="A3413">
        <v>202204</v>
      </c>
      <c r="B3413" s="1">
        <v>44652</v>
      </c>
      <c r="C3413">
        <v>2022</v>
      </c>
      <c r="D3413" t="s">
        <v>11</v>
      </c>
      <c r="E3413" t="s">
        <v>35</v>
      </c>
      <c r="F3413" t="s">
        <v>40</v>
      </c>
      <c r="G3413" t="s">
        <v>33</v>
      </c>
      <c r="H3413">
        <v>88.59</v>
      </c>
    </row>
    <row r="3414" spans="1:8" x14ac:dyDescent="0.3">
      <c r="A3414">
        <v>202205</v>
      </c>
      <c r="B3414" s="1">
        <v>44682</v>
      </c>
      <c r="C3414">
        <v>2022</v>
      </c>
      <c r="D3414" t="s">
        <v>12</v>
      </c>
      <c r="E3414" t="s">
        <v>35</v>
      </c>
      <c r="F3414" t="s">
        <v>40</v>
      </c>
      <c r="G3414" t="s">
        <v>33</v>
      </c>
      <c r="H3414">
        <v>81.62</v>
      </c>
    </row>
    <row r="3415" spans="1:8" x14ac:dyDescent="0.3">
      <c r="A3415">
        <v>202206</v>
      </c>
      <c r="B3415" s="1">
        <v>44713</v>
      </c>
      <c r="C3415">
        <v>2022</v>
      </c>
      <c r="D3415" t="s">
        <v>13</v>
      </c>
      <c r="E3415" t="s">
        <v>35</v>
      </c>
      <c r="F3415" t="s">
        <v>40</v>
      </c>
      <c r="G3415" t="s">
        <v>33</v>
      </c>
      <c r="H3415">
        <v>78.08</v>
      </c>
    </row>
    <row r="3416" spans="1:8" x14ac:dyDescent="0.3">
      <c r="A3416">
        <v>202207</v>
      </c>
      <c r="B3416" s="1">
        <v>44743</v>
      </c>
      <c r="C3416">
        <v>2022</v>
      </c>
      <c r="D3416" t="s">
        <v>14</v>
      </c>
      <c r="E3416" t="s">
        <v>35</v>
      </c>
      <c r="F3416" t="s">
        <v>40</v>
      </c>
      <c r="G3416" t="s">
        <v>33</v>
      </c>
      <c r="H3416">
        <v>117.92</v>
      </c>
    </row>
    <row r="3417" spans="1:8" x14ac:dyDescent="0.3">
      <c r="A3417">
        <v>202208</v>
      </c>
      <c r="B3417" s="1">
        <v>44774</v>
      </c>
      <c r="C3417">
        <v>2022</v>
      </c>
      <c r="D3417" t="s">
        <v>15</v>
      </c>
      <c r="E3417" t="s">
        <v>35</v>
      </c>
      <c r="F3417" t="s">
        <v>40</v>
      </c>
      <c r="G3417" t="s">
        <v>33</v>
      </c>
      <c r="H3417">
        <v>89.95</v>
      </c>
    </row>
    <row r="3418" spans="1:8" x14ac:dyDescent="0.3">
      <c r="A3418">
        <v>202209</v>
      </c>
      <c r="B3418" s="1">
        <v>44805</v>
      </c>
      <c r="C3418">
        <v>2022</v>
      </c>
      <c r="D3418" t="s">
        <v>16</v>
      </c>
      <c r="E3418" t="s">
        <v>35</v>
      </c>
      <c r="F3418" t="s">
        <v>40</v>
      </c>
      <c r="G3418" t="s">
        <v>33</v>
      </c>
      <c r="H3418">
        <v>54.34</v>
      </c>
    </row>
    <row r="3419" spans="1:8" x14ac:dyDescent="0.3">
      <c r="A3419">
        <v>202210</v>
      </c>
      <c r="B3419" s="1">
        <v>44835</v>
      </c>
      <c r="C3419">
        <v>2022</v>
      </c>
      <c r="D3419" t="s">
        <v>17</v>
      </c>
      <c r="E3419" t="s">
        <v>35</v>
      </c>
      <c r="F3419" t="s">
        <v>40</v>
      </c>
      <c r="G3419" t="s">
        <v>33</v>
      </c>
      <c r="H3419">
        <v>78.8</v>
      </c>
    </row>
    <row r="3420" spans="1:8" x14ac:dyDescent="0.3">
      <c r="A3420">
        <v>202211</v>
      </c>
      <c r="B3420" s="1">
        <v>44866</v>
      </c>
      <c r="C3420">
        <v>2022</v>
      </c>
      <c r="D3420" t="s">
        <v>18</v>
      </c>
      <c r="E3420" t="s">
        <v>35</v>
      </c>
      <c r="F3420" t="s">
        <v>40</v>
      </c>
      <c r="G3420" t="s">
        <v>33</v>
      </c>
      <c r="H3420">
        <v>75.2</v>
      </c>
    </row>
    <row r="3421" spans="1:8" x14ac:dyDescent="0.3">
      <c r="A3421">
        <v>202212</v>
      </c>
      <c r="B3421" s="1">
        <v>44896</v>
      </c>
      <c r="C3421">
        <v>2022</v>
      </c>
      <c r="D3421" t="s">
        <v>19</v>
      </c>
      <c r="E3421" t="s">
        <v>35</v>
      </c>
      <c r="F3421" t="s">
        <v>40</v>
      </c>
      <c r="G3421" t="s">
        <v>33</v>
      </c>
      <c r="H3421">
        <v>70.61</v>
      </c>
    </row>
    <row r="3422" spans="1:8" x14ac:dyDescent="0.3">
      <c r="A3422">
        <v>202201</v>
      </c>
      <c r="B3422" s="1">
        <v>44562</v>
      </c>
      <c r="C3422">
        <v>2022</v>
      </c>
      <c r="D3422" t="s">
        <v>6</v>
      </c>
      <c r="E3422" t="s">
        <v>35</v>
      </c>
      <c r="F3422" t="s">
        <v>40</v>
      </c>
      <c r="G3422" t="s">
        <v>33</v>
      </c>
      <c r="H3422">
        <v>1277.8800000000001</v>
      </c>
    </row>
    <row r="3423" spans="1:8" x14ac:dyDescent="0.3">
      <c r="A3423">
        <v>202202</v>
      </c>
      <c r="B3423" s="1">
        <v>44593</v>
      </c>
      <c r="C3423">
        <v>2022</v>
      </c>
      <c r="D3423" t="s">
        <v>9</v>
      </c>
      <c r="E3423" t="s">
        <v>35</v>
      </c>
      <c r="F3423" t="s">
        <v>40</v>
      </c>
      <c r="G3423" t="s">
        <v>33</v>
      </c>
      <c r="H3423">
        <v>845.23</v>
      </c>
    </row>
    <row r="3424" spans="1:8" x14ac:dyDescent="0.3">
      <c r="A3424">
        <v>202203</v>
      </c>
      <c r="B3424" s="1">
        <v>44621</v>
      </c>
      <c r="C3424">
        <v>2022</v>
      </c>
      <c r="D3424" t="s">
        <v>10</v>
      </c>
      <c r="E3424" t="s">
        <v>35</v>
      </c>
      <c r="F3424" t="s">
        <v>40</v>
      </c>
      <c r="G3424" t="s">
        <v>33</v>
      </c>
      <c r="H3424">
        <v>1170.31</v>
      </c>
    </row>
    <row r="3425" spans="1:8" x14ac:dyDescent="0.3">
      <c r="A3425">
        <v>202204</v>
      </c>
      <c r="B3425" s="1">
        <v>44652</v>
      </c>
      <c r="C3425">
        <v>2022</v>
      </c>
      <c r="D3425" t="s">
        <v>11</v>
      </c>
      <c r="E3425" t="s">
        <v>35</v>
      </c>
      <c r="F3425" t="s">
        <v>40</v>
      </c>
      <c r="G3425" t="s">
        <v>33</v>
      </c>
      <c r="H3425">
        <v>1604.63</v>
      </c>
    </row>
    <row r="3426" spans="1:8" x14ac:dyDescent="0.3">
      <c r="A3426">
        <v>202205</v>
      </c>
      <c r="B3426" s="1">
        <v>44682</v>
      </c>
      <c r="C3426">
        <v>2022</v>
      </c>
      <c r="D3426" t="s">
        <v>12</v>
      </c>
      <c r="E3426" t="s">
        <v>35</v>
      </c>
      <c r="F3426" t="s">
        <v>40</v>
      </c>
      <c r="G3426" t="s">
        <v>33</v>
      </c>
      <c r="H3426">
        <v>1262.79</v>
      </c>
    </row>
    <row r="3427" spans="1:8" x14ac:dyDescent="0.3">
      <c r="A3427">
        <v>202206</v>
      </c>
      <c r="B3427" s="1">
        <v>44713</v>
      </c>
      <c r="C3427">
        <v>2022</v>
      </c>
      <c r="D3427" t="s">
        <v>13</v>
      </c>
      <c r="E3427" t="s">
        <v>35</v>
      </c>
      <c r="F3427" t="s">
        <v>40</v>
      </c>
      <c r="G3427" t="s">
        <v>33</v>
      </c>
      <c r="H3427">
        <v>1072.05</v>
      </c>
    </row>
    <row r="3428" spans="1:8" x14ac:dyDescent="0.3">
      <c r="A3428">
        <v>202207</v>
      </c>
      <c r="B3428" s="1">
        <v>44743</v>
      </c>
      <c r="C3428">
        <v>2022</v>
      </c>
      <c r="D3428" t="s">
        <v>14</v>
      </c>
      <c r="E3428" t="s">
        <v>35</v>
      </c>
      <c r="F3428" t="s">
        <v>40</v>
      </c>
      <c r="G3428" t="s">
        <v>33</v>
      </c>
      <c r="H3428">
        <v>1174.6099999999999</v>
      </c>
    </row>
    <row r="3429" spans="1:8" x14ac:dyDescent="0.3">
      <c r="A3429">
        <v>202208</v>
      </c>
      <c r="B3429" s="1">
        <v>44774</v>
      </c>
      <c r="C3429">
        <v>2022</v>
      </c>
      <c r="D3429" t="s">
        <v>15</v>
      </c>
      <c r="E3429" t="s">
        <v>35</v>
      </c>
      <c r="F3429" t="s">
        <v>40</v>
      </c>
      <c r="G3429" t="s">
        <v>33</v>
      </c>
      <c r="H3429">
        <v>1380.81</v>
      </c>
    </row>
    <row r="3430" spans="1:8" x14ac:dyDescent="0.3">
      <c r="A3430">
        <v>202209</v>
      </c>
      <c r="B3430" s="1">
        <v>44805</v>
      </c>
      <c r="C3430">
        <v>2022</v>
      </c>
      <c r="D3430" t="s">
        <v>16</v>
      </c>
      <c r="E3430" t="s">
        <v>35</v>
      </c>
      <c r="F3430" t="s">
        <v>40</v>
      </c>
      <c r="G3430" t="s">
        <v>33</v>
      </c>
      <c r="H3430">
        <v>1241.82</v>
      </c>
    </row>
    <row r="3431" spans="1:8" x14ac:dyDescent="0.3">
      <c r="A3431">
        <v>202210</v>
      </c>
      <c r="B3431" s="1">
        <v>44835</v>
      </c>
      <c r="C3431">
        <v>2022</v>
      </c>
      <c r="D3431" t="s">
        <v>17</v>
      </c>
      <c r="E3431" t="s">
        <v>35</v>
      </c>
      <c r="F3431" t="s">
        <v>40</v>
      </c>
      <c r="G3431" t="s">
        <v>33</v>
      </c>
      <c r="H3431">
        <v>1261.31</v>
      </c>
    </row>
    <row r="3432" spans="1:8" x14ac:dyDescent="0.3">
      <c r="A3432">
        <v>202211</v>
      </c>
      <c r="B3432" s="1">
        <v>44866</v>
      </c>
      <c r="C3432">
        <v>2022</v>
      </c>
      <c r="D3432" t="s">
        <v>18</v>
      </c>
      <c r="E3432" t="s">
        <v>35</v>
      </c>
      <c r="F3432" t="s">
        <v>40</v>
      </c>
      <c r="G3432" t="s">
        <v>33</v>
      </c>
      <c r="H3432">
        <v>1329.03</v>
      </c>
    </row>
    <row r="3433" spans="1:8" x14ac:dyDescent="0.3">
      <c r="A3433">
        <v>202212</v>
      </c>
      <c r="B3433" s="1">
        <v>44896</v>
      </c>
      <c r="C3433">
        <v>2022</v>
      </c>
      <c r="D3433" t="s">
        <v>19</v>
      </c>
      <c r="E3433" t="s">
        <v>35</v>
      </c>
      <c r="F3433" t="s">
        <v>40</v>
      </c>
      <c r="G3433" t="s">
        <v>33</v>
      </c>
      <c r="H3433">
        <v>1346.92</v>
      </c>
    </row>
    <row r="3434" spans="1:8" x14ac:dyDescent="0.3">
      <c r="A3434">
        <v>202201</v>
      </c>
      <c r="B3434" s="1">
        <v>44562</v>
      </c>
      <c r="C3434">
        <v>2022</v>
      </c>
      <c r="D3434" t="s">
        <v>6</v>
      </c>
      <c r="E3434" t="s">
        <v>35</v>
      </c>
      <c r="F3434" t="s">
        <v>40</v>
      </c>
      <c r="G3434" t="s">
        <v>33</v>
      </c>
      <c r="H3434">
        <v>1752.84</v>
      </c>
    </row>
    <row r="3435" spans="1:8" x14ac:dyDescent="0.3">
      <c r="A3435">
        <v>202202</v>
      </c>
      <c r="B3435" s="1">
        <v>44593</v>
      </c>
      <c r="C3435">
        <v>2022</v>
      </c>
      <c r="D3435" t="s">
        <v>9</v>
      </c>
      <c r="E3435" t="s">
        <v>35</v>
      </c>
      <c r="F3435" t="s">
        <v>40</v>
      </c>
      <c r="G3435" t="s">
        <v>33</v>
      </c>
      <c r="H3435">
        <v>901.71</v>
      </c>
    </row>
    <row r="3436" spans="1:8" x14ac:dyDescent="0.3">
      <c r="A3436">
        <v>202203</v>
      </c>
      <c r="B3436" s="1">
        <v>44621</v>
      </c>
      <c r="C3436">
        <v>2022</v>
      </c>
      <c r="D3436" t="s">
        <v>10</v>
      </c>
      <c r="E3436" t="s">
        <v>35</v>
      </c>
      <c r="F3436" t="s">
        <v>40</v>
      </c>
      <c r="G3436" t="s">
        <v>33</v>
      </c>
      <c r="H3436">
        <v>1152.92</v>
      </c>
    </row>
    <row r="3437" spans="1:8" x14ac:dyDescent="0.3">
      <c r="A3437">
        <v>202204</v>
      </c>
      <c r="B3437" s="1">
        <v>44652</v>
      </c>
      <c r="C3437">
        <v>2022</v>
      </c>
      <c r="D3437" t="s">
        <v>11</v>
      </c>
      <c r="E3437" t="s">
        <v>35</v>
      </c>
      <c r="F3437" t="s">
        <v>40</v>
      </c>
      <c r="G3437" t="s">
        <v>33</v>
      </c>
      <c r="H3437">
        <v>1937.95</v>
      </c>
    </row>
    <row r="3438" spans="1:8" x14ac:dyDescent="0.3">
      <c r="A3438">
        <v>202205</v>
      </c>
      <c r="B3438" s="1">
        <v>44682</v>
      </c>
      <c r="C3438">
        <v>2022</v>
      </c>
      <c r="D3438" t="s">
        <v>12</v>
      </c>
      <c r="E3438" t="s">
        <v>35</v>
      </c>
      <c r="F3438" t="s">
        <v>40</v>
      </c>
      <c r="G3438" t="s">
        <v>33</v>
      </c>
      <c r="H3438">
        <v>1775.33</v>
      </c>
    </row>
    <row r="3439" spans="1:8" x14ac:dyDescent="0.3">
      <c r="A3439">
        <v>202206</v>
      </c>
      <c r="B3439" s="1">
        <v>44713</v>
      </c>
      <c r="C3439">
        <v>2022</v>
      </c>
      <c r="D3439" t="s">
        <v>13</v>
      </c>
      <c r="E3439" t="s">
        <v>35</v>
      </c>
      <c r="F3439" t="s">
        <v>40</v>
      </c>
      <c r="G3439" t="s">
        <v>33</v>
      </c>
      <c r="H3439">
        <v>1222.55</v>
      </c>
    </row>
    <row r="3440" spans="1:8" x14ac:dyDescent="0.3">
      <c r="A3440">
        <v>202207</v>
      </c>
      <c r="B3440" s="1">
        <v>44743</v>
      </c>
      <c r="C3440">
        <v>2022</v>
      </c>
      <c r="D3440" t="s">
        <v>14</v>
      </c>
      <c r="E3440" t="s">
        <v>35</v>
      </c>
      <c r="F3440" t="s">
        <v>40</v>
      </c>
      <c r="G3440" t="s">
        <v>33</v>
      </c>
      <c r="H3440">
        <v>1710.88</v>
      </c>
    </row>
    <row r="3441" spans="1:8" x14ac:dyDescent="0.3">
      <c r="A3441">
        <v>202208</v>
      </c>
      <c r="B3441" s="1">
        <v>44774</v>
      </c>
      <c r="C3441">
        <v>2022</v>
      </c>
      <c r="D3441" t="s">
        <v>15</v>
      </c>
      <c r="E3441" t="s">
        <v>35</v>
      </c>
      <c r="F3441" t="s">
        <v>40</v>
      </c>
      <c r="G3441" t="s">
        <v>33</v>
      </c>
      <c r="H3441">
        <v>1731.86</v>
      </c>
    </row>
    <row r="3442" spans="1:8" x14ac:dyDescent="0.3">
      <c r="A3442">
        <v>202209</v>
      </c>
      <c r="B3442" s="1">
        <v>44805</v>
      </c>
      <c r="C3442">
        <v>2022</v>
      </c>
      <c r="D3442" t="s">
        <v>16</v>
      </c>
      <c r="E3442" t="s">
        <v>35</v>
      </c>
      <c r="F3442" t="s">
        <v>40</v>
      </c>
      <c r="G3442" t="s">
        <v>33</v>
      </c>
      <c r="H3442">
        <v>1341.25</v>
      </c>
    </row>
    <row r="3443" spans="1:8" x14ac:dyDescent="0.3">
      <c r="A3443">
        <v>202210</v>
      </c>
      <c r="B3443" s="1">
        <v>44835</v>
      </c>
      <c r="C3443">
        <v>2022</v>
      </c>
      <c r="D3443" t="s">
        <v>17</v>
      </c>
      <c r="E3443" t="s">
        <v>35</v>
      </c>
      <c r="F3443" t="s">
        <v>40</v>
      </c>
      <c r="G3443" t="s">
        <v>33</v>
      </c>
      <c r="H3443">
        <v>1635.7</v>
      </c>
    </row>
    <row r="3444" spans="1:8" x14ac:dyDescent="0.3">
      <c r="A3444">
        <v>202211</v>
      </c>
      <c r="B3444" s="1">
        <v>44866</v>
      </c>
      <c r="C3444">
        <v>2022</v>
      </c>
      <c r="D3444" t="s">
        <v>18</v>
      </c>
      <c r="E3444" t="s">
        <v>35</v>
      </c>
      <c r="F3444" t="s">
        <v>40</v>
      </c>
      <c r="G3444" t="s">
        <v>33</v>
      </c>
      <c r="H3444">
        <v>2035.71</v>
      </c>
    </row>
    <row r="3445" spans="1:8" x14ac:dyDescent="0.3">
      <c r="A3445">
        <v>202212</v>
      </c>
      <c r="B3445" s="1">
        <v>44896</v>
      </c>
      <c r="C3445">
        <v>2022</v>
      </c>
      <c r="D3445" t="s">
        <v>19</v>
      </c>
      <c r="E3445" t="s">
        <v>35</v>
      </c>
      <c r="F3445" t="s">
        <v>40</v>
      </c>
      <c r="G3445" t="s">
        <v>33</v>
      </c>
      <c r="H3445">
        <v>1338.32</v>
      </c>
    </row>
    <row r="3446" spans="1:8" x14ac:dyDescent="0.3">
      <c r="A3446">
        <v>202201</v>
      </c>
      <c r="B3446" s="1">
        <v>44562</v>
      </c>
      <c r="C3446">
        <v>2022</v>
      </c>
      <c r="D3446" t="s">
        <v>6</v>
      </c>
      <c r="E3446" t="s">
        <v>36</v>
      </c>
      <c r="F3446" t="s">
        <v>40</v>
      </c>
      <c r="G3446" t="s">
        <v>33</v>
      </c>
      <c r="H3446">
        <v>172.29</v>
      </c>
    </row>
    <row r="3447" spans="1:8" x14ac:dyDescent="0.3">
      <c r="A3447">
        <v>202202</v>
      </c>
      <c r="B3447" s="1">
        <v>44593</v>
      </c>
      <c r="C3447">
        <v>2022</v>
      </c>
      <c r="D3447" t="s">
        <v>9</v>
      </c>
      <c r="E3447" t="s">
        <v>36</v>
      </c>
      <c r="F3447" t="s">
        <v>40</v>
      </c>
      <c r="G3447" t="s">
        <v>33</v>
      </c>
      <c r="H3447">
        <v>114.2</v>
      </c>
    </row>
    <row r="3448" spans="1:8" x14ac:dyDescent="0.3">
      <c r="A3448">
        <v>202203</v>
      </c>
      <c r="B3448" s="1">
        <v>44621</v>
      </c>
      <c r="C3448">
        <v>2022</v>
      </c>
      <c r="D3448" t="s">
        <v>10</v>
      </c>
      <c r="E3448" t="s">
        <v>36</v>
      </c>
      <c r="F3448" t="s">
        <v>40</v>
      </c>
      <c r="G3448" t="s">
        <v>33</v>
      </c>
      <c r="H3448">
        <v>124.46</v>
      </c>
    </row>
    <row r="3449" spans="1:8" x14ac:dyDescent="0.3">
      <c r="A3449">
        <v>202204</v>
      </c>
      <c r="B3449" s="1">
        <v>44652</v>
      </c>
      <c r="C3449">
        <v>2022</v>
      </c>
      <c r="D3449" t="s">
        <v>11</v>
      </c>
      <c r="E3449" t="s">
        <v>36</v>
      </c>
      <c r="F3449" t="s">
        <v>40</v>
      </c>
      <c r="G3449" t="s">
        <v>33</v>
      </c>
      <c r="H3449">
        <v>205.81</v>
      </c>
    </row>
    <row r="3450" spans="1:8" x14ac:dyDescent="0.3">
      <c r="A3450">
        <v>202205</v>
      </c>
      <c r="B3450" s="1">
        <v>44682</v>
      </c>
      <c r="C3450">
        <v>2022</v>
      </c>
      <c r="D3450" t="s">
        <v>12</v>
      </c>
      <c r="E3450" t="s">
        <v>36</v>
      </c>
      <c r="F3450" t="s">
        <v>40</v>
      </c>
      <c r="G3450" t="s">
        <v>33</v>
      </c>
      <c r="H3450">
        <v>153.03</v>
      </c>
    </row>
    <row r="3451" spans="1:8" x14ac:dyDescent="0.3">
      <c r="A3451">
        <v>202206</v>
      </c>
      <c r="B3451" s="1">
        <v>44713</v>
      </c>
      <c r="C3451">
        <v>2022</v>
      </c>
      <c r="D3451" t="s">
        <v>13</v>
      </c>
      <c r="E3451" t="s">
        <v>36</v>
      </c>
      <c r="F3451" t="s">
        <v>40</v>
      </c>
      <c r="G3451" t="s">
        <v>33</v>
      </c>
      <c r="H3451">
        <v>150.49</v>
      </c>
    </row>
    <row r="3452" spans="1:8" x14ac:dyDescent="0.3">
      <c r="A3452">
        <v>202207</v>
      </c>
      <c r="B3452" s="1">
        <v>44743</v>
      </c>
      <c r="C3452">
        <v>2022</v>
      </c>
      <c r="D3452" t="s">
        <v>14</v>
      </c>
      <c r="E3452" t="s">
        <v>36</v>
      </c>
      <c r="F3452" t="s">
        <v>40</v>
      </c>
      <c r="G3452" t="s">
        <v>33</v>
      </c>
      <c r="H3452">
        <v>171.83</v>
      </c>
    </row>
    <row r="3453" spans="1:8" x14ac:dyDescent="0.3">
      <c r="A3453">
        <v>202208</v>
      </c>
      <c r="B3453" s="1">
        <v>44774</v>
      </c>
      <c r="C3453">
        <v>2022</v>
      </c>
      <c r="D3453" t="s">
        <v>15</v>
      </c>
      <c r="E3453" t="s">
        <v>36</v>
      </c>
      <c r="F3453" t="s">
        <v>40</v>
      </c>
      <c r="G3453" t="s">
        <v>33</v>
      </c>
      <c r="H3453">
        <v>143.56</v>
      </c>
    </row>
    <row r="3454" spans="1:8" x14ac:dyDescent="0.3">
      <c r="A3454">
        <v>202209</v>
      </c>
      <c r="B3454" s="1">
        <v>44805</v>
      </c>
      <c r="C3454">
        <v>2022</v>
      </c>
      <c r="D3454" t="s">
        <v>16</v>
      </c>
      <c r="E3454" t="s">
        <v>36</v>
      </c>
      <c r="F3454" t="s">
        <v>40</v>
      </c>
      <c r="G3454" t="s">
        <v>33</v>
      </c>
      <c r="H3454">
        <v>141.33000000000001</v>
      </c>
    </row>
    <row r="3455" spans="1:8" x14ac:dyDescent="0.3">
      <c r="A3455">
        <v>202210</v>
      </c>
      <c r="B3455" s="1">
        <v>44835</v>
      </c>
      <c r="C3455">
        <v>2022</v>
      </c>
      <c r="D3455" t="s">
        <v>17</v>
      </c>
      <c r="E3455" t="s">
        <v>36</v>
      </c>
      <c r="F3455" t="s">
        <v>40</v>
      </c>
      <c r="G3455" t="s">
        <v>33</v>
      </c>
      <c r="H3455">
        <v>157.07</v>
      </c>
    </row>
    <row r="3456" spans="1:8" x14ac:dyDescent="0.3">
      <c r="A3456">
        <v>202211</v>
      </c>
      <c r="B3456" s="1">
        <v>44866</v>
      </c>
      <c r="C3456">
        <v>2022</v>
      </c>
      <c r="D3456" t="s">
        <v>18</v>
      </c>
      <c r="E3456" t="s">
        <v>36</v>
      </c>
      <c r="F3456" t="s">
        <v>40</v>
      </c>
      <c r="G3456" t="s">
        <v>33</v>
      </c>
      <c r="H3456">
        <v>175.02</v>
      </c>
    </row>
    <row r="3457" spans="1:8" x14ac:dyDescent="0.3">
      <c r="A3457">
        <v>202212</v>
      </c>
      <c r="B3457" s="1">
        <v>44896</v>
      </c>
      <c r="C3457">
        <v>2022</v>
      </c>
      <c r="D3457" t="s">
        <v>19</v>
      </c>
      <c r="E3457" t="s">
        <v>36</v>
      </c>
      <c r="F3457" t="s">
        <v>40</v>
      </c>
      <c r="G3457" t="s">
        <v>33</v>
      </c>
      <c r="H3457">
        <v>143.19</v>
      </c>
    </row>
    <row r="3458" spans="1:8" x14ac:dyDescent="0.3">
      <c r="A3458">
        <v>202201</v>
      </c>
      <c r="B3458" s="1">
        <v>44562</v>
      </c>
      <c r="C3458">
        <v>2022</v>
      </c>
      <c r="D3458" t="s">
        <v>6</v>
      </c>
      <c r="E3458" t="s">
        <v>36</v>
      </c>
      <c r="F3458" t="s">
        <v>40</v>
      </c>
      <c r="G3458" t="s">
        <v>33</v>
      </c>
      <c r="H3458">
        <v>315.35000000000002</v>
      </c>
    </row>
    <row r="3459" spans="1:8" x14ac:dyDescent="0.3">
      <c r="A3459">
        <v>202202</v>
      </c>
      <c r="B3459" s="1">
        <v>44593</v>
      </c>
      <c r="C3459">
        <v>2022</v>
      </c>
      <c r="D3459" t="s">
        <v>9</v>
      </c>
      <c r="E3459" t="s">
        <v>36</v>
      </c>
      <c r="F3459" t="s">
        <v>40</v>
      </c>
      <c r="G3459" t="s">
        <v>33</v>
      </c>
      <c r="H3459">
        <v>176.03</v>
      </c>
    </row>
    <row r="3460" spans="1:8" x14ac:dyDescent="0.3">
      <c r="A3460">
        <v>202203</v>
      </c>
      <c r="B3460" s="1">
        <v>44621</v>
      </c>
      <c r="C3460">
        <v>2022</v>
      </c>
      <c r="D3460" t="s">
        <v>10</v>
      </c>
      <c r="E3460" t="s">
        <v>36</v>
      </c>
      <c r="F3460" t="s">
        <v>40</v>
      </c>
      <c r="G3460" t="s">
        <v>33</v>
      </c>
      <c r="H3460">
        <v>276.95</v>
      </c>
    </row>
    <row r="3461" spans="1:8" x14ac:dyDescent="0.3">
      <c r="A3461">
        <v>202204</v>
      </c>
      <c r="B3461" s="1">
        <v>44652</v>
      </c>
      <c r="C3461">
        <v>2022</v>
      </c>
      <c r="D3461" t="s">
        <v>11</v>
      </c>
      <c r="E3461" t="s">
        <v>36</v>
      </c>
      <c r="F3461" t="s">
        <v>40</v>
      </c>
      <c r="G3461" t="s">
        <v>33</v>
      </c>
      <c r="H3461">
        <v>386.09</v>
      </c>
    </row>
    <row r="3462" spans="1:8" x14ac:dyDescent="0.3">
      <c r="A3462">
        <v>202205</v>
      </c>
      <c r="B3462" s="1">
        <v>44682</v>
      </c>
      <c r="C3462">
        <v>2022</v>
      </c>
      <c r="D3462" t="s">
        <v>12</v>
      </c>
      <c r="E3462" t="s">
        <v>36</v>
      </c>
      <c r="F3462" t="s">
        <v>40</v>
      </c>
      <c r="G3462" t="s">
        <v>33</v>
      </c>
      <c r="H3462">
        <v>319.89999999999998</v>
      </c>
    </row>
    <row r="3463" spans="1:8" x14ac:dyDescent="0.3">
      <c r="A3463">
        <v>202206</v>
      </c>
      <c r="B3463" s="1">
        <v>44713</v>
      </c>
      <c r="C3463">
        <v>2022</v>
      </c>
      <c r="D3463" t="s">
        <v>13</v>
      </c>
      <c r="E3463" t="s">
        <v>36</v>
      </c>
      <c r="F3463" t="s">
        <v>40</v>
      </c>
      <c r="G3463" t="s">
        <v>33</v>
      </c>
      <c r="H3463">
        <v>230.64</v>
      </c>
    </row>
    <row r="3464" spans="1:8" x14ac:dyDescent="0.3">
      <c r="A3464">
        <v>202207</v>
      </c>
      <c r="B3464" s="1">
        <v>44743</v>
      </c>
      <c r="C3464">
        <v>2022</v>
      </c>
      <c r="D3464" t="s">
        <v>14</v>
      </c>
      <c r="E3464" t="s">
        <v>36</v>
      </c>
      <c r="F3464" t="s">
        <v>40</v>
      </c>
      <c r="G3464" t="s">
        <v>33</v>
      </c>
      <c r="H3464">
        <v>276.01</v>
      </c>
    </row>
    <row r="3465" spans="1:8" x14ac:dyDescent="0.3">
      <c r="A3465">
        <v>202208</v>
      </c>
      <c r="B3465" s="1">
        <v>44774</v>
      </c>
      <c r="C3465">
        <v>2022</v>
      </c>
      <c r="D3465" t="s">
        <v>15</v>
      </c>
      <c r="E3465" t="s">
        <v>36</v>
      </c>
      <c r="F3465" t="s">
        <v>40</v>
      </c>
      <c r="G3465" t="s">
        <v>33</v>
      </c>
      <c r="H3465">
        <v>304.60000000000002</v>
      </c>
    </row>
    <row r="3466" spans="1:8" x14ac:dyDescent="0.3">
      <c r="A3466">
        <v>202209</v>
      </c>
      <c r="B3466" s="1">
        <v>44805</v>
      </c>
      <c r="C3466">
        <v>2022</v>
      </c>
      <c r="D3466" t="s">
        <v>16</v>
      </c>
      <c r="E3466" t="s">
        <v>36</v>
      </c>
      <c r="F3466" t="s">
        <v>40</v>
      </c>
      <c r="G3466" t="s">
        <v>33</v>
      </c>
      <c r="H3466">
        <v>216.25</v>
      </c>
    </row>
    <row r="3467" spans="1:8" x14ac:dyDescent="0.3">
      <c r="A3467">
        <v>202210</v>
      </c>
      <c r="B3467" s="1">
        <v>44835</v>
      </c>
      <c r="C3467">
        <v>2022</v>
      </c>
      <c r="D3467" t="s">
        <v>17</v>
      </c>
      <c r="E3467" t="s">
        <v>36</v>
      </c>
      <c r="F3467" t="s">
        <v>40</v>
      </c>
      <c r="G3467" t="s">
        <v>33</v>
      </c>
      <c r="H3467">
        <v>280.08999999999997</v>
      </c>
    </row>
    <row r="3468" spans="1:8" x14ac:dyDescent="0.3">
      <c r="A3468">
        <v>202211</v>
      </c>
      <c r="B3468" s="1">
        <v>44866</v>
      </c>
      <c r="C3468">
        <v>2022</v>
      </c>
      <c r="D3468" t="s">
        <v>18</v>
      </c>
      <c r="E3468" t="s">
        <v>36</v>
      </c>
      <c r="F3468" t="s">
        <v>40</v>
      </c>
      <c r="G3468" t="s">
        <v>33</v>
      </c>
      <c r="H3468">
        <v>287.95</v>
      </c>
    </row>
    <row r="3469" spans="1:8" x14ac:dyDescent="0.3">
      <c r="A3469">
        <v>202212</v>
      </c>
      <c r="B3469" s="1">
        <v>44896</v>
      </c>
      <c r="C3469">
        <v>2022</v>
      </c>
      <c r="D3469" t="s">
        <v>19</v>
      </c>
      <c r="E3469" t="s">
        <v>36</v>
      </c>
      <c r="F3469" t="s">
        <v>40</v>
      </c>
      <c r="G3469" t="s">
        <v>33</v>
      </c>
      <c r="H3469">
        <v>316.58999999999997</v>
      </c>
    </row>
    <row r="3470" spans="1:8" x14ac:dyDescent="0.3">
      <c r="A3470">
        <v>202201</v>
      </c>
      <c r="B3470" s="1">
        <v>44562</v>
      </c>
      <c r="C3470">
        <v>2022</v>
      </c>
      <c r="D3470" t="s">
        <v>6</v>
      </c>
      <c r="E3470" t="s">
        <v>36</v>
      </c>
      <c r="F3470" t="s">
        <v>40</v>
      </c>
      <c r="G3470" t="s">
        <v>33</v>
      </c>
      <c r="H3470">
        <v>177.25</v>
      </c>
    </row>
    <row r="3471" spans="1:8" x14ac:dyDescent="0.3">
      <c r="A3471">
        <v>202202</v>
      </c>
      <c r="B3471" s="1">
        <v>44593</v>
      </c>
      <c r="C3471">
        <v>2022</v>
      </c>
      <c r="D3471" t="s">
        <v>9</v>
      </c>
      <c r="E3471" t="s">
        <v>36</v>
      </c>
      <c r="F3471" t="s">
        <v>40</v>
      </c>
      <c r="G3471" t="s">
        <v>33</v>
      </c>
      <c r="H3471">
        <v>119.98</v>
      </c>
    </row>
    <row r="3472" spans="1:8" x14ac:dyDescent="0.3">
      <c r="A3472">
        <v>202203</v>
      </c>
      <c r="B3472" s="1">
        <v>44621</v>
      </c>
      <c r="C3472">
        <v>2022</v>
      </c>
      <c r="D3472" t="s">
        <v>10</v>
      </c>
      <c r="E3472" t="s">
        <v>36</v>
      </c>
      <c r="F3472" t="s">
        <v>40</v>
      </c>
      <c r="G3472" t="s">
        <v>33</v>
      </c>
      <c r="H3472">
        <v>286.77999999999997</v>
      </c>
    </row>
    <row r="3473" spans="1:8" x14ac:dyDescent="0.3">
      <c r="A3473">
        <v>202204</v>
      </c>
      <c r="B3473" s="1">
        <v>44652</v>
      </c>
      <c r="C3473">
        <v>2022</v>
      </c>
      <c r="D3473" t="s">
        <v>11</v>
      </c>
      <c r="E3473" t="s">
        <v>36</v>
      </c>
      <c r="F3473" t="s">
        <v>40</v>
      </c>
      <c r="G3473" t="s">
        <v>33</v>
      </c>
      <c r="H3473">
        <v>221.86</v>
      </c>
    </row>
    <row r="3474" spans="1:8" x14ac:dyDescent="0.3">
      <c r="A3474">
        <v>202205</v>
      </c>
      <c r="B3474" s="1">
        <v>44682</v>
      </c>
      <c r="C3474">
        <v>2022</v>
      </c>
      <c r="D3474" t="s">
        <v>12</v>
      </c>
      <c r="E3474" t="s">
        <v>36</v>
      </c>
      <c r="F3474" t="s">
        <v>40</v>
      </c>
      <c r="G3474" t="s">
        <v>33</v>
      </c>
      <c r="H3474">
        <v>158.13</v>
      </c>
    </row>
    <row r="3475" spans="1:8" x14ac:dyDescent="0.3">
      <c r="A3475">
        <v>202206</v>
      </c>
      <c r="B3475" s="1">
        <v>44713</v>
      </c>
      <c r="C3475">
        <v>2022</v>
      </c>
      <c r="D3475" t="s">
        <v>13</v>
      </c>
      <c r="E3475" t="s">
        <v>36</v>
      </c>
      <c r="F3475" t="s">
        <v>40</v>
      </c>
      <c r="G3475" t="s">
        <v>33</v>
      </c>
      <c r="H3475">
        <v>192.53</v>
      </c>
    </row>
    <row r="3476" spans="1:8" x14ac:dyDescent="0.3">
      <c r="A3476">
        <v>202207</v>
      </c>
      <c r="B3476" s="1">
        <v>44743</v>
      </c>
      <c r="C3476">
        <v>2022</v>
      </c>
      <c r="D3476" t="s">
        <v>14</v>
      </c>
      <c r="E3476" t="s">
        <v>36</v>
      </c>
      <c r="F3476" t="s">
        <v>40</v>
      </c>
      <c r="G3476" t="s">
        <v>33</v>
      </c>
      <c r="H3476">
        <v>219.98</v>
      </c>
    </row>
    <row r="3477" spans="1:8" x14ac:dyDescent="0.3">
      <c r="A3477">
        <v>202208</v>
      </c>
      <c r="B3477" s="1">
        <v>44774</v>
      </c>
      <c r="C3477">
        <v>2022</v>
      </c>
      <c r="D3477" t="s">
        <v>15</v>
      </c>
      <c r="E3477" t="s">
        <v>36</v>
      </c>
      <c r="F3477" t="s">
        <v>40</v>
      </c>
      <c r="G3477" t="s">
        <v>33</v>
      </c>
      <c r="H3477">
        <v>186.14</v>
      </c>
    </row>
    <row r="3478" spans="1:8" x14ac:dyDescent="0.3">
      <c r="A3478">
        <v>202209</v>
      </c>
      <c r="B3478" s="1">
        <v>44805</v>
      </c>
      <c r="C3478">
        <v>2022</v>
      </c>
      <c r="D3478" t="s">
        <v>16</v>
      </c>
      <c r="E3478" t="s">
        <v>36</v>
      </c>
      <c r="F3478" t="s">
        <v>40</v>
      </c>
      <c r="G3478" t="s">
        <v>33</v>
      </c>
      <c r="H3478">
        <v>157.54</v>
      </c>
    </row>
    <row r="3479" spans="1:8" x14ac:dyDescent="0.3">
      <c r="A3479">
        <v>202210</v>
      </c>
      <c r="B3479" s="1">
        <v>44835</v>
      </c>
      <c r="C3479">
        <v>2022</v>
      </c>
      <c r="D3479" t="s">
        <v>17</v>
      </c>
      <c r="E3479" t="s">
        <v>36</v>
      </c>
      <c r="F3479" t="s">
        <v>40</v>
      </c>
      <c r="G3479" t="s">
        <v>33</v>
      </c>
      <c r="H3479">
        <v>282.52999999999997</v>
      </c>
    </row>
    <row r="3480" spans="1:8" x14ac:dyDescent="0.3">
      <c r="A3480">
        <v>202211</v>
      </c>
      <c r="B3480" s="1">
        <v>44866</v>
      </c>
      <c r="C3480">
        <v>2022</v>
      </c>
      <c r="D3480" t="s">
        <v>18</v>
      </c>
      <c r="E3480" t="s">
        <v>36</v>
      </c>
      <c r="F3480" t="s">
        <v>40</v>
      </c>
      <c r="G3480" t="s">
        <v>33</v>
      </c>
      <c r="H3480">
        <v>192.5</v>
      </c>
    </row>
    <row r="3481" spans="1:8" x14ac:dyDescent="0.3">
      <c r="A3481">
        <v>202212</v>
      </c>
      <c r="B3481" s="1">
        <v>44896</v>
      </c>
      <c r="C3481">
        <v>2022</v>
      </c>
      <c r="D3481" t="s">
        <v>19</v>
      </c>
      <c r="E3481" t="s">
        <v>36</v>
      </c>
      <c r="F3481" t="s">
        <v>40</v>
      </c>
      <c r="G3481" t="s">
        <v>33</v>
      </c>
      <c r="H3481">
        <v>180.14</v>
      </c>
    </row>
    <row r="3482" spans="1:8" x14ac:dyDescent="0.3">
      <c r="A3482">
        <v>202201</v>
      </c>
      <c r="B3482" s="1">
        <v>44562</v>
      </c>
      <c r="C3482">
        <v>2022</v>
      </c>
      <c r="D3482" t="s">
        <v>6</v>
      </c>
      <c r="E3482" t="s">
        <v>36</v>
      </c>
      <c r="F3482" t="s">
        <v>40</v>
      </c>
      <c r="G3482" t="s">
        <v>33</v>
      </c>
      <c r="H3482">
        <v>116.77</v>
      </c>
    </row>
    <row r="3483" spans="1:8" x14ac:dyDescent="0.3">
      <c r="A3483">
        <v>202202</v>
      </c>
      <c r="B3483" s="1">
        <v>44593</v>
      </c>
      <c r="C3483">
        <v>2022</v>
      </c>
      <c r="D3483" t="s">
        <v>9</v>
      </c>
      <c r="E3483" t="s">
        <v>36</v>
      </c>
      <c r="F3483" t="s">
        <v>40</v>
      </c>
      <c r="G3483" t="s">
        <v>33</v>
      </c>
      <c r="H3483">
        <v>101.76</v>
      </c>
    </row>
    <row r="3484" spans="1:8" x14ac:dyDescent="0.3">
      <c r="A3484">
        <v>202203</v>
      </c>
      <c r="B3484" s="1">
        <v>44621</v>
      </c>
      <c r="C3484">
        <v>2022</v>
      </c>
      <c r="D3484" t="s">
        <v>10</v>
      </c>
      <c r="E3484" t="s">
        <v>36</v>
      </c>
      <c r="F3484" t="s">
        <v>40</v>
      </c>
      <c r="G3484" t="s">
        <v>33</v>
      </c>
      <c r="H3484">
        <v>95.65</v>
      </c>
    </row>
    <row r="3485" spans="1:8" x14ac:dyDescent="0.3">
      <c r="A3485">
        <v>202204</v>
      </c>
      <c r="B3485" s="1">
        <v>44652</v>
      </c>
      <c r="C3485">
        <v>2022</v>
      </c>
      <c r="D3485" t="s">
        <v>11</v>
      </c>
      <c r="E3485" t="s">
        <v>36</v>
      </c>
      <c r="F3485" t="s">
        <v>40</v>
      </c>
      <c r="G3485" t="s">
        <v>33</v>
      </c>
      <c r="H3485">
        <v>153.34</v>
      </c>
    </row>
    <row r="3486" spans="1:8" x14ac:dyDescent="0.3">
      <c r="A3486">
        <v>202205</v>
      </c>
      <c r="B3486" s="1">
        <v>44682</v>
      </c>
      <c r="C3486">
        <v>2022</v>
      </c>
      <c r="D3486" t="s">
        <v>12</v>
      </c>
      <c r="E3486" t="s">
        <v>36</v>
      </c>
      <c r="F3486" t="s">
        <v>40</v>
      </c>
      <c r="G3486" t="s">
        <v>33</v>
      </c>
      <c r="H3486">
        <v>89.05</v>
      </c>
    </row>
    <row r="3487" spans="1:8" x14ac:dyDescent="0.3">
      <c r="A3487">
        <v>202206</v>
      </c>
      <c r="B3487" s="1">
        <v>44713</v>
      </c>
      <c r="C3487">
        <v>2022</v>
      </c>
      <c r="D3487" t="s">
        <v>13</v>
      </c>
      <c r="E3487" t="s">
        <v>36</v>
      </c>
      <c r="F3487" t="s">
        <v>40</v>
      </c>
      <c r="G3487" t="s">
        <v>33</v>
      </c>
      <c r="H3487">
        <v>114.32</v>
      </c>
    </row>
    <row r="3488" spans="1:8" x14ac:dyDescent="0.3">
      <c r="A3488">
        <v>202207</v>
      </c>
      <c r="B3488" s="1">
        <v>44743</v>
      </c>
      <c r="C3488">
        <v>2022</v>
      </c>
      <c r="D3488" t="s">
        <v>14</v>
      </c>
      <c r="E3488" t="s">
        <v>36</v>
      </c>
      <c r="F3488" t="s">
        <v>40</v>
      </c>
      <c r="G3488" t="s">
        <v>33</v>
      </c>
      <c r="H3488">
        <v>108.62</v>
      </c>
    </row>
    <row r="3489" spans="1:8" x14ac:dyDescent="0.3">
      <c r="A3489">
        <v>202208</v>
      </c>
      <c r="B3489" s="1">
        <v>44774</v>
      </c>
      <c r="C3489">
        <v>2022</v>
      </c>
      <c r="D3489" t="s">
        <v>15</v>
      </c>
      <c r="E3489" t="s">
        <v>36</v>
      </c>
      <c r="F3489" t="s">
        <v>40</v>
      </c>
      <c r="G3489" t="s">
        <v>33</v>
      </c>
      <c r="H3489">
        <v>133.88</v>
      </c>
    </row>
    <row r="3490" spans="1:8" x14ac:dyDescent="0.3">
      <c r="A3490">
        <v>202209</v>
      </c>
      <c r="B3490" s="1">
        <v>44805</v>
      </c>
      <c r="C3490">
        <v>2022</v>
      </c>
      <c r="D3490" t="s">
        <v>16</v>
      </c>
      <c r="E3490" t="s">
        <v>36</v>
      </c>
      <c r="F3490" t="s">
        <v>40</v>
      </c>
      <c r="G3490" t="s">
        <v>33</v>
      </c>
      <c r="H3490">
        <v>105.21</v>
      </c>
    </row>
    <row r="3491" spans="1:8" x14ac:dyDescent="0.3">
      <c r="A3491">
        <v>202210</v>
      </c>
      <c r="B3491" s="1">
        <v>44835</v>
      </c>
      <c r="C3491">
        <v>2022</v>
      </c>
      <c r="D3491" t="s">
        <v>17</v>
      </c>
      <c r="E3491" t="s">
        <v>36</v>
      </c>
      <c r="F3491" t="s">
        <v>40</v>
      </c>
      <c r="G3491" t="s">
        <v>33</v>
      </c>
      <c r="H3491">
        <v>110.6</v>
      </c>
    </row>
    <row r="3492" spans="1:8" x14ac:dyDescent="0.3">
      <c r="A3492">
        <v>202211</v>
      </c>
      <c r="B3492" s="1">
        <v>44866</v>
      </c>
      <c r="C3492">
        <v>2022</v>
      </c>
      <c r="D3492" t="s">
        <v>18</v>
      </c>
      <c r="E3492" t="s">
        <v>36</v>
      </c>
      <c r="F3492" t="s">
        <v>40</v>
      </c>
      <c r="G3492" t="s">
        <v>33</v>
      </c>
      <c r="H3492">
        <v>105.59</v>
      </c>
    </row>
    <row r="3493" spans="1:8" x14ac:dyDescent="0.3">
      <c r="A3493">
        <v>202212</v>
      </c>
      <c r="B3493" s="1">
        <v>44896</v>
      </c>
      <c r="C3493">
        <v>2022</v>
      </c>
      <c r="D3493" t="s">
        <v>19</v>
      </c>
      <c r="E3493" t="s">
        <v>36</v>
      </c>
      <c r="F3493" t="s">
        <v>40</v>
      </c>
      <c r="G3493" t="s">
        <v>33</v>
      </c>
      <c r="H3493">
        <v>117.04</v>
      </c>
    </row>
    <row r="3494" spans="1:8" x14ac:dyDescent="0.3">
      <c r="A3494">
        <v>202201</v>
      </c>
      <c r="B3494" s="1">
        <v>44562</v>
      </c>
      <c r="C3494">
        <v>2022</v>
      </c>
      <c r="D3494" t="s">
        <v>6</v>
      </c>
      <c r="E3494" t="s">
        <v>37</v>
      </c>
      <c r="F3494" t="s">
        <v>40</v>
      </c>
      <c r="G3494" t="s">
        <v>33</v>
      </c>
      <c r="H3494">
        <v>286.85000000000002</v>
      </c>
    </row>
    <row r="3495" spans="1:8" x14ac:dyDescent="0.3">
      <c r="A3495">
        <v>202202</v>
      </c>
      <c r="B3495" s="1">
        <v>44593</v>
      </c>
      <c r="C3495">
        <v>2022</v>
      </c>
      <c r="D3495" t="s">
        <v>9</v>
      </c>
      <c r="E3495" t="s">
        <v>37</v>
      </c>
      <c r="F3495" t="s">
        <v>40</v>
      </c>
      <c r="G3495" t="s">
        <v>33</v>
      </c>
      <c r="H3495">
        <v>161.47999999999999</v>
      </c>
    </row>
    <row r="3496" spans="1:8" x14ac:dyDescent="0.3">
      <c r="A3496">
        <v>202203</v>
      </c>
      <c r="B3496" s="1">
        <v>44621</v>
      </c>
      <c r="C3496">
        <v>2022</v>
      </c>
      <c r="D3496" t="s">
        <v>10</v>
      </c>
      <c r="E3496" t="s">
        <v>37</v>
      </c>
      <c r="F3496" t="s">
        <v>40</v>
      </c>
      <c r="G3496" t="s">
        <v>33</v>
      </c>
      <c r="H3496">
        <v>227.85</v>
      </c>
    </row>
    <row r="3497" spans="1:8" x14ac:dyDescent="0.3">
      <c r="A3497">
        <v>202204</v>
      </c>
      <c r="B3497" s="1">
        <v>44652</v>
      </c>
      <c r="C3497">
        <v>2022</v>
      </c>
      <c r="D3497" t="s">
        <v>11</v>
      </c>
      <c r="E3497" t="s">
        <v>37</v>
      </c>
      <c r="F3497" t="s">
        <v>40</v>
      </c>
      <c r="G3497" t="s">
        <v>33</v>
      </c>
      <c r="H3497">
        <v>266.87</v>
      </c>
    </row>
    <row r="3498" spans="1:8" x14ac:dyDescent="0.3">
      <c r="A3498">
        <v>202205</v>
      </c>
      <c r="B3498" s="1">
        <v>44682</v>
      </c>
      <c r="C3498">
        <v>2022</v>
      </c>
      <c r="D3498" t="s">
        <v>12</v>
      </c>
      <c r="E3498" t="s">
        <v>37</v>
      </c>
      <c r="F3498" t="s">
        <v>40</v>
      </c>
      <c r="G3498" t="s">
        <v>33</v>
      </c>
      <c r="H3498">
        <v>239.49</v>
      </c>
    </row>
    <row r="3499" spans="1:8" x14ac:dyDescent="0.3">
      <c r="A3499">
        <v>202206</v>
      </c>
      <c r="B3499" s="1">
        <v>44713</v>
      </c>
      <c r="C3499">
        <v>2022</v>
      </c>
      <c r="D3499" t="s">
        <v>13</v>
      </c>
      <c r="E3499" t="s">
        <v>37</v>
      </c>
      <c r="F3499" t="s">
        <v>40</v>
      </c>
      <c r="G3499" t="s">
        <v>33</v>
      </c>
      <c r="H3499">
        <v>221.36</v>
      </c>
    </row>
    <row r="3500" spans="1:8" x14ac:dyDescent="0.3">
      <c r="A3500">
        <v>202207</v>
      </c>
      <c r="B3500" s="1">
        <v>44743</v>
      </c>
      <c r="C3500">
        <v>2022</v>
      </c>
      <c r="D3500" t="s">
        <v>14</v>
      </c>
      <c r="E3500" t="s">
        <v>37</v>
      </c>
      <c r="F3500" t="s">
        <v>40</v>
      </c>
      <c r="G3500" t="s">
        <v>33</v>
      </c>
      <c r="H3500">
        <v>232.91</v>
      </c>
    </row>
    <row r="3501" spans="1:8" x14ac:dyDescent="0.3">
      <c r="A3501">
        <v>202208</v>
      </c>
      <c r="B3501" s="1">
        <v>44774</v>
      </c>
      <c r="C3501">
        <v>2022</v>
      </c>
      <c r="D3501" t="s">
        <v>15</v>
      </c>
      <c r="E3501" t="s">
        <v>37</v>
      </c>
      <c r="F3501" t="s">
        <v>40</v>
      </c>
      <c r="G3501" t="s">
        <v>33</v>
      </c>
      <c r="H3501">
        <v>286.76</v>
      </c>
    </row>
    <row r="3502" spans="1:8" x14ac:dyDescent="0.3">
      <c r="A3502">
        <v>202209</v>
      </c>
      <c r="B3502" s="1">
        <v>44805</v>
      </c>
      <c r="C3502">
        <v>2022</v>
      </c>
      <c r="D3502" t="s">
        <v>16</v>
      </c>
      <c r="E3502" t="s">
        <v>37</v>
      </c>
      <c r="F3502" t="s">
        <v>40</v>
      </c>
      <c r="G3502" t="s">
        <v>33</v>
      </c>
      <c r="H3502">
        <v>265.77</v>
      </c>
    </row>
    <row r="3503" spans="1:8" x14ac:dyDescent="0.3">
      <c r="A3503">
        <v>202210</v>
      </c>
      <c r="B3503" s="1">
        <v>44835</v>
      </c>
      <c r="C3503">
        <v>2022</v>
      </c>
      <c r="D3503" t="s">
        <v>17</v>
      </c>
      <c r="E3503" t="s">
        <v>37</v>
      </c>
      <c r="F3503" t="s">
        <v>40</v>
      </c>
      <c r="G3503" t="s">
        <v>33</v>
      </c>
      <c r="H3503">
        <v>265.58999999999997</v>
      </c>
    </row>
    <row r="3504" spans="1:8" x14ac:dyDescent="0.3">
      <c r="A3504">
        <v>202211</v>
      </c>
      <c r="B3504" s="1">
        <v>44866</v>
      </c>
      <c r="C3504">
        <v>2022</v>
      </c>
      <c r="D3504" t="s">
        <v>18</v>
      </c>
      <c r="E3504" t="s">
        <v>37</v>
      </c>
      <c r="F3504" t="s">
        <v>40</v>
      </c>
      <c r="G3504" t="s">
        <v>33</v>
      </c>
      <c r="H3504">
        <v>353.62</v>
      </c>
    </row>
    <row r="3505" spans="1:8" x14ac:dyDescent="0.3">
      <c r="A3505">
        <v>202212</v>
      </c>
      <c r="B3505" s="1">
        <v>44896</v>
      </c>
      <c r="C3505">
        <v>2022</v>
      </c>
      <c r="D3505" t="s">
        <v>19</v>
      </c>
      <c r="E3505" t="s">
        <v>37</v>
      </c>
      <c r="F3505" t="s">
        <v>40</v>
      </c>
      <c r="G3505" t="s">
        <v>33</v>
      </c>
      <c r="H3505">
        <v>169.85</v>
      </c>
    </row>
    <row r="3506" spans="1:8" x14ac:dyDescent="0.3">
      <c r="A3506">
        <v>202201</v>
      </c>
      <c r="B3506" s="1">
        <v>44562</v>
      </c>
      <c r="C3506">
        <v>2022</v>
      </c>
      <c r="D3506" t="s">
        <v>6</v>
      </c>
      <c r="E3506" t="s">
        <v>37</v>
      </c>
      <c r="F3506" t="s">
        <v>40</v>
      </c>
      <c r="G3506" t="s">
        <v>33</v>
      </c>
      <c r="H3506">
        <v>148.21</v>
      </c>
    </row>
    <row r="3507" spans="1:8" x14ac:dyDescent="0.3">
      <c r="A3507">
        <v>202202</v>
      </c>
      <c r="B3507" s="1">
        <v>44593</v>
      </c>
      <c r="C3507">
        <v>2022</v>
      </c>
      <c r="D3507" t="s">
        <v>9</v>
      </c>
      <c r="E3507" t="s">
        <v>37</v>
      </c>
      <c r="F3507" t="s">
        <v>40</v>
      </c>
      <c r="G3507" t="s">
        <v>33</v>
      </c>
      <c r="H3507">
        <v>87.05</v>
      </c>
    </row>
    <row r="3508" spans="1:8" x14ac:dyDescent="0.3">
      <c r="A3508">
        <v>202203</v>
      </c>
      <c r="B3508" s="1">
        <v>44621</v>
      </c>
      <c r="C3508">
        <v>2022</v>
      </c>
      <c r="D3508" t="s">
        <v>10</v>
      </c>
      <c r="E3508" t="s">
        <v>37</v>
      </c>
      <c r="F3508" t="s">
        <v>40</v>
      </c>
      <c r="G3508" t="s">
        <v>33</v>
      </c>
      <c r="H3508">
        <v>100.31</v>
      </c>
    </row>
    <row r="3509" spans="1:8" x14ac:dyDescent="0.3">
      <c r="A3509">
        <v>202204</v>
      </c>
      <c r="B3509" s="1">
        <v>44652</v>
      </c>
      <c r="C3509">
        <v>2022</v>
      </c>
      <c r="D3509" t="s">
        <v>11</v>
      </c>
      <c r="E3509" t="s">
        <v>37</v>
      </c>
      <c r="F3509" t="s">
        <v>40</v>
      </c>
      <c r="G3509" t="s">
        <v>33</v>
      </c>
      <c r="H3509">
        <v>161.63</v>
      </c>
    </row>
    <row r="3510" spans="1:8" x14ac:dyDescent="0.3">
      <c r="A3510">
        <v>202205</v>
      </c>
      <c r="B3510" s="1">
        <v>44682</v>
      </c>
      <c r="C3510">
        <v>2022</v>
      </c>
      <c r="D3510" t="s">
        <v>12</v>
      </c>
      <c r="E3510" t="s">
        <v>37</v>
      </c>
      <c r="F3510" t="s">
        <v>40</v>
      </c>
      <c r="G3510" t="s">
        <v>33</v>
      </c>
      <c r="H3510">
        <v>112.17</v>
      </c>
    </row>
    <row r="3511" spans="1:8" x14ac:dyDescent="0.3">
      <c r="A3511">
        <v>202206</v>
      </c>
      <c r="B3511" s="1">
        <v>44713</v>
      </c>
      <c r="C3511">
        <v>2022</v>
      </c>
      <c r="D3511" t="s">
        <v>13</v>
      </c>
      <c r="E3511" t="s">
        <v>37</v>
      </c>
      <c r="F3511" t="s">
        <v>40</v>
      </c>
      <c r="G3511" t="s">
        <v>33</v>
      </c>
      <c r="H3511">
        <v>106.1</v>
      </c>
    </row>
    <row r="3512" spans="1:8" x14ac:dyDescent="0.3">
      <c r="A3512">
        <v>202207</v>
      </c>
      <c r="B3512" s="1">
        <v>44743</v>
      </c>
      <c r="C3512">
        <v>2022</v>
      </c>
      <c r="D3512" t="s">
        <v>14</v>
      </c>
      <c r="E3512" t="s">
        <v>37</v>
      </c>
      <c r="F3512" t="s">
        <v>40</v>
      </c>
      <c r="G3512" t="s">
        <v>33</v>
      </c>
      <c r="H3512">
        <v>134.21</v>
      </c>
    </row>
    <row r="3513" spans="1:8" x14ac:dyDescent="0.3">
      <c r="A3513">
        <v>202208</v>
      </c>
      <c r="B3513" s="1">
        <v>44774</v>
      </c>
      <c r="C3513">
        <v>2022</v>
      </c>
      <c r="D3513" t="s">
        <v>15</v>
      </c>
      <c r="E3513" t="s">
        <v>37</v>
      </c>
      <c r="F3513" t="s">
        <v>40</v>
      </c>
      <c r="G3513" t="s">
        <v>33</v>
      </c>
      <c r="H3513">
        <v>112.26</v>
      </c>
    </row>
    <row r="3514" spans="1:8" x14ac:dyDescent="0.3">
      <c r="A3514">
        <v>202209</v>
      </c>
      <c r="B3514" s="1">
        <v>44805</v>
      </c>
      <c r="C3514">
        <v>2022</v>
      </c>
      <c r="D3514" t="s">
        <v>16</v>
      </c>
      <c r="E3514" t="s">
        <v>37</v>
      </c>
      <c r="F3514" t="s">
        <v>40</v>
      </c>
      <c r="G3514" t="s">
        <v>33</v>
      </c>
      <c r="H3514">
        <v>118.6</v>
      </c>
    </row>
    <row r="3515" spans="1:8" x14ac:dyDescent="0.3">
      <c r="A3515">
        <v>202210</v>
      </c>
      <c r="B3515" s="1">
        <v>44835</v>
      </c>
      <c r="C3515">
        <v>2022</v>
      </c>
      <c r="D3515" t="s">
        <v>17</v>
      </c>
      <c r="E3515" t="s">
        <v>37</v>
      </c>
      <c r="F3515" t="s">
        <v>40</v>
      </c>
      <c r="G3515" t="s">
        <v>33</v>
      </c>
      <c r="H3515">
        <v>123.85</v>
      </c>
    </row>
    <row r="3516" spans="1:8" x14ac:dyDescent="0.3">
      <c r="A3516">
        <v>202211</v>
      </c>
      <c r="B3516" s="1">
        <v>44866</v>
      </c>
      <c r="C3516">
        <v>2022</v>
      </c>
      <c r="D3516" t="s">
        <v>18</v>
      </c>
      <c r="E3516" t="s">
        <v>37</v>
      </c>
      <c r="F3516" t="s">
        <v>40</v>
      </c>
      <c r="G3516" t="s">
        <v>33</v>
      </c>
      <c r="H3516">
        <v>145.06</v>
      </c>
    </row>
    <row r="3517" spans="1:8" x14ac:dyDescent="0.3">
      <c r="A3517">
        <v>202212</v>
      </c>
      <c r="B3517" s="1">
        <v>44896</v>
      </c>
      <c r="C3517">
        <v>2022</v>
      </c>
      <c r="D3517" t="s">
        <v>19</v>
      </c>
      <c r="E3517" t="s">
        <v>37</v>
      </c>
      <c r="F3517" t="s">
        <v>40</v>
      </c>
      <c r="G3517" t="s">
        <v>33</v>
      </c>
      <c r="H3517">
        <v>102.42</v>
      </c>
    </row>
    <row r="3518" spans="1:8" x14ac:dyDescent="0.3">
      <c r="A3518">
        <v>202201</v>
      </c>
      <c r="B3518" s="1">
        <v>44562</v>
      </c>
      <c r="C3518">
        <v>2022</v>
      </c>
      <c r="D3518" t="s">
        <v>6</v>
      </c>
      <c r="E3518" t="s">
        <v>37</v>
      </c>
      <c r="F3518" t="s">
        <v>40</v>
      </c>
      <c r="G3518" t="s">
        <v>33</v>
      </c>
      <c r="H3518">
        <v>123.86</v>
      </c>
    </row>
    <row r="3519" spans="1:8" x14ac:dyDescent="0.3">
      <c r="A3519">
        <v>202202</v>
      </c>
      <c r="B3519" s="1">
        <v>44593</v>
      </c>
      <c r="C3519">
        <v>2022</v>
      </c>
      <c r="D3519" t="s">
        <v>9</v>
      </c>
      <c r="E3519" t="s">
        <v>37</v>
      </c>
      <c r="F3519" t="s">
        <v>40</v>
      </c>
      <c r="G3519" t="s">
        <v>33</v>
      </c>
      <c r="H3519">
        <v>85.74</v>
      </c>
    </row>
    <row r="3520" spans="1:8" x14ac:dyDescent="0.3">
      <c r="A3520">
        <v>202203</v>
      </c>
      <c r="B3520" s="1">
        <v>44621</v>
      </c>
      <c r="C3520">
        <v>2022</v>
      </c>
      <c r="D3520" t="s">
        <v>10</v>
      </c>
      <c r="E3520" t="s">
        <v>37</v>
      </c>
      <c r="F3520" t="s">
        <v>40</v>
      </c>
      <c r="G3520" t="s">
        <v>33</v>
      </c>
      <c r="H3520">
        <v>119.8</v>
      </c>
    </row>
    <row r="3521" spans="1:8" x14ac:dyDescent="0.3">
      <c r="A3521">
        <v>202204</v>
      </c>
      <c r="B3521" s="1">
        <v>44652</v>
      </c>
      <c r="C3521">
        <v>2022</v>
      </c>
      <c r="D3521" t="s">
        <v>11</v>
      </c>
      <c r="E3521" t="s">
        <v>37</v>
      </c>
      <c r="F3521" t="s">
        <v>40</v>
      </c>
      <c r="G3521" t="s">
        <v>33</v>
      </c>
      <c r="H3521">
        <v>145.72</v>
      </c>
    </row>
    <row r="3522" spans="1:8" x14ac:dyDescent="0.3">
      <c r="A3522">
        <v>202205</v>
      </c>
      <c r="B3522" s="1">
        <v>44682</v>
      </c>
      <c r="C3522">
        <v>2022</v>
      </c>
      <c r="D3522" t="s">
        <v>12</v>
      </c>
      <c r="E3522" t="s">
        <v>37</v>
      </c>
      <c r="F3522" t="s">
        <v>40</v>
      </c>
      <c r="G3522" t="s">
        <v>33</v>
      </c>
      <c r="H3522">
        <v>116.61</v>
      </c>
    </row>
    <row r="3523" spans="1:8" x14ac:dyDescent="0.3">
      <c r="A3523">
        <v>202206</v>
      </c>
      <c r="B3523" s="1">
        <v>44713</v>
      </c>
      <c r="C3523">
        <v>2022</v>
      </c>
      <c r="D3523" t="s">
        <v>13</v>
      </c>
      <c r="E3523" t="s">
        <v>37</v>
      </c>
      <c r="F3523" t="s">
        <v>40</v>
      </c>
      <c r="G3523" t="s">
        <v>33</v>
      </c>
      <c r="H3523">
        <v>168.71</v>
      </c>
    </row>
    <row r="3524" spans="1:8" x14ac:dyDescent="0.3">
      <c r="A3524">
        <v>202207</v>
      </c>
      <c r="B3524" s="1">
        <v>44743</v>
      </c>
      <c r="C3524">
        <v>2022</v>
      </c>
      <c r="D3524" t="s">
        <v>14</v>
      </c>
      <c r="E3524" t="s">
        <v>37</v>
      </c>
      <c r="F3524" t="s">
        <v>40</v>
      </c>
      <c r="G3524" t="s">
        <v>33</v>
      </c>
      <c r="H3524">
        <v>110.6</v>
      </c>
    </row>
    <row r="3525" spans="1:8" x14ac:dyDescent="0.3">
      <c r="A3525">
        <v>202208</v>
      </c>
      <c r="B3525" s="1">
        <v>44774</v>
      </c>
      <c r="C3525">
        <v>2022</v>
      </c>
      <c r="D3525" t="s">
        <v>15</v>
      </c>
      <c r="E3525" t="s">
        <v>37</v>
      </c>
      <c r="F3525" t="s">
        <v>40</v>
      </c>
      <c r="G3525" t="s">
        <v>33</v>
      </c>
      <c r="H3525">
        <v>153.91</v>
      </c>
    </row>
    <row r="3526" spans="1:8" x14ac:dyDescent="0.3">
      <c r="A3526">
        <v>202209</v>
      </c>
      <c r="B3526" s="1">
        <v>44805</v>
      </c>
      <c r="C3526">
        <v>2022</v>
      </c>
      <c r="D3526" t="s">
        <v>16</v>
      </c>
      <c r="E3526" t="s">
        <v>37</v>
      </c>
      <c r="F3526" t="s">
        <v>40</v>
      </c>
      <c r="G3526" t="s">
        <v>33</v>
      </c>
      <c r="H3526">
        <v>126.11</v>
      </c>
    </row>
    <row r="3527" spans="1:8" x14ac:dyDescent="0.3">
      <c r="A3527">
        <v>202210</v>
      </c>
      <c r="B3527" s="1">
        <v>44835</v>
      </c>
      <c r="C3527">
        <v>2022</v>
      </c>
      <c r="D3527" t="s">
        <v>17</v>
      </c>
      <c r="E3527" t="s">
        <v>37</v>
      </c>
      <c r="F3527" t="s">
        <v>40</v>
      </c>
      <c r="G3527" t="s">
        <v>33</v>
      </c>
      <c r="H3527">
        <v>143.71</v>
      </c>
    </row>
    <row r="3528" spans="1:8" x14ac:dyDescent="0.3">
      <c r="A3528">
        <v>202211</v>
      </c>
      <c r="B3528" s="1">
        <v>44866</v>
      </c>
      <c r="C3528">
        <v>2022</v>
      </c>
      <c r="D3528" t="s">
        <v>18</v>
      </c>
      <c r="E3528" t="s">
        <v>37</v>
      </c>
      <c r="F3528" t="s">
        <v>40</v>
      </c>
      <c r="G3528" t="s">
        <v>33</v>
      </c>
      <c r="H3528">
        <v>151.88999999999999</v>
      </c>
    </row>
    <row r="3529" spans="1:8" x14ac:dyDescent="0.3">
      <c r="A3529">
        <v>202212</v>
      </c>
      <c r="B3529" s="1">
        <v>44896</v>
      </c>
      <c r="C3529">
        <v>2022</v>
      </c>
      <c r="D3529" t="s">
        <v>19</v>
      </c>
      <c r="E3529" t="s">
        <v>37</v>
      </c>
      <c r="F3529" t="s">
        <v>40</v>
      </c>
      <c r="G3529" t="s">
        <v>33</v>
      </c>
      <c r="H3529">
        <v>115.9</v>
      </c>
    </row>
    <row r="3530" spans="1:8" x14ac:dyDescent="0.3">
      <c r="A3530">
        <v>202201</v>
      </c>
      <c r="B3530" s="1">
        <v>44562</v>
      </c>
      <c r="C3530">
        <v>2022</v>
      </c>
      <c r="D3530" t="s">
        <v>6</v>
      </c>
      <c r="E3530" t="s">
        <v>37</v>
      </c>
      <c r="F3530" t="s">
        <v>40</v>
      </c>
      <c r="G3530" t="s">
        <v>33</v>
      </c>
      <c r="H3530">
        <v>121.06</v>
      </c>
    </row>
    <row r="3531" spans="1:8" x14ac:dyDescent="0.3">
      <c r="A3531">
        <v>202202</v>
      </c>
      <c r="B3531" s="1">
        <v>44593</v>
      </c>
      <c r="C3531">
        <v>2022</v>
      </c>
      <c r="D3531" t="s">
        <v>9</v>
      </c>
      <c r="E3531" t="s">
        <v>37</v>
      </c>
      <c r="F3531" t="s">
        <v>40</v>
      </c>
      <c r="G3531" t="s">
        <v>33</v>
      </c>
      <c r="H3531">
        <v>71.38</v>
      </c>
    </row>
    <row r="3532" spans="1:8" x14ac:dyDescent="0.3">
      <c r="A3532">
        <v>202203</v>
      </c>
      <c r="B3532" s="1">
        <v>44621</v>
      </c>
      <c r="C3532">
        <v>2022</v>
      </c>
      <c r="D3532" t="s">
        <v>10</v>
      </c>
      <c r="E3532" t="s">
        <v>37</v>
      </c>
      <c r="F3532" t="s">
        <v>40</v>
      </c>
      <c r="G3532" t="s">
        <v>33</v>
      </c>
      <c r="H3532">
        <v>84.67</v>
      </c>
    </row>
    <row r="3533" spans="1:8" x14ac:dyDescent="0.3">
      <c r="A3533">
        <v>202204</v>
      </c>
      <c r="B3533" s="1">
        <v>44652</v>
      </c>
      <c r="C3533">
        <v>2022</v>
      </c>
      <c r="D3533" t="s">
        <v>11</v>
      </c>
      <c r="E3533" t="s">
        <v>37</v>
      </c>
      <c r="F3533" t="s">
        <v>40</v>
      </c>
      <c r="G3533" t="s">
        <v>33</v>
      </c>
      <c r="H3533">
        <v>138.58000000000001</v>
      </c>
    </row>
    <row r="3534" spans="1:8" x14ac:dyDescent="0.3">
      <c r="A3534">
        <v>202205</v>
      </c>
      <c r="B3534" s="1">
        <v>44682</v>
      </c>
      <c r="C3534">
        <v>2022</v>
      </c>
      <c r="D3534" t="s">
        <v>12</v>
      </c>
      <c r="E3534" t="s">
        <v>37</v>
      </c>
      <c r="F3534" t="s">
        <v>40</v>
      </c>
      <c r="G3534" t="s">
        <v>33</v>
      </c>
      <c r="H3534">
        <v>111.31</v>
      </c>
    </row>
    <row r="3535" spans="1:8" x14ac:dyDescent="0.3">
      <c r="A3535">
        <v>202206</v>
      </c>
      <c r="B3535" s="1">
        <v>44713</v>
      </c>
      <c r="C3535">
        <v>2022</v>
      </c>
      <c r="D3535" t="s">
        <v>13</v>
      </c>
      <c r="E3535" t="s">
        <v>37</v>
      </c>
      <c r="F3535" t="s">
        <v>40</v>
      </c>
      <c r="G3535" t="s">
        <v>33</v>
      </c>
      <c r="H3535">
        <v>72.64</v>
      </c>
    </row>
    <row r="3536" spans="1:8" x14ac:dyDescent="0.3">
      <c r="A3536">
        <v>202207</v>
      </c>
      <c r="B3536" s="1">
        <v>44743</v>
      </c>
      <c r="C3536">
        <v>2022</v>
      </c>
      <c r="D3536" t="s">
        <v>14</v>
      </c>
      <c r="E3536" t="s">
        <v>37</v>
      </c>
      <c r="F3536" t="s">
        <v>40</v>
      </c>
      <c r="G3536" t="s">
        <v>33</v>
      </c>
      <c r="H3536">
        <v>111.12</v>
      </c>
    </row>
    <row r="3537" spans="1:8" x14ac:dyDescent="0.3">
      <c r="A3537">
        <v>202208</v>
      </c>
      <c r="B3537" s="1">
        <v>44774</v>
      </c>
      <c r="C3537">
        <v>2022</v>
      </c>
      <c r="D3537" t="s">
        <v>15</v>
      </c>
      <c r="E3537" t="s">
        <v>37</v>
      </c>
      <c r="F3537" t="s">
        <v>40</v>
      </c>
      <c r="G3537" t="s">
        <v>33</v>
      </c>
      <c r="H3537">
        <v>92.97</v>
      </c>
    </row>
    <row r="3538" spans="1:8" x14ac:dyDescent="0.3">
      <c r="A3538">
        <v>202209</v>
      </c>
      <c r="B3538" s="1">
        <v>44805</v>
      </c>
      <c r="C3538">
        <v>2022</v>
      </c>
      <c r="D3538" t="s">
        <v>16</v>
      </c>
      <c r="E3538" t="s">
        <v>37</v>
      </c>
      <c r="F3538" t="s">
        <v>40</v>
      </c>
      <c r="G3538" t="s">
        <v>33</v>
      </c>
      <c r="H3538">
        <v>97.72</v>
      </c>
    </row>
    <row r="3539" spans="1:8" x14ac:dyDescent="0.3">
      <c r="A3539">
        <v>202210</v>
      </c>
      <c r="B3539" s="1">
        <v>44835</v>
      </c>
      <c r="C3539">
        <v>2022</v>
      </c>
      <c r="D3539" t="s">
        <v>17</v>
      </c>
      <c r="E3539" t="s">
        <v>37</v>
      </c>
      <c r="F3539" t="s">
        <v>40</v>
      </c>
      <c r="G3539" t="s">
        <v>33</v>
      </c>
      <c r="H3539">
        <v>96.79</v>
      </c>
    </row>
    <row r="3540" spans="1:8" x14ac:dyDescent="0.3">
      <c r="A3540">
        <v>202211</v>
      </c>
      <c r="B3540" s="1">
        <v>44866</v>
      </c>
      <c r="C3540">
        <v>2022</v>
      </c>
      <c r="D3540" t="s">
        <v>18</v>
      </c>
      <c r="E3540" t="s">
        <v>37</v>
      </c>
      <c r="F3540" t="s">
        <v>40</v>
      </c>
      <c r="G3540" t="s">
        <v>33</v>
      </c>
      <c r="H3540">
        <v>114.85</v>
      </c>
    </row>
    <row r="3541" spans="1:8" x14ac:dyDescent="0.3">
      <c r="A3541">
        <v>202212</v>
      </c>
      <c r="B3541" s="1">
        <v>44896</v>
      </c>
      <c r="C3541">
        <v>2022</v>
      </c>
      <c r="D3541" t="s">
        <v>19</v>
      </c>
      <c r="E3541" t="s">
        <v>37</v>
      </c>
      <c r="F3541" t="s">
        <v>40</v>
      </c>
      <c r="G3541" t="s">
        <v>33</v>
      </c>
      <c r="H3541">
        <v>96.75</v>
      </c>
    </row>
    <row r="3542" spans="1:8" x14ac:dyDescent="0.3">
      <c r="A3542">
        <v>202201</v>
      </c>
      <c r="B3542" s="1">
        <v>44562</v>
      </c>
      <c r="C3542">
        <v>2022</v>
      </c>
      <c r="D3542" t="s">
        <v>6</v>
      </c>
      <c r="E3542" t="s">
        <v>38</v>
      </c>
      <c r="F3542" t="s">
        <v>40</v>
      </c>
      <c r="G3542" t="s">
        <v>33</v>
      </c>
      <c r="H3542">
        <v>23.32</v>
      </c>
    </row>
    <row r="3543" spans="1:8" x14ac:dyDescent="0.3">
      <c r="A3543">
        <v>202202</v>
      </c>
      <c r="B3543" s="1">
        <v>44593</v>
      </c>
      <c r="C3543">
        <v>2022</v>
      </c>
      <c r="D3543" t="s">
        <v>9</v>
      </c>
      <c r="E3543" t="s">
        <v>38</v>
      </c>
      <c r="F3543" t="s">
        <v>40</v>
      </c>
      <c r="G3543" t="s">
        <v>33</v>
      </c>
      <c r="H3543">
        <v>19.36</v>
      </c>
    </row>
    <row r="3544" spans="1:8" x14ac:dyDescent="0.3">
      <c r="A3544">
        <v>202203</v>
      </c>
      <c r="B3544" s="1">
        <v>44621</v>
      </c>
      <c r="C3544">
        <v>2022</v>
      </c>
      <c r="D3544" t="s">
        <v>10</v>
      </c>
      <c r="E3544" t="s">
        <v>38</v>
      </c>
      <c r="F3544" t="s">
        <v>40</v>
      </c>
      <c r="G3544" t="s">
        <v>33</v>
      </c>
      <c r="H3544">
        <v>22.46</v>
      </c>
    </row>
    <row r="3545" spans="1:8" x14ac:dyDescent="0.3">
      <c r="A3545">
        <v>202204</v>
      </c>
      <c r="B3545" s="1">
        <v>44652</v>
      </c>
      <c r="C3545">
        <v>2022</v>
      </c>
      <c r="D3545" t="s">
        <v>11</v>
      </c>
      <c r="E3545" t="s">
        <v>38</v>
      </c>
      <c r="F3545" t="s">
        <v>40</v>
      </c>
      <c r="G3545" t="s">
        <v>33</v>
      </c>
      <c r="H3545">
        <v>37.799999999999997</v>
      </c>
    </row>
    <row r="3546" spans="1:8" x14ac:dyDescent="0.3">
      <c r="A3546">
        <v>202205</v>
      </c>
      <c r="B3546" s="1">
        <v>44682</v>
      </c>
      <c r="C3546">
        <v>2022</v>
      </c>
      <c r="D3546" t="s">
        <v>12</v>
      </c>
      <c r="E3546" t="s">
        <v>38</v>
      </c>
      <c r="F3546" t="s">
        <v>40</v>
      </c>
      <c r="G3546" t="s">
        <v>33</v>
      </c>
      <c r="H3546">
        <v>20.23</v>
      </c>
    </row>
    <row r="3547" spans="1:8" x14ac:dyDescent="0.3">
      <c r="A3547">
        <v>202206</v>
      </c>
      <c r="B3547" s="1">
        <v>44713</v>
      </c>
      <c r="C3547">
        <v>2022</v>
      </c>
      <c r="D3547" t="s">
        <v>13</v>
      </c>
      <c r="E3547" t="s">
        <v>38</v>
      </c>
      <c r="F3547" t="s">
        <v>40</v>
      </c>
      <c r="G3547" t="s">
        <v>33</v>
      </c>
      <c r="H3547">
        <v>29.49</v>
      </c>
    </row>
    <row r="3548" spans="1:8" x14ac:dyDescent="0.3">
      <c r="A3548">
        <v>202207</v>
      </c>
      <c r="B3548" s="1">
        <v>44743</v>
      </c>
      <c r="C3548">
        <v>2022</v>
      </c>
      <c r="D3548" t="s">
        <v>14</v>
      </c>
      <c r="E3548" t="s">
        <v>38</v>
      </c>
      <c r="F3548" t="s">
        <v>40</v>
      </c>
      <c r="G3548" t="s">
        <v>33</v>
      </c>
      <c r="H3548">
        <v>35.619999999999997</v>
      </c>
    </row>
    <row r="3549" spans="1:8" x14ac:dyDescent="0.3">
      <c r="A3549">
        <v>202208</v>
      </c>
      <c r="B3549" s="1">
        <v>44774</v>
      </c>
      <c r="C3549">
        <v>2022</v>
      </c>
      <c r="D3549" t="s">
        <v>15</v>
      </c>
      <c r="E3549" t="s">
        <v>38</v>
      </c>
      <c r="F3549" t="s">
        <v>40</v>
      </c>
      <c r="G3549" t="s">
        <v>33</v>
      </c>
      <c r="H3549">
        <v>34.72</v>
      </c>
    </row>
    <row r="3550" spans="1:8" x14ac:dyDescent="0.3">
      <c r="A3550">
        <v>202209</v>
      </c>
      <c r="B3550" s="1">
        <v>44805</v>
      </c>
      <c r="C3550">
        <v>2022</v>
      </c>
      <c r="D3550" t="s">
        <v>16</v>
      </c>
      <c r="E3550" t="s">
        <v>38</v>
      </c>
      <c r="F3550" t="s">
        <v>40</v>
      </c>
      <c r="G3550" t="s">
        <v>33</v>
      </c>
      <c r="H3550">
        <v>22.51</v>
      </c>
    </row>
    <row r="3551" spans="1:8" x14ac:dyDescent="0.3">
      <c r="A3551">
        <v>202210</v>
      </c>
      <c r="B3551" s="1">
        <v>44835</v>
      </c>
      <c r="C3551">
        <v>2022</v>
      </c>
      <c r="D3551" t="s">
        <v>17</v>
      </c>
      <c r="E3551" t="s">
        <v>38</v>
      </c>
      <c r="F3551" t="s">
        <v>40</v>
      </c>
      <c r="G3551" t="s">
        <v>33</v>
      </c>
      <c r="H3551">
        <v>18.91</v>
      </c>
    </row>
    <row r="3552" spans="1:8" x14ac:dyDescent="0.3">
      <c r="A3552">
        <v>202211</v>
      </c>
      <c r="B3552" s="1">
        <v>44866</v>
      </c>
      <c r="C3552">
        <v>2022</v>
      </c>
      <c r="D3552" t="s">
        <v>18</v>
      </c>
      <c r="E3552" t="s">
        <v>38</v>
      </c>
      <c r="F3552" t="s">
        <v>40</v>
      </c>
      <c r="G3552" t="s">
        <v>33</v>
      </c>
      <c r="H3552">
        <v>31.68</v>
      </c>
    </row>
    <row r="3553" spans="1:8" x14ac:dyDescent="0.3">
      <c r="A3553">
        <v>202212</v>
      </c>
      <c r="B3553" s="1">
        <v>44896</v>
      </c>
      <c r="C3553">
        <v>2022</v>
      </c>
      <c r="D3553" t="s">
        <v>19</v>
      </c>
      <c r="E3553" t="s">
        <v>38</v>
      </c>
      <c r="F3553" t="s">
        <v>40</v>
      </c>
      <c r="G3553" t="s">
        <v>33</v>
      </c>
      <c r="H3553">
        <v>16.489999999999998</v>
      </c>
    </row>
    <row r="3554" spans="1:8" x14ac:dyDescent="0.3">
      <c r="A3554">
        <v>202201</v>
      </c>
      <c r="B3554" s="1">
        <v>44562</v>
      </c>
      <c r="C3554">
        <v>2022</v>
      </c>
      <c r="D3554" t="s">
        <v>6</v>
      </c>
      <c r="E3554" t="s">
        <v>38</v>
      </c>
      <c r="F3554" t="s">
        <v>40</v>
      </c>
      <c r="G3554" t="s">
        <v>33</v>
      </c>
      <c r="H3554">
        <v>84.03</v>
      </c>
    </row>
    <row r="3555" spans="1:8" x14ac:dyDescent="0.3">
      <c r="A3555">
        <v>202202</v>
      </c>
      <c r="B3555" s="1">
        <v>44593</v>
      </c>
      <c r="C3555">
        <v>2022</v>
      </c>
      <c r="D3555" t="s">
        <v>9</v>
      </c>
      <c r="E3555" t="s">
        <v>38</v>
      </c>
      <c r="F3555" t="s">
        <v>40</v>
      </c>
      <c r="G3555" t="s">
        <v>33</v>
      </c>
      <c r="H3555">
        <v>60.87</v>
      </c>
    </row>
    <row r="3556" spans="1:8" x14ac:dyDescent="0.3">
      <c r="A3556">
        <v>202203</v>
      </c>
      <c r="B3556" s="1">
        <v>44621</v>
      </c>
      <c r="C3556">
        <v>2022</v>
      </c>
      <c r="D3556" t="s">
        <v>10</v>
      </c>
      <c r="E3556" t="s">
        <v>38</v>
      </c>
      <c r="F3556" t="s">
        <v>40</v>
      </c>
      <c r="G3556" t="s">
        <v>33</v>
      </c>
      <c r="H3556">
        <v>61.66</v>
      </c>
    </row>
    <row r="3557" spans="1:8" x14ac:dyDescent="0.3">
      <c r="A3557">
        <v>202204</v>
      </c>
      <c r="B3557" s="1">
        <v>44652</v>
      </c>
      <c r="C3557">
        <v>2022</v>
      </c>
      <c r="D3557" t="s">
        <v>11</v>
      </c>
      <c r="E3557" t="s">
        <v>38</v>
      </c>
      <c r="F3557" t="s">
        <v>40</v>
      </c>
      <c r="G3557" t="s">
        <v>33</v>
      </c>
      <c r="H3557">
        <v>68.760000000000005</v>
      </c>
    </row>
    <row r="3558" spans="1:8" x14ac:dyDescent="0.3">
      <c r="A3558">
        <v>202205</v>
      </c>
      <c r="B3558" s="1">
        <v>44682</v>
      </c>
      <c r="C3558">
        <v>2022</v>
      </c>
      <c r="D3558" t="s">
        <v>12</v>
      </c>
      <c r="E3558" t="s">
        <v>38</v>
      </c>
      <c r="F3558" t="s">
        <v>40</v>
      </c>
      <c r="G3558" t="s">
        <v>33</v>
      </c>
      <c r="H3558">
        <v>63.07</v>
      </c>
    </row>
    <row r="3559" spans="1:8" x14ac:dyDescent="0.3">
      <c r="A3559">
        <v>202206</v>
      </c>
      <c r="B3559" s="1">
        <v>44713</v>
      </c>
      <c r="C3559">
        <v>2022</v>
      </c>
      <c r="D3559" t="s">
        <v>13</v>
      </c>
      <c r="E3559" t="s">
        <v>38</v>
      </c>
      <c r="F3559" t="s">
        <v>40</v>
      </c>
      <c r="G3559" t="s">
        <v>33</v>
      </c>
      <c r="H3559">
        <v>94.09</v>
      </c>
    </row>
    <row r="3560" spans="1:8" x14ac:dyDescent="0.3">
      <c r="A3560">
        <v>202207</v>
      </c>
      <c r="B3560" s="1">
        <v>44743</v>
      </c>
      <c r="C3560">
        <v>2022</v>
      </c>
      <c r="D3560" t="s">
        <v>14</v>
      </c>
      <c r="E3560" t="s">
        <v>38</v>
      </c>
      <c r="F3560" t="s">
        <v>40</v>
      </c>
      <c r="G3560" t="s">
        <v>33</v>
      </c>
      <c r="H3560">
        <v>76.2</v>
      </c>
    </row>
    <row r="3561" spans="1:8" x14ac:dyDescent="0.3">
      <c r="A3561">
        <v>202208</v>
      </c>
      <c r="B3561" s="1">
        <v>44774</v>
      </c>
      <c r="C3561">
        <v>2022</v>
      </c>
      <c r="D3561" t="s">
        <v>15</v>
      </c>
      <c r="E3561" t="s">
        <v>38</v>
      </c>
      <c r="F3561" t="s">
        <v>40</v>
      </c>
      <c r="G3561" t="s">
        <v>33</v>
      </c>
      <c r="H3561">
        <v>53.01</v>
      </c>
    </row>
    <row r="3562" spans="1:8" x14ac:dyDescent="0.3">
      <c r="A3562">
        <v>202209</v>
      </c>
      <c r="B3562" s="1">
        <v>44805</v>
      </c>
      <c r="C3562">
        <v>2022</v>
      </c>
      <c r="D3562" t="s">
        <v>16</v>
      </c>
      <c r="E3562" t="s">
        <v>38</v>
      </c>
      <c r="F3562" t="s">
        <v>40</v>
      </c>
      <c r="G3562" t="s">
        <v>33</v>
      </c>
      <c r="H3562">
        <v>70.78</v>
      </c>
    </row>
    <row r="3563" spans="1:8" x14ac:dyDescent="0.3">
      <c r="A3563">
        <v>202210</v>
      </c>
      <c r="B3563" s="1">
        <v>44835</v>
      </c>
      <c r="C3563">
        <v>2022</v>
      </c>
      <c r="D3563" t="s">
        <v>17</v>
      </c>
      <c r="E3563" t="s">
        <v>38</v>
      </c>
      <c r="F3563" t="s">
        <v>40</v>
      </c>
      <c r="G3563" t="s">
        <v>33</v>
      </c>
      <c r="H3563">
        <v>51.54</v>
      </c>
    </row>
    <row r="3564" spans="1:8" x14ac:dyDescent="0.3">
      <c r="A3564">
        <v>202211</v>
      </c>
      <c r="B3564" s="1">
        <v>44866</v>
      </c>
      <c r="C3564">
        <v>2022</v>
      </c>
      <c r="D3564" t="s">
        <v>18</v>
      </c>
      <c r="E3564" t="s">
        <v>38</v>
      </c>
      <c r="F3564" t="s">
        <v>40</v>
      </c>
      <c r="G3564" t="s">
        <v>33</v>
      </c>
      <c r="H3564">
        <v>78.66</v>
      </c>
    </row>
    <row r="3565" spans="1:8" x14ac:dyDescent="0.3">
      <c r="A3565">
        <v>202212</v>
      </c>
      <c r="B3565" s="1">
        <v>44896</v>
      </c>
      <c r="C3565">
        <v>2022</v>
      </c>
      <c r="D3565" t="s">
        <v>19</v>
      </c>
      <c r="E3565" t="s">
        <v>38</v>
      </c>
      <c r="F3565" t="s">
        <v>40</v>
      </c>
      <c r="G3565" t="s">
        <v>33</v>
      </c>
      <c r="H3565">
        <v>88.53</v>
      </c>
    </row>
    <row r="3566" spans="1:8" x14ac:dyDescent="0.3">
      <c r="A3566">
        <v>202201</v>
      </c>
      <c r="B3566" s="1">
        <v>44562</v>
      </c>
      <c r="C3566">
        <v>2022</v>
      </c>
      <c r="D3566" t="s">
        <v>6</v>
      </c>
      <c r="E3566" t="s">
        <v>38</v>
      </c>
      <c r="F3566" t="s">
        <v>40</v>
      </c>
      <c r="G3566" t="s">
        <v>33</v>
      </c>
      <c r="H3566">
        <v>363.25</v>
      </c>
    </row>
    <row r="3567" spans="1:8" x14ac:dyDescent="0.3">
      <c r="A3567">
        <v>202202</v>
      </c>
      <c r="B3567" s="1">
        <v>44593</v>
      </c>
      <c r="C3567">
        <v>2022</v>
      </c>
      <c r="D3567" t="s">
        <v>9</v>
      </c>
      <c r="E3567" t="s">
        <v>38</v>
      </c>
      <c r="F3567" t="s">
        <v>40</v>
      </c>
      <c r="G3567" t="s">
        <v>33</v>
      </c>
      <c r="H3567">
        <v>196.58</v>
      </c>
    </row>
    <row r="3568" spans="1:8" x14ac:dyDescent="0.3">
      <c r="A3568">
        <v>202203</v>
      </c>
      <c r="B3568" s="1">
        <v>44621</v>
      </c>
      <c r="C3568">
        <v>2022</v>
      </c>
      <c r="D3568" t="s">
        <v>10</v>
      </c>
      <c r="E3568" t="s">
        <v>38</v>
      </c>
      <c r="F3568" t="s">
        <v>40</v>
      </c>
      <c r="G3568" t="s">
        <v>33</v>
      </c>
      <c r="H3568">
        <v>188.43</v>
      </c>
    </row>
    <row r="3569" spans="1:8" x14ac:dyDescent="0.3">
      <c r="A3569">
        <v>202204</v>
      </c>
      <c r="B3569" s="1">
        <v>44652</v>
      </c>
      <c r="C3569">
        <v>2022</v>
      </c>
      <c r="D3569" t="s">
        <v>11</v>
      </c>
      <c r="E3569" t="s">
        <v>38</v>
      </c>
      <c r="F3569" t="s">
        <v>40</v>
      </c>
      <c r="G3569" t="s">
        <v>33</v>
      </c>
      <c r="H3569">
        <v>340.25</v>
      </c>
    </row>
    <row r="3570" spans="1:8" x14ac:dyDescent="0.3">
      <c r="A3570">
        <v>202205</v>
      </c>
      <c r="B3570" s="1">
        <v>44682</v>
      </c>
      <c r="C3570">
        <v>2022</v>
      </c>
      <c r="D3570" t="s">
        <v>12</v>
      </c>
      <c r="E3570" t="s">
        <v>38</v>
      </c>
      <c r="F3570" t="s">
        <v>40</v>
      </c>
      <c r="G3570" t="s">
        <v>33</v>
      </c>
      <c r="H3570">
        <v>220.67</v>
      </c>
    </row>
    <row r="3571" spans="1:8" x14ac:dyDescent="0.3">
      <c r="A3571">
        <v>202206</v>
      </c>
      <c r="B3571" s="1">
        <v>44713</v>
      </c>
      <c r="C3571">
        <v>2022</v>
      </c>
      <c r="D3571" t="s">
        <v>13</v>
      </c>
      <c r="E3571" t="s">
        <v>38</v>
      </c>
      <c r="F3571" t="s">
        <v>40</v>
      </c>
      <c r="G3571" t="s">
        <v>33</v>
      </c>
      <c r="H3571">
        <v>203.69</v>
      </c>
    </row>
    <row r="3572" spans="1:8" x14ac:dyDescent="0.3">
      <c r="A3572">
        <v>202207</v>
      </c>
      <c r="B3572" s="1">
        <v>44743</v>
      </c>
      <c r="C3572">
        <v>2022</v>
      </c>
      <c r="D3572" t="s">
        <v>14</v>
      </c>
      <c r="E3572" t="s">
        <v>38</v>
      </c>
      <c r="F3572" t="s">
        <v>40</v>
      </c>
      <c r="G3572" t="s">
        <v>33</v>
      </c>
      <c r="H3572">
        <v>189.05</v>
      </c>
    </row>
    <row r="3573" spans="1:8" x14ac:dyDescent="0.3">
      <c r="A3573">
        <v>202208</v>
      </c>
      <c r="B3573" s="1">
        <v>44774</v>
      </c>
      <c r="C3573">
        <v>2022</v>
      </c>
      <c r="D3573" t="s">
        <v>15</v>
      </c>
      <c r="E3573" t="s">
        <v>38</v>
      </c>
      <c r="F3573" t="s">
        <v>40</v>
      </c>
      <c r="G3573" t="s">
        <v>33</v>
      </c>
      <c r="H3573">
        <v>211.23</v>
      </c>
    </row>
    <row r="3574" spans="1:8" x14ac:dyDescent="0.3">
      <c r="A3574">
        <v>202209</v>
      </c>
      <c r="B3574" s="1">
        <v>44805</v>
      </c>
      <c r="C3574">
        <v>2022</v>
      </c>
      <c r="D3574" t="s">
        <v>16</v>
      </c>
      <c r="E3574" t="s">
        <v>38</v>
      </c>
      <c r="F3574" t="s">
        <v>40</v>
      </c>
      <c r="G3574" t="s">
        <v>33</v>
      </c>
      <c r="H3574">
        <v>198.66</v>
      </c>
    </row>
    <row r="3575" spans="1:8" x14ac:dyDescent="0.3">
      <c r="A3575">
        <v>202210</v>
      </c>
      <c r="B3575" s="1">
        <v>44835</v>
      </c>
      <c r="C3575">
        <v>2022</v>
      </c>
      <c r="D3575" t="s">
        <v>17</v>
      </c>
      <c r="E3575" t="s">
        <v>38</v>
      </c>
      <c r="F3575" t="s">
        <v>40</v>
      </c>
      <c r="G3575" t="s">
        <v>33</v>
      </c>
      <c r="H3575">
        <v>156.93</v>
      </c>
    </row>
    <row r="3576" spans="1:8" x14ac:dyDescent="0.3">
      <c r="A3576">
        <v>202211</v>
      </c>
      <c r="B3576" s="1">
        <v>44866</v>
      </c>
      <c r="C3576">
        <v>2022</v>
      </c>
      <c r="D3576" t="s">
        <v>18</v>
      </c>
      <c r="E3576" t="s">
        <v>38</v>
      </c>
      <c r="F3576" t="s">
        <v>40</v>
      </c>
      <c r="G3576" t="s">
        <v>33</v>
      </c>
      <c r="H3576">
        <v>226.28</v>
      </c>
    </row>
    <row r="3577" spans="1:8" x14ac:dyDescent="0.3">
      <c r="A3577">
        <v>202212</v>
      </c>
      <c r="B3577" s="1">
        <v>44896</v>
      </c>
      <c r="C3577">
        <v>2022</v>
      </c>
      <c r="D3577" t="s">
        <v>19</v>
      </c>
      <c r="E3577" t="s">
        <v>38</v>
      </c>
      <c r="F3577" t="s">
        <v>40</v>
      </c>
      <c r="G3577" t="s">
        <v>33</v>
      </c>
      <c r="H3577">
        <v>242.31</v>
      </c>
    </row>
    <row r="3578" spans="1:8" x14ac:dyDescent="0.3">
      <c r="A3578">
        <v>202201</v>
      </c>
      <c r="B3578" s="1">
        <v>44562</v>
      </c>
      <c r="C3578">
        <v>2022</v>
      </c>
      <c r="D3578" t="s">
        <v>6</v>
      </c>
      <c r="E3578" t="s">
        <v>38</v>
      </c>
      <c r="F3578" t="s">
        <v>40</v>
      </c>
      <c r="G3578" t="s">
        <v>33</v>
      </c>
      <c r="H3578">
        <v>25.78</v>
      </c>
    </row>
    <row r="3579" spans="1:8" x14ac:dyDescent="0.3">
      <c r="A3579">
        <v>202202</v>
      </c>
      <c r="B3579" s="1">
        <v>44593</v>
      </c>
      <c r="C3579">
        <v>2022</v>
      </c>
      <c r="D3579" t="s">
        <v>9</v>
      </c>
      <c r="E3579" t="s">
        <v>38</v>
      </c>
      <c r="F3579" t="s">
        <v>40</v>
      </c>
      <c r="G3579" t="s">
        <v>33</v>
      </c>
      <c r="H3579">
        <v>35.049999999999997</v>
      </c>
    </row>
    <row r="3580" spans="1:8" x14ac:dyDescent="0.3">
      <c r="A3580">
        <v>202203</v>
      </c>
      <c r="B3580" s="1">
        <v>44621</v>
      </c>
      <c r="C3580">
        <v>2022</v>
      </c>
      <c r="D3580" t="s">
        <v>10</v>
      </c>
      <c r="E3580" t="s">
        <v>38</v>
      </c>
      <c r="F3580" t="s">
        <v>40</v>
      </c>
      <c r="G3580" t="s">
        <v>33</v>
      </c>
      <c r="H3580">
        <v>12.55</v>
      </c>
    </row>
    <row r="3581" spans="1:8" x14ac:dyDescent="0.3">
      <c r="A3581">
        <v>202204</v>
      </c>
      <c r="B3581" s="1">
        <v>44652</v>
      </c>
      <c r="C3581">
        <v>2022</v>
      </c>
      <c r="D3581" t="s">
        <v>11</v>
      </c>
      <c r="E3581" t="s">
        <v>38</v>
      </c>
      <c r="F3581" t="s">
        <v>40</v>
      </c>
      <c r="G3581" t="s">
        <v>33</v>
      </c>
      <c r="H3581">
        <v>41.29</v>
      </c>
    </row>
    <row r="3582" spans="1:8" x14ac:dyDescent="0.3">
      <c r="A3582">
        <v>202205</v>
      </c>
      <c r="B3582" s="1">
        <v>44682</v>
      </c>
      <c r="C3582">
        <v>2022</v>
      </c>
      <c r="D3582" t="s">
        <v>12</v>
      </c>
      <c r="E3582" t="s">
        <v>38</v>
      </c>
      <c r="F3582" t="s">
        <v>40</v>
      </c>
      <c r="G3582" t="s">
        <v>33</v>
      </c>
      <c r="H3582">
        <v>17.670000000000002</v>
      </c>
    </row>
    <row r="3583" spans="1:8" x14ac:dyDescent="0.3">
      <c r="A3583">
        <v>202206</v>
      </c>
      <c r="B3583" s="1">
        <v>44713</v>
      </c>
      <c r="C3583">
        <v>2022</v>
      </c>
      <c r="D3583" t="s">
        <v>13</v>
      </c>
      <c r="E3583" t="s">
        <v>38</v>
      </c>
      <c r="F3583" t="s">
        <v>40</v>
      </c>
      <c r="G3583" t="s">
        <v>33</v>
      </c>
      <c r="H3583">
        <v>31.95</v>
      </c>
    </row>
    <row r="3584" spans="1:8" x14ac:dyDescent="0.3">
      <c r="A3584">
        <v>202207</v>
      </c>
      <c r="B3584" s="1">
        <v>44743</v>
      </c>
      <c r="C3584">
        <v>2022</v>
      </c>
      <c r="D3584" t="s">
        <v>14</v>
      </c>
      <c r="E3584" t="s">
        <v>38</v>
      </c>
      <c r="F3584" t="s">
        <v>40</v>
      </c>
      <c r="G3584" t="s">
        <v>33</v>
      </c>
      <c r="H3584">
        <v>40.159999999999997</v>
      </c>
    </row>
    <row r="3585" spans="1:8" x14ac:dyDescent="0.3">
      <c r="A3585">
        <v>202208</v>
      </c>
      <c r="B3585" s="1">
        <v>44774</v>
      </c>
      <c r="C3585">
        <v>2022</v>
      </c>
      <c r="D3585" t="s">
        <v>15</v>
      </c>
      <c r="E3585" t="s">
        <v>38</v>
      </c>
      <c r="F3585" t="s">
        <v>40</v>
      </c>
      <c r="G3585" t="s">
        <v>33</v>
      </c>
      <c r="H3585">
        <v>47.07</v>
      </c>
    </row>
    <row r="3586" spans="1:8" x14ac:dyDescent="0.3">
      <c r="A3586">
        <v>202209</v>
      </c>
      <c r="B3586" s="1">
        <v>44805</v>
      </c>
      <c r="C3586">
        <v>2022</v>
      </c>
      <c r="D3586" t="s">
        <v>16</v>
      </c>
      <c r="E3586" t="s">
        <v>38</v>
      </c>
      <c r="F3586" t="s">
        <v>40</v>
      </c>
      <c r="G3586" t="s">
        <v>33</v>
      </c>
      <c r="H3586">
        <v>24.85</v>
      </c>
    </row>
    <row r="3587" spans="1:8" x14ac:dyDescent="0.3">
      <c r="A3587">
        <v>202210</v>
      </c>
      <c r="B3587" s="1">
        <v>44835</v>
      </c>
      <c r="C3587">
        <v>2022</v>
      </c>
      <c r="D3587" t="s">
        <v>17</v>
      </c>
      <c r="E3587" t="s">
        <v>38</v>
      </c>
      <c r="F3587" t="s">
        <v>40</v>
      </c>
      <c r="G3587" t="s">
        <v>33</v>
      </c>
      <c r="H3587">
        <v>32.020000000000003</v>
      </c>
    </row>
    <row r="3588" spans="1:8" x14ac:dyDescent="0.3">
      <c r="A3588">
        <v>202211</v>
      </c>
      <c r="B3588" s="1">
        <v>44866</v>
      </c>
      <c r="C3588">
        <v>2022</v>
      </c>
      <c r="D3588" t="s">
        <v>18</v>
      </c>
      <c r="E3588" t="s">
        <v>38</v>
      </c>
      <c r="F3588" t="s">
        <v>40</v>
      </c>
      <c r="G3588" t="s">
        <v>33</v>
      </c>
      <c r="H3588">
        <v>23.57</v>
      </c>
    </row>
    <row r="3589" spans="1:8" x14ac:dyDescent="0.3">
      <c r="A3589">
        <v>202212</v>
      </c>
      <c r="B3589" s="1">
        <v>44896</v>
      </c>
      <c r="C3589">
        <v>2022</v>
      </c>
      <c r="D3589" t="s">
        <v>19</v>
      </c>
      <c r="E3589" t="s">
        <v>38</v>
      </c>
      <c r="F3589" t="s">
        <v>40</v>
      </c>
      <c r="G3589" t="s">
        <v>33</v>
      </c>
      <c r="H3589">
        <v>43.78</v>
      </c>
    </row>
    <row r="3590" spans="1:8" x14ac:dyDescent="0.3">
      <c r="A3590">
        <v>202201</v>
      </c>
      <c r="B3590" s="1">
        <v>44562</v>
      </c>
      <c r="C3590">
        <v>2022</v>
      </c>
      <c r="D3590" t="s">
        <v>6</v>
      </c>
      <c r="E3590" t="s">
        <v>38</v>
      </c>
      <c r="F3590" t="s">
        <v>40</v>
      </c>
      <c r="G3590" t="s">
        <v>33</v>
      </c>
      <c r="H3590">
        <v>16.36</v>
      </c>
    </row>
    <row r="3591" spans="1:8" x14ac:dyDescent="0.3">
      <c r="A3591">
        <v>202202</v>
      </c>
      <c r="B3591" s="1">
        <v>44593</v>
      </c>
      <c r="C3591">
        <v>2022</v>
      </c>
      <c r="D3591" t="s">
        <v>9</v>
      </c>
      <c r="E3591" t="s">
        <v>38</v>
      </c>
      <c r="F3591" t="s">
        <v>40</v>
      </c>
      <c r="G3591" t="s">
        <v>33</v>
      </c>
      <c r="H3591">
        <v>22.11</v>
      </c>
    </row>
    <row r="3592" spans="1:8" x14ac:dyDescent="0.3">
      <c r="A3592">
        <v>202203</v>
      </c>
      <c r="B3592" s="1">
        <v>44621</v>
      </c>
      <c r="C3592">
        <v>2022</v>
      </c>
      <c r="D3592" t="s">
        <v>10</v>
      </c>
      <c r="E3592" t="s">
        <v>38</v>
      </c>
      <c r="F3592" t="s">
        <v>40</v>
      </c>
      <c r="G3592" t="s">
        <v>33</v>
      </c>
      <c r="H3592">
        <v>26.28</v>
      </c>
    </row>
    <row r="3593" spans="1:8" x14ac:dyDescent="0.3">
      <c r="A3593">
        <v>202204</v>
      </c>
      <c r="B3593" s="1">
        <v>44652</v>
      </c>
      <c r="C3593">
        <v>2022</v>
      </c>
      <c r="D3593" t="s">
        <v>11</v>
      </c>
      <c r="E3593" t="s">
        <v>38</v>
      </c>
      <c r="F3593" t="s">
        <v>40</v>
      </c>
      <c r="G3593" t="s">
        <v>33</v>
      </c>
      <c r="H3593">
        <v>29.03</v>
      </c>
    </row>
    <row r="3594" spans="1:8" x14ac:dyDescent="0.3">
      <c r="A3594">
        <v>202205</v>
      </c>
      <c r="B3594" s="1">
        <v>44682</v>
      </c>
      <c r="C3594">
        <v>2022</v>
      </c>
      <c r="D3594" t="s">
        <v>12</v>
      </c>
      <c r="E3594" t="s">
        <v>38</v>
      </c>
      <c r="F3594" t="s">
        <v>40</v>
      </c>
      <c r="G3594" t="s">
        <v>33</v>
      </c>
      <c r="H3594">
        <v>17.04</v>
      </c>
    </row>
    <row r="3595" spans="1:8" x14ac:dyDescent="0.3">
      <c r="A3595">
        <v>202206</v>
      </c>
      <c r="B3595" s="1">
        <v>44713</v>
      </c>
      <c r="C3595">
        <v>2022</v>
      </c>
      <c r="D3595" t="s">
        <v>13</v>
      </c>
      <c r="E3595" t="s">
        <v>38</v>
      </c>
      <c r="F3595" t="s">
        <v>40</v>
      </c>
      <c r="G3595" t="s">
        <v>33</v>
      </c>
      <c r="H3595">
        <v>16.59</v>
      </c>
    </row>
    <row r="3596" spans="1:8" x14ac:dyDescent="0.3">
      <c r="A3596">
        <v>202207</v>
      </c>
      <c r="B3596" s="1">
        <v>44743</v>
      </c>
      <c r="C3596">
        <v>2022</v>
      </c>
      <c r="D3596" t="s">
        <v>14</v>
      </c>
      <c r="E3596" t="s">
        <v>38</v>
      </c>
      <c r="F3596" t="s">
        <v>40</v>
      </c>
      <c r="G3596" t="s">
        <v>33</v>
      </c>
      <c r="H3596">
        <v>27.51</v>
      </c>
    </row>
    <row r="3597" spans="1:8" x14ac:dyDescent="0.3">
      <c r="A3597">
        <v>202208</v>
      </c>
      <c r="B3597" s="1">
        <v>44774</v>
      </c>
      <c r="C3597">
        <v>2022</v>
      </c>
      <c r="D3597" t="s">
        <v>15</v>
      </c>
      <c r="E3597" t="s">
        <v>38</v>
      </c>
      <c r="F3597" t="s">
        <v>40</v>
      </c>
      <c r="G3597" t="s">
        <v>33</v>
      </c>
      <c r="H3597">
        <v>22.22</v>
      </c>
    </row>
    <row r="3598" spans="1:8" x14ac:dyDescent="0.3">
      <c r="A3598">
        <v>202209</v>
      </c>
      <c r="B3598" s="1">
        <v>44805</v>
      </c>
      <c r="C3598">
        <v>2022</v>
      </c>
      <c r="D3598" t="s">
        <v>16</v>
      </c>
      <c r="E3598" t="s">
        <v>38</v>
      </c>
      <c r="F3598" t="s">
        <v>40</v>
      </c>
      <c r="G3598" t="s">
        <v>33</v>
      </c>
      <c r="H3598">
        <v>14.19</v>
      </c>
    </row>
    <row r="3599" spans="1:8" x14ac:dyDescent="0.3">
      <c r="A3599">
        <v>202210</v>
      </c>
      <c r="B3599" s="1">
        <v>44835</v>
      </c>
      <c r="C3599">
        <v>2022</v>
      </c>
      <c r="D3599" t="s">
        <v>17</v>
      </c>
      <c r="E3599" t="s">
        <v>38</v>
      </c>
      <c r="F3599" t="s">
        <v>40</v>
      </c>
      <c r="G3599" t="s">
        <v>33</v>
      </c>
      <c r="H3599">
        <v>34.549999999999997</v>
      </c>
    </row>
    <row r="3600" spans="1:8" x14ac:dyDescent="0.3">
      <c r="A3600">
        <v>202211</v>
      </c>
      <c r="B3600" s="1">
        <v>44866</v>
      </c>
      <c r="C3600">
        <v>2022</v>
      </c>
      <c r="D3600" t="s">
        <v>18</v>
      </c>
      <c r="E3600" t="s">
        <v>38</v>
      </c>
      <c r="F3600" t="s">
        <v>40</v>
      </c>
      <c r="G3600" t="s">
        <v>33</v>
      </c>
      <c r="H3600">
        <v>19.21</v>
      </c>
    </row>
    <row r="3601" spans="1:8" x14ac:dyDescent="0.3">
      <c r="A3601">
        <v>202212</v>
      </c>
      <c r="B3601" s="1">
        <v>44896</v>
      </c>
      <c r="C3601">
        <v>2022</v>
      </c>
      <c r="D3601" t="s">
        <v>19</v>
      </c>
      <c r="E3601" t="s">
        <v>38</v>
      </c>
      <c r="F3601" t="s">
        <v>40</v>
      </c>
      <c r="G3601" t="s">
        <v>33</v>
      </c>
      <c r="H3601">
        <v>34.630000000000003</v>
      </c>
    </row>
    <row r="3602" spans="1:8" x14ac:dyDescent="0.3">
      <c r="A3602">
        <v>202301</v>
      </c>
      <c r="B3602" s="1">
        <v>44927</v>
      </c>
      <c r="C3602">
        <v>2023</v>
      </c>
      <c r="D3602" t="s">
        <v>6</v>
      </c>
      <c r="E3602" t="s">
        <v>7</v>
      </c>
      <c r="F3602" t="s">
        <v>7</v>
      </c>
      <c r="G3602" t="s">
        <v>8</v>
      </c>
      <c r="H3602">
        <v>714.68</v>
      </c>
    </row>
    <row r="3603" spans="1:8" x14ac:dyDescent="0.3">
      <c r="A3603">
        <v>202302</v>
      </c>
      <c r="B3603" s="1">
        <v>44958</v>
      </c>
      <c r="C3603">
        <v>2023</v>
      </c>
      <c r="D3603" t="s">
        <v>9</v>
      </c>
      <c r="E3603" t="s">
        <v>7</v>
      </c>
      <c r="F3603" t="s">
        <v>7</v>
      </c>
      <c r="G3603" t="s">
        <v>8</v>
      </c>
      <c r="H3603">
        <v>335.89</v>
      </c>
    </row>
    <row r="3604" spans="1:8" x14ac:dyDescent="0.3">
      <c r="A3604">
        <v>202303</v>
      </c>
      <c r="B3604" s="1">
        <v>44986</v>
      </c>
      <c r="C3604">
        <v>2023</v>
      </c>
      <c r="D3604" t="s">
        <v>10</v>
      </c>
      <c r="E3604" t="s">
        <v>7</v>
      </c>
      <c r="F3604" t="s">
        <v>7</v>
      </c>
      <c r="G3604" t="s">
        <v>8</v>
      </c>
      <c r="H3604">
        <v>644</v>
      </c>
    </row>
    <row r="3605" spans="1:8" x14ac:dyDescent="0.3">
      <c r="A3605">
        <v>202304</v>
      </c>
      <c r="B3605" s="1">
        <v>45017</v>
      </c>
      <c r="C3605">
        <v>2023</v>
      </c>
      <c r="D3605" t="s">
        <v>11</v>
      </c>
      <c r="E3605" t="s">
        <v>7</v>
      </c>
      <c r="F3605" t="s">
        <v>7</v>
      </c>
      <c r="G3605" t="s">
        <v>8</v>
      </c>
      <c r="H3605">
        <v>995.17</v>
      </c>
    </row>
    <row r="3606" spans="1:8" x14ac:dyDescent="0.3">
      <c r="A3606">
        <v>202305</v>
      </c>
      <c r="B3606" s="1">
        <v>45047</v>
      </c>
      <c r="C3606">
        <v>2023</v>
      </c>
      <c r="D3606" t="s">
        <v>12</v>
      </c>
      <c r="E3606" t="s">
        <v>7</v>
      </c>
      <c r="F3606" t="s">
        <v>7</v>
      </c>
      <c r="G3606" t="s">
        <v>8</v>
      </c>
      <c r="H3606">
        <v>514.87</v>
      </c>
    </row>
    <row r="3607" spans="1:8" x14ac:dyDescent="0.3">
      <c r="A3607">
        <v>202306</v>
      </c>
      <c r="B3607" s="1">
        <v>45078</v>
      </c>
      <c r="C3607">
        <v>2023</v>
      </c>
      <c r="D3607" t="s">
        <v>13</v>
      </c>
      <c r="E3607" t="s">
        <v>7</v>
      </c>
      <c r="F3607" t="s">
        <v>7</v>
      </c>
      <c r="G3607" t="s">
        <v>8</v>
      </c>
      <c r="H3607">
        <v>416.39</v>
      </c>
    </row>
    <row r="3608" spans="1:8" x14ac:dyDescent="0.3">
      <c r="A3608">
        <v>202307</v>
      </c>
      <c r="B3608" s="1">
        <v>45108</v>
      </c>
      <c r="C3608">
        <v>2023</v>
      </c>
      <c r="D3608" t="s">
        <v>14</v>
      </c>
      <c r="E3608" t="s">
        <v>7</v>
      </c>
      <c r="F3608" t="s">
        <v>7</v>
      </c>
      <c r="G3608" t="s">
        <v>8</v>
      </c>
      <c r="H3608">
        <v>838.02</v>
      </c>
    </row>
    <row r="3609" spans="1:8" x14ac:dyDescent="0.3">
      <c r="A3609">
        <v>202308</v>
      </c>
      <c r="B3609" s="1">
        <v>45139</v>
      </c>
      <c r="C3609">
        <v>2023</v>
      </c>
      <c r="D3609" t="s">
        <v>15</v>
      </c>
      <c r="E3609" t="s">
        <v>7</v>
      </c>
      <c r="F3609" t="s">
        <v>7</v>
      </c>
      <c r="G3609" t="s">
        <v>8</v>
      </c>
      <c r="H3609">
        <v>527.4</v>
      </c>
    </row>
    <row r="3610" spans="1:8" x14ac:dyDescent="0.3">
      <c r="A3610">
        <v>202309</v>
      </c>
      <c r="B3610" s="1">
        <v>45170</v>
      </c>
      <c r="C3610">
        <v>2023</v>
      </c>
      <c r="D3610" t="s">
        <v>16</v>
      </c>
      <c r="E3610" t="s">
        <v>7</v>
      </c>
      <c r="F3610" t="s">
        <v>7</v>
      </c>
      <c r="G3610" t="s">
        <v>8</v>
      </c>
      <c r="H3610">
        <v>401.28</v>
      </c>
    </row>
    <row r="3611" spans="1:8" x14ac:dyDescent="0.3">
      <c r="A3611">
        <v>202310</v>
      </c>
      <c r="B3611" s="1">
        <v>45200</v>
      </c>
      <c r="C3611">
        <v>2023</v>
      </c>
      <c r="D3611" t="s">
        <v>17</v>
      </c>
      <c r="E3611" t="s">
        <v>7</v>
      </c>
      <c r="F3611" t="s">
        <v>7</v>
      </c>
      <c r="G3611" t="s">
        <v>8</v>
      </c>
      <c r="H3611">
        <v>1023.5</v>
      </c>
    </row>
    <row r="3612" spans="1:8" x14ac:dyDescent="0.3">
      <c r="A3612">
        <v>202311</v>
      </c>
      <c r="B3612" s="1">
        <v>45231</v>
      </c>
      <c r="C3612">
        <v>2023</v>
      </c>
      <c r="D3612" t="s">
        <v>18</v>
      </c>
      <c r="E3612" t="s">
        <v>7</v>
      </c>
      <c r="F3612" t="s">
        <v>7</v>
      </c>
      <c r="G3612" t="s">
        <v>8</v>
      </c>
      <c r="H3612">
        <v>605.58000000000004</v>
      </c>
    </row>
    <row r="3613" spans="1:8" x14ac:dyDescent="0.3">
      <c r="A3613">
        <v>202312</v>
      </c>
      <c r="B3613" s="1">
        <v>45261</v>
      </c>
      <c r="C3613">
        <v>2023</v>
      </c>
      <c r="D3613" t="s">
        <v>19</v>
      </c>
      <c r="E3613" t="s">
        <v>7</v>
      </c>
      <c r="F3613" t="s">
        <v>7</v>
      </c>
      <c r="G3613" t="s">
        <v>8</v>
      </c>
      <c r="H3613">
        <v>472.35</v>
      </c>
    </row>
    <row r="3614" spans="1:8" x14ac:dyDescent="0.3">
      <c r="A3614">
        <v>202301</v>
      </c>
      <c r="B3614" s="1">
        <v>44927</v>
      </c>
      <c r="C3614">
        <v>2023</v>
      </c>
      <c r="D3614" t="s">
        <v>6</v>
      </c>
      <c r="E3614" t="s">
        <v>7</v>
      </c>
      <c r="F3614" t="s">
        <v>7</v>
      </c>
      <c r="G3614" t="s">
        <v>8</v>
      </c>
      <c r="H3614">
        <v>528.97</v>
      </c>
    </row>
    <row r="3615" spans="1:8" x14ac:dyDescent="0.3">
      <c r="A3615">
        <v>202302</v>
      </c>
      <c r="B3615" s="1">
        <v>44958</v>
      </c>
      <c r="C3615">
        <v>2023</v>
      </c>
      <c r="D3615" t="s">
        <v>9</v>
      </c>
      <c r="E3615" t="s">
        <v>7</v>
      </c>
      <c r="F3615" t="s">
        <v>7</v>
      </c>
      <c r="G3615" t="s">
        <v>8</v>
      </c>
      <c r="H3615">
        <v>322.67</v>
      </c>
    </row>
    <row r="3616" spans="1:8" x14ac:dyDescent="0.3">
      <c r="A3616">
        <v>202303</v>
      </c>
      <c r="B3616" s="1">
        <v>44986</v>
      </c>
      <c r="C3616">
        <v>2023</v>
      </c>
      <c r="D3616" t="s">
        <v>10</v>
      </c>
      <c r="E3616" t="s">
        <v>7</v>
      </c>
      <c r="F3616" t="s">
        <v>7</v>
      </c>
      <c r="G3616" t="s">
        <v>8</v>
      </c>
      <c r="H3616">
        <v>457.27</v>
      </c>
    </row>
    <row r="3617" spans="1:8" x14ac:dyDescent="0.3">
      <c r="A3617">
        <v>202304</v>
      </c>
      <c r="B3617" s="1">
        <v>45017</v>
      </c>
      <c r="C3617">
        <v>2023</v>
      </c>
      <c r="D3617" t="s">
        <v>11</v>
      </c>
      <c r="E3617" t="s">
        <v>7</v>
      </c>
      <c r="F3617" t="s">
        <v>7</v>
      </c>
      <c r="G3617" t="s">
        <v>8</v>
      </c>
      <c r="H3617">
        <v>1174.8699999999999</v>
      </c>
    </row>
    <row r="3618" spans="1:8" x14ac:dyDescent="0.3">
      <c r="A3618">
        <v>202305</v>
      </c>
      <c r="B3618" s="1">
        <v>45047</v>
      </c>
      <c r="C3618">
        <v>2023</v>
      </c>
      <c r="D3618" t="s">
        <v>12</v>
      </c>
      <c r="E3618" t="s">
        <v>7</v>
      </c>
      <c r="F3618" t="s">
        <v>7</v>
      </c>
      <c r="G3618" t="s">
        <v>8</v>
      </c>
      <c r="H3618">
        <v>471.63</v>
      </c>
    </row>
    <row r="3619" spans="1:8" x14ac:dyDescent="0.3">
      <c r="A3619">
        <v>202306</v>
      </c>
      <c r="B3619" s="1">
        <v>45078</v>
      </c>
      <c r="C3619">
        <v>2023</v>
      </c>
      <c r="D3619" t="s">
        <v>13</v>
      </c>
      <c r="E3619" t="s">
        <v>7</v>
      </c>
      <c r="F3619" t="s">
        <v>7</v>
      </c>
      <c r="G3619" t="s">
        <v>8</v>
      </c>
      <c r="H3619">
        <v>395.46</v>
      </c>
    </row>
    <row r="3620" spans="1:8" x14ac:dyDescent="0.3">
      <c r="A3620">
        <v>202307</v>
      </c>
      <c r="B3620" s="1">
        <v>45108</v>
      </c>
      <c r="C3620">
        <v>2023</v>
      </c>
      <c r="D3620" t="s">
        <v>14</v>
      </c>
      <c r="E3620" t="s">
        <v>7</v>
      </c>
      <c r="F3620" t="s">
        <v>7</v>
      </c>
      <c r="G3620" t="s">
        <v>8</v>
      </c>
      <c r="H3620">
        <v>815.61</v>
      </c>
    </row>
    <row r="3621" spans="1:8" x14ac:dyDescent="0.3">
      <c r="A3621">
        <v>202308</v>
      </c>
      <c r="B3621" s="1">
        <v>45139</v>
      </c>
      <c r="C3621">
        <v>2023</v>
      </c>
      <c r="D3621" t="s">
        <v>15</v>
      </c>
      <c r="E3621" t="s">
        <v>7</v>
      </c>
      <c r="F3621" t="s">
        <v>7</v>
      </c>
      <c r="G3621" t="s">
        <v>8</v>
      </c>
      <c r="H3621">
        <v>550.11</v>
      </c>
    </row>
    <row r="3622" spans="1:8" x14ac:dyDescent="0.3">
      <c r="A3622">
        <v>202309</v>
      </c>
      <c r="B3622" s="1">
        <v>45170</v>
      </c>
      <c r="C3622">
        <v>2023</v>
      </c>
      <c r="D3622" t="s">
        <v>16</v>
      </c>
      <c r="E3622" t="s">
        <v>7</v>
      </c>
      <c r="F3622" t="s">
        <v>7</v>
      </c>
      <c r="G3622" t="s">
        <v>8</v>
      </c>
      <c r="H3622">
        <v>381.42</v>
      </c>
    </row>
    <row r="3623" spans="1:8" x14ac:dyDescent="0.3">
      <c r="A3623">
        <v>202310</v>
      </c>
      <c r="B3623" s="1">
        <v>45200</v>
      </c>
      <c r="C3623">
        <v>2023</v>
      </c>
      <c r="D3623" t="s">
        <v>17</v>
      </c>
      <c r="E3623" t="s">
        <v>7</v>
      </c>
      <c r="F3623" t="s">
        <v>7</v>
      </c>
      <c r="G3623" t="s">
        <v>8</v>
      </c>
      <c r="H3623">
        <v>803.49</v>
      </c>
    </row>
    <row r="3624" spans="1:8" x14ac:dyDescent="0.3">
      <c r="A3624">
        <v>202311</v>
      </c>
      <c r="B3624" s="1">
        <v>45231</v>
      </c>
      <c r="C3624">
        <v>2023</v>
      </c>
      <c r="D3624" t="s">
        <v>18</v>
      </c>
      <c r="E3624" t="s">
        <v>7</v>
      </c>
      <c r="F3624" t="s">
        <v>7</v>
      </c>
      <c r="G3624" t="s">
        <v>8</v>
      </c>
      <c r="H3624">
        <v>535.14</v>
      </c>
    </row>
    <row r="3625" spans="1:8" x14ac:dyDescent="0.3">
      <c r="A3625">
        <v>202312</v>
      </c>
      <c r="B3625" s="1">
        <v>45261</v>
      </c>
      <c r="C3625">
        <v>2023</v>
      </c>
      <c r="D3625" t="s">
        <v>19</v>
      </c>
      <c r="E3625" t="s">
        <v>7</v>
      </c>
      <c r="F3625" t="s">
        <v>7</v>
      </c>
      <c r="G3625" t="s">
        <v>8</v>
      </c>
      <c r="H3625">
        <v>344.42</v>
      </c>
    </row>
    <row r="3626" spans="1:8" x14ac:dyDescent="0.3">
      <c r="A3626">
        <v>202301</v>
      </c>
      <c r="B3626" s="1">
        <v>44927</v>
      </c>
      <c r="C3626">
        <v>2023</v>
      </c>
      <c r="D3626" t="s">
        <v>6</v>
      </c>
      <c r="E3626" t="s">
        <v>7</v>
      </c>
      <c r="F3626" t="s">
        <v>7</v>
      </c>
      <c r="G3626" t="s">
        <v>8</v>
      </c>
      <c r="H3626">
        <v>11913.82</v>
      </c>
    </row>
    <row r="3627" spans="1:8" x14ac:dyDescent="0.3">
      <c r="A3627">
        <v>202302</v>
      </c>
      <c r="B3627" s="1">
        <v>44958</v>
      </c>
      <c r="C3627">
        <v>2023</v>
      </c>
      <c r="D3627" t="s">
        <v>9</v>
      </c>
      <c r="E3627" t="s">
        <v>7</v>
      </c>
      <c r="F3627" t="s">
        <v>7</v>
      </c>
      <c r="G3627" t="s">
        <v>8</v>
      </c>
      <c r="H3627">
        <v>6167.25</v>
      </c>
    </row>
    <row r="3628" spans="1:8" x14ac:dyDescent="0.3">
      <c r="A3628">
        <v>202303</v>
      </c>
      <c r="B3628" s="1">
        <v>44986</v>
      </c>
      <c r="C3628">
        <v>2023</v>
      </c>
      <c r="D3628" t="s">
        <v>10</v>
      </c>
      <c r="E3628" t="s">
        <v>7</v>
      </c>
      <c r="F3628" t="s">
        <v>7</v>
      </c>
      <c r="G3628" t="s">
        <v>8</v>
      </c>
      <c r="H3628">
        <v>8816.7800000000007</v>
      </c>
    </row>
    <row r="3629" spans="1:8" x14ac:dyDescent="0.3">
      <c r="A3629">
        <v>202304</v>
      </c>
      <c r="B3629" s="1">
        <v>45017</v>
      </c>
      <c r="C3629">
        <v>2023</v>
      </c>
      <c r="D3629" t="s">
        <v>11</v>
      </c>
      <c r="E3629" t="s">
        <v>7</v>
      </c>
      <c r="F3629" t="s">
        <v>7</v>
      </c>
      <c r="G3629" t="s">
        <v>8</v>
      </c>
      <c r="H3629">
        <v>18691.080000000002</v>
      </c>
    </row>
    <row r="3630" spans="1:8" x14ac:dyDescent="0.3">
      <c r="A3630">
        <v>202305</v>
      </c>
      <c r="B3630" s="1">
        <v>45047</v>
      </c>
      <c r="C3630">
        <v>2023</v>
      </c>
      <c r="D3630" t="s">
        <v>12</v>
      </c>
      <c r="E3630" t="s">
        <v>7</v>
      </c>
      <c r="F3630" t="s">
        <v>7</v>
      </c>
      <c r="G3630" t="s">
        <v>8</v>
      </c>
      <c r="H3630">
        <v>9834.7800000000007</v>
      </c>
    </row>
    <row r="3631" spans="1:8" x14ac:dyDescent="0.3">
      <c r="A3631">
        <v>202306</v>
      </c>
      <c r="B3631" s="1">
        <v>45078</v>
      </c>
      <c r="C3631">
        <v>2023</v>
      </c>
      <c r="D3631" t="s">
        <v>13</v>
      </c>
      <c r="E3631" t="s">
        <v>7</v>
      </c>
      <c r="F3631" t="s">
        <v>7</v>
      </c>
      <c r="G3631" t="s">
        <v>8</v>
      </c>
      <c r="H3631">
        <v>9337.68</v>
      </c>
    </row>
    <row r="3632" spans="1:8" x14ac:dyDescent="0.3">
      <c r="A3632">
        <v>202307</v>
      </c>
      <c r="B3632" s="1">
        <v>45108</v>
      </c>
      <c r="C3632">
        <v>2023</v>
      </c>
      <c r="D3632" t="s">
        <v>14</v>
      </c>
      <c r="E3632" t="s">
        <v>7</v>
      </c>
      <c r="F3632" t="s">
        <v>7</v>
      </c>
      <c r="G3632" t="s">
        <v>8</v>
      </c>
      <c r="H3632">
        <v>15983.89</v>
      </c>
    </row>
    <row r="3633" spans="1:8" x14ac:dyDescent="0.3">
      <c r="A3633">
        <v>202308</v>
      </c>
      <c r="B3633" s="1">
        <v>45139</v>
      </c>
      <c r="C3633">
        <v>2023</v>
      </c>
      <c r="D3633" t="s">
        <v>15</v>
      </c>
      <c r="E3633" t="s">
        <v>7</v>
      </c>
      <c r="F3633" t="s">
        <v>7</v>
      </c>
      <c r="G3633" t="s">
        <v>8</v>
      </c>
      <c r="H3633">
        <v>11344.26</v>
      </c>
    </row>
    <row r="3634" spans="1:8" x14ac:dyDescent="0.3">
      <c r="A3634">
        <v>202309</v>
      </c>
      <c r="B3634" s="1">
        <v>45170</v>
      </c>
      <c r="C3634">
        <v>2023</v>
      </c>
      <c r="D3634" t="s">
        <v>16</v>
      </c>
      <c r="E3634" t="s">
        <v>7</v>
      </c>
      <c r="F3634" t="s">
        <v>7</v>
      </c>
      <c r="G3634" t="s">
        <v>8</v>
      </c>
      <c r="H3634">
        <v>6824.95</v>
      </c>
    </row>
    <row r="3635" spans="1:8" x14ac:dyDescent="0.3">
      <c r="A3635">
        <v>202310</v>
      </c>
      <c r="B3635" s="1">
        <v>45200</v>
      </c>
      <c r="C3635">
        <v>2023</v>
      </c>
      <c r="D3635" t="s">
        <v>17</v>
      </c>
      <c r="E3635" t="s">
        <v>7</v>
      </c>
      <c r="F3635" t="s">
        <v>7</v>
      </c>
      <c r="G3635" t="s">
        <v>8</v>
      </c>
      <c r="H3635">
        <v>13871.37</v>
      </c>
    </row>
    <row r="3636" spans="1:8" x14ac:dyDescent="0.3">
      <c r="A3636">
        <v>202311</v>
      </c>
      <c r="B3636" s="1">
        <v>45231</v>
      </c>
      <c r="C3636">
        <v>2023</v>
      </c>
      <c r="D3636" t="s">
        <v>18</v>
      </c>
      <c r="E3636" t="s">
        <v>7</v>
      </c>
      <c r="F3636" t="s">
        <v>7</v>
      </c>
      <c r="G3636" t="s">
        <v>8</v>
      </c>
      <c r="H3636">
        <v>11712.59</v>
      </c>
    </row>
    <row r="3637" spans="1:8" x14ac:dyDescent="0.3">
      <c r="A3637">
        <v>202312</v>
      </c>
      <c r="B3637" s="1">
        <v>45261</v>
      </c>
      <c r="C3637">
        <v>2023</v>
      </c>
      <c r="D3637" t="s">
        <v>19</v>
      </c>
      <c r="E3637" t="s">
        <v>7</v>
      </c>
      <c r="F3637" t="s">
        <v>7</v>
      </c>
      <c r="G3637" t="s">
        <v>8</v>
      </c>
      <c r="H3637">
        <v>7564.83</v>
      </c>
    </row>
    <row r="3638" spans="1:8" x14ac:dyDescent="0.3">
      <c r="A3638">
        <v>202301</v>
      </c>
      <c r="B3638" s="1">
        <v>44927</v>
      </c>
      <c r="C3638">
        <v>2023</v>
      </c>
      <c r="D3638" t="s">
        <v>6</v>
      </c>
      <c r="E3638" t="s">
        <v>7</v>
      </c>
      <c r="F3638" t="s">
        <v>7</v>
      </c>
      <c r="G3638" t="s">
        <v>8</v>
      </c>
      <c r="H3638">
        <v>392.61</v>
      </c>
    </row>
    <row r="3639" spans="1:8" x14ac:dyDescent="0.3">
      <c r="A3639">
        <v>202302</v>
      </c>
      <c r="B3639" s="1">
        <v>44958</v>
      </c>
      <c r="C3639">
        <v>2023</v>
      </c>
      <c r="D3639" t="s">
        <v>9</v>
      </c>
      <c r="E3639" t="s">
        <v>7</v>
      </c>
      <c r="F3639" t="s">
        <v>7</v>
      </c>
      <c r="G3639" t="s">
        <v>8</v>
      </c>
      <c r="H3639">
        <v>176.49</v>
      </c>
    </row>
    <row r="3640" spans="1:8" x14ac:dyDescent="0.3">
      <c r="A3640">
        <v>202303</v>
      </c>
      <c r="B3640" s="1">
        <v>44986</v>
      </c>
      <c r="C3640">
        <v>2023</v>
      </c>
      <c r="D3640" t="s">
        <v>10</v>
      </c>
      <c r="E3640" t="s">
        <v>7</v>
      </c>
      <c r="F3640" t="s">
        <v>7</v>
      </c>
      <c r="G3640" t="s">
        <v>8</v>
      </c>
      <c r="H3640">
        <v>284.88</v>
      </c>
    </row>
    <row r="3641" spans="1:8" x14ac:dyDescent="0.3">
      <c r="A3641">
        <v>202304</v>
      </c>
      <c r="B3641" s="1">
        <v>45017</v>
      </c>
      <c r="C3641">
        <v>2023</v>
      </c>
      <c r="D3641" t="s">
        <v>11</v>
      </c>
      <c r="E3641" t="s">
        <v>7</v>
      </c>
      <c r="F3641" t="s">
        <v>7</v>
      </c>
      <c r="G3641" t="s">
        <v>8</v>
      </c>
      <c r="H3641">
        <v>618.77</v>
      </c>
    </row>
    <row r="3642" spans="1:8" x14ac:dyDescent="0.3">
      <c r="A3642">
        <v>202305</v>
      </c>
      <c r="B3642" s="1">
        <v>45047</v>
      </c>
      <c r="C3642">
        <v>2023</v>
      </c>
      <c r="D3642" t="s">
        <v>12</v>
      </c>
      <c r="E3642" t="s">
        <v>7</v>
      </c>
      <c r="F3642" t="s">
        <v>7</v>
      </c>
      <c r="G3642" t="s">
        <v>8</v>
      </c>
      <c r="H3642">
        <v>283.92</v>
      </c>
    </row>
    <row r="3643" spans="1:8" x14ac:dyDescent="0.3">
      <c r="A3643">
        <v>202306</v>
      </c>
      <c r="B3643" s="1">
        <v>45078</v>
      </c>
      <c r="C3643">
        <v>2023</v>
      </c>
      <c r="D3643" t="s">
        <v>13</v>
      </c>
      <c r="E3643" t="s">
        <v>7</v>
      </c>
      <c r="F3643" t="s">
        <v>7</v>
      </c>
      <c r="G3643" t="s">
        <v>8</v>
      </c>
      <c r="H3643">
        <v>217.49</v>
      </c>
    </row>
    <row r="3644" spans="1:8" x14ac:dyDescent="0.3">
      <c r="A3644">
        <v>202307</v>
      </c>
      <c r="B3644" s="1">
        <v>45108</v>
      </c>
      <c r="C3644">
        <v>2023</v>
      </c>
      <c r="D3644" t="s">
        <v>14</v>
      </c>
      <c r="E3644" t="s">
        <v>7</v>
      </c>
      <c r="F3644" t="s">
        <v>7</v>
      </c>
      <c r="G3644" t="s">
        <v>8</v>
      </c>
      <c r="H3644">
        <v>531.57000000000005</v>
      </c>
    </row>
    <row r="3645" spans="1:8" x14ac:dyDescent="0.3">
      <c r="A3645">
        <v>202308</v>
      </c>
      <c r="B3645" s="1">
        <v>45139</v>
      </c>
      <c r="C3645">
        <v>2023</v>
      </c>
      <c r="D3645" t="s">
        <v>15</v>
      </c>
      <c r="E3645" t="s">
        <v>7</v>
      </c>
      <c r="F3645" t="s">
        <v>7</v>
      </c>
      <c r="G3645" t="s">
        <v>8</v>
      </c>
      <c r="H3645">
        <v>296.35000000000002</v>
      </c>
    </row>
    <row r="3646" spans="1:8" x14ac:dyDescent="0.3">
      <c r="A3646">
        <v>202309</v>
      </c>
      <c r="B3646" s="1">
        <v>45170</v>
      </c>
      <c r="C3646">
        <v>2023</v>
      </c>
      <c r="D3646" t="s">
        <v>16</v>
      </c>
      <c r="E3646" t="s">
        <v>7</v>
      </c>
      <c r="F3646" t="s">
        <v>7</v>
      </c>
      <c r="G3646" t="s">
        <v>8</v>
      </c>
      <c r="H3646">
        <v>222.19</v>
      </c>
    </row>
    <row r="3647" spans="1:8" x14ac:dyDescent="0.3">
      <c r="A3647">
        <v>202310</v>
      </c>
      <c r="B3647" s="1">
        <v>45200</v>
      </c>
      <c r="C3647">
        <v>2023</v>
      </c>
      <c r="D3647" t="s">
        <v>17</v>
      </c>
      <c r="E3647" t="s">
        <v>7</v>
      </c>
      <c r="F3647" t="s">
        <v>7</v>
      </c>
      <c r="G3647" t="s">
        <v>8</v>
      </c>
      <c r="H3647">
        <v>589.91</v>
      </c>
    </row>
    <row r="3648" spans="1:8" x14ac:dyDescent="0.3">
      <c r="A3648">
        <v>202311</v>
      </c>
      <c r="B3648" s="1">
        <v>45231</v>
      </c>
      <c r="C3648">
        <v>2023</v>
      </c>
      <c r="D3648" t="s">
        <v>18</v>
      </c>
      <c r="E3648" t="s">
        <v>7</v>
      </c>
      <c r="F3648" t="s">
        <v>7</v>
      </c>
      <c r="G3648" t="s">
        <v>8</v>
      </c>
      <c r="H3648">
        <v>325.60000000000002</v>
      </c>
    </row>
    <row r="3649" spans="1:8" x14ac:dyDescent="0.3">
      <c r="A3649">
        <v>202312</v>
      </c>
      <c r="B3649" s="1">
        <v>45261</v>
      </c>
      <c r="C3649">
        <v>2023</v>
      </c>
      <c r="D3649" t="s">
        <v>19</v>
      </c>
      <c r="E3649" t="s">
        <v>7</v>
      </c>
      <c r="F3649" t="s">
        <v>7</v>
      </c>
      <c r="G3649" t="s">
        <v>8</v>
      </c>
      <c r="H3649">
        <v>266.69</v>
      </c>
    </row>
    <row r="3650" spans="1:8" x14ac:dyDescent="0.3">
      <c r="A3650">
        <v>202301</v>
      </c>
      <c r="B3650" s="1">
        <v>44927</v>
      </c>
      <c r="C3650">
        <v>2023</v>
      </c>
      <c r="D3650" t="s">
        <v>6</v>
      </c>
      <c r="E3650" t="s">
        <v>7</v>
      </c>
      <c r="F3650" t="s">
        <v>7</v>
      </c>
      <c r="G3650" t="s">
        <v>8</v>
      </c>
      <c r="H3650">
        <v>3006.24</v>
      </c>
    </row>
    <row r="3651" spans="1:8" x14ac:dyDescent="0.3">
      <c r="A3651">
        <v>202302</v>
      </c>
      <c r="B3651" s="1">
        <v>44958</v>
      </c>
      <c r="C3651">
        <v>2023</v>
      </c>
      <c r="D3651" t="s">
        <v>9</v>
      </c>
      <c r="E3651" t="s">
        <v>7</v>
      </c>
      <c r="F3651" t="s">
        <v>7</v>
      </c>
      <c r="G3651" t="s">
        <v>8</v>
      </c>
      <c r="H3651">
        <v>1070.68</v>
      </c>
    </row>
    <row r="3652" spans="1:8" x14ac:dyDescent="0.3">
      <c r="A3652">
        <v>202303</v>
      </c>
      <c r="B3652" s="1">
        <v>44986</v>
      </c>
      <c r="C3652">
        <v>2023</v>
      </c>
      <c r="D3652" t="s">
        <v>10</v>
      </c>
      <c r="E3652" t="s">
        <v>7</v>
      </c>
      <c r="F3652" t="s">
        <v>7</v>
      </c>
      <c r="G3652" t="s">
        <v>8</v>
      </c>
      <c r="H3652">
        <v>1247.3399999999999</v>
      </c>
    </row>
    <row r="3653" spans="1:8" x14ac:dyDescent="0.3">
      <c r="A3653">
        <v>202304</v>
      </c>
      <c r="B3653" s="1">
        <v>45017</v>
      </c>
      <c r="C3653">
        <v>2023</v>
      </c>
      <c r="D3653" t="s">
        <v>11</v>
      </c>
      <c r="E3653" t="s">
        <v>7</v>
      </c>
      <c r="F3653" t="s">
        <v>7</v>
      </c>
      <c r="G3653" t="s">
        <v>8</v>
      </c>
      <c r="H3653">
        <v>3574.33</v>
      </c>
    </row>
    <row r="3654" spans="1:8" x14ac:dyDescent="0.3">
      <c r="A3654">
        <v>202305</v>
      </c>
      <c r="B3654" s="1">
        <v>45047</v>
      </c>
      <c r="C3654">
        <v>2023</v>
      </c>
      <c r="D3654" t="s">
        <v>12</v>
      </c>
      <c r="E3654" t="s">
        <v>7</v>
      </c>
      <c r="F3654" t="s">
        <v>7</v>
      </c>
      <c r="G3654" t="s">
        <v>8</v>
      </c>
      <c r="H3654">
        <v>2626.99</v>
      </c>
    </row>
    <row r="3655" spans="1:8" x14ac:dyDescent="0.3">
      <c r="A3655">
        <v>202306</v>
      </c>
      <c r="B3655" s="1">
        <v>45078</v>
      </c>
      <c r="C3655">
        <v>2023</v>
      </c>
      <c r="D3655" t="s">
        <v>13</v>
      </c>
      <c r="E3655" t="s">
        <v>7</v>
      </c>
      <c r="F3655" t="s">
        <v>7</v>
      </c>
      <c r="G3655" t="s">
        <v>8</v>
      </c>
      <c r="H3655">
        <v>1918.73</v>
      </c>
    </row>
    <row r="3656" spans="1:8" x14ac:dyDescent="0.3">
      <c r="A3656">
        <v>202307</v>
      </c>
      <c r="B3656" s="1">
        <v>45108</v>
      </c>
      <c r="C3656">
        <v>2023</v>
      </c>
      <c r="D3656" t="s">
        <v>14</v>
      </c>
      <c r="E3656" t="s">
        <v>7</v>
      </c>
      <c r="F3656" t="s">
        <v>7</v>
      </c>
      <c r="G3656" t="s">
        <v>8</v>
      </c>
      <c r="H3656">
        <v>3173.84</v>
      </c>
    </row>
    <row r="3657" spans="1:8" x14ac:dyDescent="0.3">
      <c r="A3657">
        <v>202308</v>
      </c>
      <c r="B3657" s="1">
        <v>45139</v>
      </c>
      <c r="C3657">
        <v>2023</v>
      </c>
      <c r="D3657" t="s">
        <v>15</v>
      </c>
      <c r="E3657" t="s">
        <v>7</v>
      </c>
      <c r="F3657" t="s">
        <v>7</v>
      </c>
      <c r="G3657" t="s">
        <v>8</v>
      </c>
      <c r="H3657">
        <v>1869.87</v>
      </c>
    </row>
    <row r="3658" spans="1:8" x14ac:dyDescent="0.3">
      <c r="A3658">
        <v>202309</v>
      </c>
      <c r="B3658" s="1">
        <v>45170</v>
      </c>
      <c r="C3658">
        <v>2023</v>
      </c>
      <c r="D3658" t="s">
        <v>16</v>
      </c>
      <c r="E3658" t="s">
        <v>7</v>
      </c>
      <c r="F3658" t="s">
        <v>7</v>
      </c>
      <c r="G3658" t="s">
        <v>8</v>
      </c>
      <c r="H3658">
        <v>1475.53</v>
      </c>
    </row>
    <row r="3659" spans="1:8" x14ac:dyDescent="0.3">
      <c r="A3659">
        <v>202310</v>
      </c>
      <c r="B3659" s="1">
        <v>45200</v>
      </c>
      <c r="C3659">
        <v>2023</v>
      </c>
      <c r="D3659" t="s">
        <v>17</v>
      </c>
      <c r="E3659" t="s">
        <v>7</v>
      </c>
      <c r="F3659" t="s">
        <v>7</v>
      </c>
      <c r="G3659" t="s">
        <v>8</v>
      </c>
      <c r="H3659">
        <v>3148.48</v>
      </c>
    </row>
    <row r="3660" spans="1:8" x14ac:dyDescent="0.3">
      <c r="A3660">
        <v>202311</v>
      </c>
      <c r="B3660" s="1">
        <v>45231</v>
      </c>
      <c r="C3660">
        <v>2023</v>
      </c>
      <c r="D3660" t="s">
        <v>18</v>
      </c>
      <c r="E3660" t="s">
        <v>7</v>
      </c>
      <c r="F3660" t="s">
        <v>7</v>
      </c>
      <c r="G3660" t="s">
        <v>8</v>
      </c>
      <c r="H3660">
        <v>2146.04</v>
      </c>
    </row>
    <row r="3661" spans="1:8" x14ac:dyDescent="0.3">
      <c r="A3661">
        <v>202312</v>
      </c>
      <c r="B3661" s="1">
        <v>45261</v>
      </c>
      <c r="C3661">
        <v>2023</v>
      </c>
      <c r="D3661" t="s">
        <v>19</v>
      </c>
      <c r="E3661" t="s">
        <v>7</v>
      </c>
      <c r="F3661" t="s">
        <v>7</v>
      </c>
      <c r="G3661" t="s">
        <v>8</v>
      </c>
      <c r="H3661">
        <v>1521.32</v>
      </c>
    </row>
    <row r="3662" spans="1:8" x14ac:dyDescent="0.3">
      <c r="A3662">
        <v>202301</v>
      </c>
      <c r="B3662" s="1">
        <v>44927</v>
      </c>
      <c r="C3662">
        <v>2023</v>
      </c>
      <c r="D3662" t="s">
        <v>6</v>
      </c>
      <c r="E3662" t="s">
        <v>7</v>
      </c>
      <c r="F3662" t="s">
        <v>7</v>
      </c>
      <c r="G3662" t="s">
        <v>8</v>
      </c>
      <c r="H3662">
        <v>5536.46</v>
      </c>
    </row>
    <row r="3663" spans="1:8" x14ac:dyDescent="0.3">
      <c r="A3663">
        <v>202302</v>
      </c>
      <c r="B3663" s="1">
        <v>44958</v>
      </c>
      <c r="C3663">
        <v>2023</v>
      </c>
      <c r="D3663" t="s">
        <v>9</v>
      </c>
      <c r="E3663" t="s">
        <v>7</v>
      </c>
      <c r="F3663" t="s">
        <v>7</v>
      </c>
      <c r="G3663" t="s">
        <v>8</v>
      </c>
      <c r="H3663">
        <v>3025.28</v>
      </c>
    </row>
    <row r="3664" spans="1:8" x14ac:dyDescent="0.3">
      <c r="A3664">
        <v>202303</v>
      </c>
      <c r="B3664" s="1">
        <v>44986</v>
      </c>
      <c r="C3664">
        <v>2023</v>
      </c>
      <c r="D3664" t="s">
        <v>10</v>
      </c>
      <c r="E3664" t="s">
        <v>7</v>
      </c>
      <c r="F3664" t="s">
        <v>7</v>
      </c>
      <c r="G3664" t="s">
        <v>8</v>
      </c>
      <c r="H3664">
        <v>3248.2</v>
      </c>
    </row>
    <row r="3665" spans="1:8" x14ac:dyDescent="0.3">
      <c r="A3665">
        <v>202304</v>
      </c>
      <c r="B3665" s="1">
        <v>45017</v>
      </c>
      <c r="C3665">
        <v>2023</v>
      </c>
      <c r="D3665" t="s">
        <v>11</v>
      </c>
      <c r="E3665" t="s">
        <v>7</v>
      </c>
      <c r="F3665" t="s">
        <v>7</v>
      </c>
      <c r="G3665" t="s">
        <v>8</v>
      </c>
      <c r="H3665">
        <v>6755.8</v>
      </c>
    </row>
    <row r="3666" spans="1:8" x14ac:dyDescent="0.3">
      <c r="A3666">
        <v>202305</v>
      </c>
      <c r="B3666" s="1">
        <v>45047</v>
      </c>
      <c r="C3666">
        <v>2023</v>
      </c>
      <c r="D3666" t="s">
        <v>12</v>
      </c>
      <c r="E3666" t="s">
        <v>7</v>
      </c>
      <c r="F3666" t="s">
        <v>7</v>
      </c>
      <c r="G3666" t="s">
        <v>8</v>
      </c>
      <c r="H3666">
        <v>4405.88</v>
      </c>
    </row>
    <row r="3667" spans="1:8" x14ac:dyDescent="0.3">
      <c r="A3667">
        <v>202306</v>
      </c>
      <c r="B3667" s="1">
        <v>45078</v>
      </c>
      <c r="C3667">
        <v>2023</v>
      </c>
      <c r="D3667" t="s">
        <v>13</v>
      </c>
      <c r="E3667" t="s">
        <v>7</v>
      </c>
      <c r="F3667" t="s">
        <v>7</v>
      </c>
      <c r="G3667" t="s">
        <v>8</v>
      </c>
      <c r="H3667">
        <v>3815.88</v>
      </c>
    </row>
    <row r="3668" spans="1:8" x14ac:dyDescent="0.3">
      <c r="A3668">
        <v>202307</v>
      </c>
      <c r="B3668" s="1">
        <v>45108</v>
      </c>
      <c r="C3668">
        <v>2023</v>
      </c>
      <c r="D3668" t="s">
        <v>14</v>
      </c>
      <c r="E3668" t="s">
        <v>7</v>
      </c>
      <c r="F3668" t="s">
        <v>7</v>
      </c>
      <c r="G3668" t="s">
        <v>8</v>
      </c>
      <c r="H3668">
        <v>5218.6899999999996</v>
      </c>
    </row>
    <row r="3669" spans="1:8" x14ac:dyDescent="0.3">
      <c r="A3669">
        <v>202308</v>
      </c>
      <c r="B3669" s="1">
        <v>45139</v>
      </c>
      <c r="C3669">
        <v>2023</v>
      </c>
      <c r="D3669" t="s">
        <v>15</v>
      </c>
      <c r="E3669" t="s">
        <v>7</v>
      </c>
      <c r="F3669" t="s">
        <v>7</v>
      </c>
      <c r="G3669" t="s">
        <v>8</v>
      </c>
      <c r="H3669">
        <v>4355.6400000000003</v>
      </c>
    </row>
    <row r="3670" spans="1:8" x14ac:dyDescent="0.3">
      <c r="A3670">
        <v>202309</v>
      </c>
      <c r="B3670" s="1">
        <v>45170</v>
      </c>
      <c r="C3670">
        <v>2023</v>
      </c>
      <c r="D3670" t="s">
        <v>16</v>
      </c>
      <c r="E3670" t="s">
        <v>7</v>
      </c>
      <c r="F3670" t="s">
        <v>7</v>
      </c>
      <c r="G3670" t="s">
        <v>8</v>
      </c>
      <c r="H3670">
        <v>3513.23</v>
      </c>
    </row>
    <row r="3671" spans="1:8" x14ac:dyDescent="0.3">
      <c r="A3671">
        <v>202310</v>
      </c>
      <c r="B3671" s="1">
        <v>45200</v>
      </c>
      <c r="C3671">
        <v>2023</v>
      </c>
      <c r="D3671" t="s">
        <v>17</v>
      </c>
      <c r="E3671" t="s">
        <v>7</v>
      </c>
      <c r="F3671" t="s">
        <v>7</v>
      </c>
      <c r="G3671" t="s">
        <v>8</v>
      </c>
      <c r="H3671">
        <v>6194.55</v>
      </c>
    </row>
    <row r="3672" spans="1:8" x14ac:dyDescent="0.3">
      <c r="A3672">
        <v>202311</v>
      </c>
      <c r="B3672" s="1">
        <v>45231</v>
      </c>
      <c r="C3672">
        <v>2023</v>
      </c>
      <c r="D3672" t="s">
        <v>18</v>
      </c>
      <c r="E3672" t="s">
        <v>7</v>
      </c>
      <c r="F3672" t="s">
        <v>7</v>
      </c>
      <c r="G3672" t="s">
        <v>8</v>
      </c>
      <c r="H3672">
        <v>4266.6000000000004</v>
      </c>
    </row>
    <row r="3673" spans="1:8" x14ac:dyDescent="0.3">
      <c r="A3673">
        <v>202312</v>
      </c>
      <c r="B3673" s="1">
        <v>45261</v>
      </c>
      <c r="C3673">
        <v>2023</v>
      </c>
      <c r="D3673" t="s">
        <v>19</v>
      </c>
      <c r="E3673" t="s">
        <v>7</v>
      </c>
      <c r="F3673" t="s">
        <v>7</v>
      </c>
      <c r="G3673" t="s">
        <v>8</v>
      </c>
      <c r="H3673">
        <v>4565.07</v>
      </c>
    </row>
    <row r="3674" spans="1:8" x14ac:dyDescent="0.3">
      <c r="A3674">
        <v>202301</v>
      </c>
      <c r="B3674" s="1">
        <v>44927</v>
      </c>
      <c r="C3674">
        <v>2023</v>
      </c>
      <c r="D3674" t="s">
        <v>6</v>
      </c>
      <c r="E3674" t="s">
        <v>7</v>
      </c>
      <c r="F3674" t="s">
        <v>7</v>
      </c>
      <c r="G3674" t="s">
        <v>8</v>
      </c>
      <c r="H3674">
        <v>796.53</v>
      </c>
    </row>
    <row r="3675" spans="1:8" x14ac:dyDescent="0.3">
      <c r="A3675">
        <v>202302</v>
      </c>
      <c r="B3675" s="1">
        <v>44958</v>
      </c>
      <c r="C3675">
        <v>2023</v>
      </c>
      <c r="D3675" t="s">
        <v>9</v>
      </c>
      <c r="E3675" t="s">
        <v>7</v>
      </c>
      <c r="F3675" t="s">
        <v>7</v>
      </c>
      <c r="G3675" t="s">
        <v>8</v>
      </c>
      <c r="H3675">
        <v>488.14</v>
      </c>
    </row>
    <row r="3676" spans="1:8" x14ac:dyDescent="0.3">
      <c r="A3676">
        <v>202303</v>
      </c>
      <c r="B3676" s="1">
        <v>44986</v>
      </c>
      <c r="C3676">
        <v>2023</v>
      </c>
      <c r="D3676" t="s">
        <v>10</v>
      </c>
      <c r="E3676" t="s">
        <v>7</v>
      </c>
      <c r="F3676" t="s">
        <v>7</v>
      </c>
      <c r="G3676" t="s">
        <v>8</v>
      </c>
      <c r="H3676">
        <v>648.30999999999995</v>
      </c>
    </row>
    <row r="3677" spans="1:8" x14ac:dyDescent="0.3">
      <c r="A3677">
        <v>202304</v>
      </c>
      <c r="B3677" s="1">
        <v>45017</v>
      </c>
      <c r="C3677">
        <v>2023</v>
      </c>
      <c r="D3677" t="s">
        <v>11</v>
      </c>
      <c r="E3677" t="s">
        <v>7</v>
      </c>
      <c r="F3677" t="s">
        <v>7</v>
      </c>
      <c r="G3677" t="s">
        <v>8</v>
      </c>
      <c r="H3677">
        <v>1327.86</v>
      </c>
    </row>
    <row r="3678" spans="1:8" x14ac:dyDescent="0.3">
      <c r="A3678">
        <v>202305</v>
      </c>
      <c r="B3678" s="1">
        <v>45047</v>
      </c>
      <c r="C3678">
        <v>2023</v>
      </c>
      <c r="D3678" t="s">
        <v>12</v>
      </c>
      <c r="E3678" t="s">
        <v>7</v>
      </c>
      <c r="F3678" t="s">
        <v>7</v>
      </c>
      <c r="G3678" t="s">
        <v>8</v>
      </c>
      <c r="H3678">
        <v>744.95</v>
      </c>
    </row>
    <row r="3679" spans="1:8" x14ac:dyDescent="0.3">
      <c r="A3679">
        <v>202306</v>
      </c>
      <c r="B3679" s="1">
        <v>45078</v>
      </c>
      <c r="C3679">
        <v>2023</v>
      </c>
      <c r="D3679" t="s">
        <v>13</v>
      </c>
      <c r="E3679" t="s">
        <v>7</v>
      </c>
      <c r="F3679" t="s">
        <v>7</v>
      </c>
      <c r="G3679" t="s">
        <v>8</v>
      </c>
      <c r="H3679">
        <v>578.88</v>
      </c>
    </row>
    <row r="3680" spans="1:8" x14ac:dyDescent="0.3">
      <c r="A3680">
        <v>202307</v>
      </c>
      <c r="B3680" s="1">
        <v>45108</v>
      </c>
      <c r="C3680">
        <v>2023</v>
      </c>
      <c r="D3680" t="s">
        <v>14</v>
      </c>
      <c r="E3680" t="s">
        <v>7</v>
      </c>
      <c r="F3680" t="s">
        <v>7</v>
      </c>
      <c r="G3680" t="s">
        <v>8</v>
      </c>
      <c r="H3680">
        <v>972.8</v>
      </c>
    </row>
    <row r="3681" spans="1:8" x14ac:dyDescent="0.3">
      <c r="A3681">
        <v>202308</v>
      </c>
      <c r="B3681" s="1">
        <v>45139</v>
      </c>
      <c r="C3681">
        <v>2023</v>
      </c>
      <c r="D3681" t="s">
        <v>15</v>
      </c>
      <c r="E3681" t="s">
        <v>7</v>
      </c>
      <c r="F3681" t="s">
        <v>7</v>
      </c>
      <c r="G3681" t="s">
        <v>8</v>
      </c>
      <c r="H3681">
        <v>750.58</v>
      </c>
    </row>
    <row r="3682" spans="1:8" x14ac:dyDescent="0.3">
      <c r="A3682">
        <v>202309</v>
      </c>
      <c r="B3682" s="1">
        <v>45170</v>
      </c>
      <c r="C3682">
        <v>2023</v>
      </c>
      <c r="D3682" t="s">
        <v>16</v>
      </c>
      <c r="E3682" t="s">
        <v>7</v>
      </c>
      <c r="F3682" t="s">
        <v>7</v>
      </c>
      <c r="G3682" t="s">
        <v>8</v>
      </c>
      <c r="H3682">
        <v>537.92999999999995</v>
      </c>
    </row>
    <row r="3683" spans="1:8" x14ac:dyDescent="0.3">
      <c r="A3683">
        <v>202310</v>
      </c>
      <c r="B3683" s="1">
        <v>45200</v>
      </c>
      <c r="C3683">
        <v>2023</v>
      </c>
      <c r="D3683" t="s">
        <v>17</v>
      </c>
      <c r="E3683" t="s">
        <v>7</v>
      </c>
      <c r="F3683" t="s">
        <v>7</v>
      </c>
      <c r="G3683" t="s">
        <v>8</v>
      </c>
      <c r="H3683">
        <v>1049.03</v>
      </c>
    </row>
    <row r="3684" spans="1:8" x14ac:dyDescent="0.3">
      <c r="A3684">
        <v>202311</v>
      </c>
      <c r="B3684" s="1">
        <v>45231</v>
      </c>
      <c r="C3684">
        <v>2023</v>
      </c>
      <c r="D3684" t="s">
        <v>18</v>
      </c>
      <c r="E3684" t="s">
        <v>7</v>
      </c>
      <c r="F3684" t="s">
        <v>7</v>
      </c>
      <c r="G3684" t="s">
        <v>8</v>
      </c>
      <c r="H3684">
        <v>800.63</v>
      </c>
    </row>
    <row r="3685" spans="1:8" x14ac:dyDescent="0.3">
      <c r="A3685">
        <v>202312</v>
      </c>
      <c r="B3685" s="1">
        <v>45261</v>
      </c>
      <c r="C3685">
        <v>2023</v>
      </c>
      <c r="D3685" t="s">
        <v>19</v>
      </c>
      <c r="E3685" t="s">
        <v>7</v>
      </c>
      <c r="F3685" t="s">
        <v>7</v>
      </c>
      <c r="G3685" t="s">
        <v>8</v>
      </c>
      <c r="H3685">
        <v>757.23</v>
      </c>
    </row>
    <row r="3686" spans="1:8" x14ac:dyDescent="0.3">
      <c r="A3686">
        <v>202301</v>
      </c>
      <c r="B3686" s="1">
        <v>44927</v>
      </c>
      <c r="C3686">
        <v>2023</v>
      </c>
      <c r="D3686" t="s">
        <v>6</v>
      </c>
      <c r="E3686" t="s">
        <v>7</v>
      </c>
      <c r="F3686" t="s">
        <v>7</v>
      </c>
      <c r="G3686" t="s">
        <v>8</v>
      </c>
      <c r="H3686">
        <v>1276.42</v>
      </c>
    </row>
    <row r="3687" spans="1:8" x14ac:dyDescent="0.3">
      <c r="A3687">
        <v>202302</v>
      </c>
      <c r="B3687" s="1">
        <v>44958</v>
      </c>
      <c r="C3687">
        <v>2023</v>
      </c>
      <c r="D3687" t="s">
        <v>9</v>
      </c>
      <c r="E3687" t="s">
        <v>7</v>
      </c>
      <c r="F3687" t="s">
        <v>7</v>
      </c>
      <c r="G3687" t="s">
        <v>8</v>
      </c>
      <c r="H3687">
        <v>823.47</v>
      </c>
    </row>
    <row r="3688" spans="1:8" x14ac:dyDescent="0.3">
      <c r="A3688">
        <v>202303</v>
      </c>
      <c r="B3688" s="1">
        <v>44986</v>
      </c>
      <c r="C3688">
        <v>2023</v>
      </c>
      <c r="D3688" t="s">
        <v>10</v>
      </c>
      <c r="E3688" t="s">
        <v>7</v>
      </c>
      <c r="F3688" t="s">
        <v>7</v>
      </c>
      <c r="G3688" t="s">
        <v>8</v>
      </c>
      <c r="H3688">
        <v>1041.54</v>
      </c>
    </row>
    <row r="3689" spans="1:8" x14ac:dyDescent="0.3">
      <c r="A3689">
        <v>202304</v>
      </c>
      <c r="B3689" s="1">
        <v>45017</v>
      </c>
      <c r="C3689">
        <v>2023</v>
      </c>
      <c r="D3689" t="s">
        <v>11</v>
      </c>
      <c r="E3689" t="s">
        <v>7</v>
      </c>
      <c r="F3689" t="s">
        <v>7</v>
      </c>
      <c r="G3689" t="s">
        <v>8</v>
      </c>
      <c r="H3689">
        <v>3093.54</v>
      </c>
    </row>
    <row r="3690" spans="1:8" x14ac:dyDescent="0.3">
      <c r="A3690">
        <v>202305</v>
      </c>
      <c r="B3690" s="1">
        <v>45047</v>
      </c>
      <c r="C3690">
        <v>2023</v>
      </c>
      <c r="D3690" t="s">
        <v>12</v>
      </c>
      <c r="E3690" t="s">
        <v>7</v>
      </c>
      <c r="F3690" t="s">
        <v>7</v>
      </c>
      <c r="G3690" t="s">
        <v>8</v>
      </c>
      <c r="H3690">
        <v>1119.1500000000001</v>
      </c>
    </row>
    <row r="3691" spans="1:8" x14ac:dyDescent="0.3">
      <c r="A3691">
        <v>202306</v>
      </c>
      <c r="B3691" s="1">
        <v>45078</v>
      </c>
      <c r="C3691">
        <v>2023</v>
      </c>
      <c r="D3691" t="s">
        <v>13</v>
      </c>
      <c r="E3691" t="s">
        <v>7</v>
      </c>
      <c r="F3691" t="s">
        <v>7</v>
      </c>
      <c r="G3691" t="s">
        <v>8</v>
      </c>
      <c r="H3691">
        <v>899.79</v>
      </c>
    </row>
    <row r="3692" spans="1:8" x14ac:dyDescent="0.3">
      <c r="A3692">
        <v>202307</v>
      </c>
      <c r="B3692" s="1">
        <v>45108</v>
      </c>
      <c r="C3692">
        <v>2023</v>
      </c>
      <c r="D3692" t="s">
        <v>14</v>
      </c>
      <c r="E3692" t="s">
        <v>7</v>
      </c>
      <c r="F3692" t="s">
        <v>7</v>
      </c>
      <c r="G3692" t="s">
        <v>8</v>
      </c>
      <c r="H3692">
        <v>1665.02</v>
      </c>
    </row>
    <row r="3693" spans="1:8" x14ac:dyDescent="0.3">
      <c r="A3693">
        <v>202308</v>
      </c>
      <c r="B3693" s="1">
        <v>45139</v>
      </c>
      <c r="C3693">
        <v>2023</v>
      </c>
      <c r="D3693" t="s">
        <v>15</v>
      </c>
      <c r="E3693" t="s">
        <v>7</v>
      </c>
      <c r="F3693" t="s">
        <v>7</v>
      </c>
      <c r="G3693" t="s">
        <v>8</v>
      </c>
      <c r="H3693">
        <v>1159.56</v>
      </c>
    </row>
    <row r="3694" spans="1:8" x14ac:dyDescent="0.3">
      <c r="A3694">
        <v>202309</v>
      </c>
      <c r="B3694" s="1">
        <v>45170</v>
      </c>
      <c r="C3694">
        <v>2023</v>
      </c>
      <c r="D3694" t="s">
        <v>16</v>
      </c>
      <c r="E3694" t="s">
        <v>7</v>
      </c>
      <c r="F3694" t="s">
        <v>7</v>
      </c>
      <c r="G3694" t="s">
        <v>8</v>
      </c>
      <c r="H3694">
        <v>857.97</v>
      </c>
    </row>
    <row r="3695" spans="1:8" x14ac:dyDescent="0.3">
      <c r="A3695">
        <v>202310</v>
      </c>
      <c r="B3695" s="1">
        <v>45200</v>
      </c>
      <c r="C3695">
        <v>2023</v>
      </c>
      <c r="D3695" t="s">
        <v>17</v>
      </c>
      <c r="E3695" t="s">
        <v>7</v>
      </c>
      <c r="F3695" t="s">
        <v>7</v>
      </c>
      <c r="G3695" t="s">
        <v>8</v>
      </c>
      <c r="H3695">
        <v>1549.5</v>
      </c>
    </row>
    <row r="3696" spans="1:8" x14ac:dyDescent="0.3">
      <c r="A3696">
        <v>202311</v>
      </c>
      <c r="B3696" s="1">
        <v>45231</v>
      </c>
      <c r="C3696">
        <v>2023</v>
      </c>
      <c r="D3696" t="s">
        <v>18</v>
      </c>
      <c r="E3696" t="s">
        <v>7</v>
      </c>
      <c r="F3696" t="s">
        <v>7</v>
      </c>
      <c r="G3696" t="s">
        <v>8</v>
      </c>
      <c r="H3696">
        <v>1310.1500000000001</v>
      </c>
    </row>
    <row r="3697" spans="1:8" x14ac:dyDescent="0.3">
      <c r="A3697">
        <v>202312</v>
      </c>
      <c r="B3697" s="1">
        <v>45261</v>
      </c>
      <c r="C3697">
        <v>2023</v>
      </c>
      <c r="D3697" t="s">
        <v>19</v>
      </c>
      <c r="E3697" t="s">
        <v>7</v>
      </c>
      <c r="F3697" t="s">
        <v>7</v>
      </c>
      <c r="G3697" t="s">
        <v>8</v>
      </c>
      <c r="H3697">
        <v>1409.13</v>
      </c>
    </row>
    <row r="3698" spans="1:8" x14ac:dyDescent="0.3">
      <c r="A3698">
        <v>202301</v>
      </c>
      <c r="B3698" s="1">
        <v>44927</v>
      </c>
      <c r="C3698">
        <v>2023</v>
      </c>
      <c r="D3698" t="s">
        <v>6</v>
      </c>
      <c r="E3698" t="s">
        <v>7</v>
      </c>
      <c r="F3698" t="s">
        <v>7</v>
      </c>
      <c r="G3698" t="s">
        <v>8</v>
      </c>
      <c r="H3698">
        <v>1301.5999999999999</v>
      </c>
    </row>
    <row r="3699" spans="1:8" x14ac:dyDescent="0.3">
      <c r="A3699">
        <v>202302</v>
      </c>
      <c r="B3699" s="1">
        <v>44958</v>
      </c>
      <c r="C3699">
        <v>2023</v>
      </c>
      <c r="D3699" t="s">
        <v>9</v>
      </c>
      <c r="E3699" t="s">
        <v>7</v>
      </c>
      <c r="F3699" t="s">
        <v>7</v>
      </c>
      <c r="G3699" t="s">
        <v>8</v>
      </c>
      <c r="H3699">
        <v>1358</v>
      </c>
    </row>
    <row r="3700" spans="1:8" x14ac:dyDescent="0.3">
      <c r="A3700">
        <v>202303</v>
      </c>
      <c r="B3700" s="1">
        <v>44986</v>
      </c>
      <c r="C3700">
        <v>2023</v>
      </c>
      <c r="D3700" t="s">
        <v>10</v>
      </c>
      <c r="E3700" t="s">
        <v>7</v>
      </c>
      <c r="F3700" t="s">
        <v>7</v>
      </c>
      <c r="G3700" t="s">
        <v>8</v>
      </c>
      <c r="H3700">
        <v>1128.82</v>
      </c>
    </row>
    <row r="3701" spans="1:8" x14ac:dyDescent="0.3">
      <c r="A3701">
        <v>202304</v>
      </c>
      <c r="B3701" s="1">
        <v>45017</v>
      </c>
      <c r="C3701">
        <v>2023</v>
      </c>
      <c r="D3701" t="s">
        <v>11</v>
      </c>
      <c r="E3701" t="s">
        <v>7</v>
      </c>
      <c r="F3701" t="s">
        <v>7</v>
      </c>
      <c r="G3701" t="s">
        <v>8</v>
      </c>
      <c r="H3701">
        <v>3294.11</v>
      </c>
    </row>
    <row r="3702" spans="1:8" x14ac:dyDescent="0.3">
      <c r="A3702">
        <v>202305</v>
      </c>
      <c r="B3702" s="1">
        <v>45047</v>
      </c>
      <c r="C3702">
        <v>2023</v>
      </c>
      <c r="D3702" t="s">
        <v>12</v>
      </c>
      <c r="E3702" t="s">
        <v>7</v>
      </c>
      <c r="F3702" t="s">
        <v>7</v>
      </c>
      <c r="G3702" t="s">
        <v>8</v>
      </c>
      <c r="H3702">
        <v>1520.95</v>
      </c>
    </row>
    <row r="3703" spans="1:8" x14ac:dyDescent="0.3">
      <c r="A3703">
        <v>202306</v>
      </c>
      <c r="B3703" s="1">
        <v>45078</v>
      </c>
      <c r="C3703">
        <v>2023</v>
      </c>
      <c r="D3703" t="s">
        <v>13</v>
      </c>
      <c r="E3703" t="s">
        <v>7</v>
      </c>
      <c r="F3703" t="s">
        <v>7</v>
      </c>
      <c r="G3703" t="s">
        <v>8</v>
      </c>
      <c r="H3703">
        <v>1102.19</v>
      </c>
    </row>
    <row r="3704" spans="1:8" x14ac:dyDescent="0.3">
      <c r="A3704">
        <v>202307</v>
      </c>
      <c r="B3704" s="1">
        <v>45108</v>
      </c>
      <c r="C3704">
        <v>2023</v>
      </c>
      <c r="D3704" t="s">
        <v>14</v>
      </c>
      <c r="E3704" t="s">
        <v>7</v>
      </c>
      <c r="F3704" t="s">
        <v>7</v>
      </c>
      <c r="G3704" t="s">
        <v>8</v>
      </c>
      <c r="H3704">
        <v>1983.12</v>
      </c>
    </row>
    <row r="3705" spans="1:8" x14ac:dyDescent="0.3">
      <c r="A3705">
        <v>202308</v>
      </c>
      <c r="B3705" s="1">
        <v>45139</v>
      </c>
      <c r="C3705">
        <v>2023</v>
      </c>
      <c r="D3705" t="s">
        <v>15</v>
      </c>
      <c r="E3705" t="s">
        <v>7</v>
      </c>
      <c r="F3705" t="s">
        <v>7</v>
      </c>
      <c r="G3705" t="s">
        <v>8</v>
      </c>
      <c r="H3705">
        <v>1454.99</v>
      </c>
    </row>
    <row r="3706" spans="1:8" x14ac:dyDescent="0.3">
      <c r="A3706">
        <v>202309</v>
      </c>
      <c r="B3706" s="1">
        <v>45170</v>
      </c>
      <c r="C3706">
        <v>2023</v>
      </c>
      <c r="D3706" t="s">
        <v>16</v>
      </c>
      <c r="E3706" t="s">
        <v>7</v>
      </c>
      <c r="F3706" t="s">
        <v>7</v>
      </c>
      <c r="G3706" t="s">
        <v>8</v>
      </c>
      <c r="H3706">
        <v>1153.81</v>
      </c>
    </row>
    <row r="3707" spans="1:8" x14ac:dyDescent="0.3">
      <c r="A3707">
        <v>202310</v>
      </c>
      <c r="B3707" s="1">
        <v>45200</v>
      </c>
      <c r="C3707">
        <v>2023</v>
      </c>
      <c r="D3707" t="s">
        <v>17</v>
      </c>
      <c r="E3707" t="s">
        <v>7</v>
      </c>
      <c r="F3707" t="s">
        <v>7</v>
      </c>
      <c r="G3707" t="s">
        <v>8</v>
      </c>
      <c r="H3707">
        <v>2041.35</v>
      </c>
    </row>
    <row r="3708" spans="1:8" x14ac:dyDescent="0.3">
      <c r="A3708">
        <v>202311</v>
      </c>
      <c r="B3708" s="1">
        <v>45231</v>
      </c>
      <c r="C3708">
        <v>2023</v>
      </c>
      <c r="D3708" t="s">
        <v>18</v>
      </c>
      <c r="E3708" t="s">
        <v>7</v>
      </c>
      <c r="F3708" t="s">
        <v>7</v>
      </c>
      <c r="G3708" t="s">
        <v>8</v>
      </c>
      <c r="H3708">
        <v>1619.2</v>
      </c>
    </row>
    <row r="3709" spans="1:8" x14ac:dyDescent="0.3">
      <c r="A3709">
        <v>202312</v>
      </c>
      <c r="B3709" s="1">
        <v>45261</v>
      </c>
      <c r="C3709">
        <v>2023</v>
      </c>
      <c r="D3709" t="s">
        <v>19</v>
      </c>
      <c r="E3709" t="s">
        <v>7</v>
      </c>
      <c r="F3709" t="s">
        <v>7</v>
      </c>
      <c r="G3709" t="s">
        <v>8</v>
      </c>
      <c r="H3709">
        <v>1116.8</v>
      </c>
    </row>
    <row r="3710" spans="1:8" x14ac:dyDescent="0.3">
      <c r="A3710">
        <v>202301</v>
      </c>
      <c r="B3710" s="1">
        <v>44927</v>
      </c>
      <c r="C3710">
        <v>2023</v>
      </c>
      <c r="D3710" t="s">
        <v>6</v>
      </c>
      <c r="E3710" t="s">
        <v>7</v>
      </c>
      <c r="F3710" t="s">
        <v>7</v>
      </c>
      <c r="G3710" t="s">
        <v>8</v>
      </c>
      <c r="H3710">
        <v>3698.43</v>
      </c>
    </row>
    <row r="3711" spans="1:8" x14ac:dyDescent="0.3">
      <c r="A3711">
        <v>202302</v>
      </c>
      <c r="B3711" s="1">
        <v>44958</v>
      </c>
      <c r="C3711">
        <v>2023</v>
      </c>
      <c r="D3711" t="s">
        <v>9</v>
      </c>
      <c r="E3711" t="s">
        <v>7</v>
      </c>
      <c r="F3711" t="s">
        <v>7</v>
      </c>
      <c r="G3711" t="s">
        <v>8</v>
      </c>
      <c r="H3711">
        <v>992.52</v>
      </c>
    </row>
    <row r="3712" spans="1:8" x14ac:dyDescent="0.3">
      <c r="A3712">
        <v>202303</v>
      </c>
      <c r="B3712" s="1">
        <v>44986</v>
      </c>
      <c r="C3712">
        <v>2023</v>
      </c>
      <c r="D3712" t="s">
        <v>10</v>
      </c>
      <c r="E3712" t="s">
        <v>7</v>
      </c>
      <c r="F3712" t="s">
        <v>7</v>
      </c>
      <c r="G3712" t="s">
        <v>8</v>
      </c>
      <c r="H3712">
        <v>1030.1199999999999</v>
      </c>
    </row>
    <row r="3713" spans="1:8" x14ac:dyDescent="0.3">
      <c r="A3713">
        <v>202304</v>
      </c>
      <c r="B3713" s="1">
        <v>45017</v>
      </c>
      <c r="C3713">
        <v>2023</v>
      </c>
      <c r="D3713" t="s">
        <v>11</v>
      </c>
      <c r="E3713" t="s">
        <v>7</v>
      </c>
      <c r="F3713" t="s">
        <v>7</v>
      </c>
      <c r="G3713" t="s">
        <v>8</v>
      </c>
      <c r="H3713">
        <v>3509.38</v>
      </c>
    </row>
    <row r="3714" spans="1:8" x14ac:dyDescent="0.3">
      <c r="A3714">
        <v>202305</v>
      </c>
      <c r="B3714" s="1">
        <v>45047</v>
      </c>
      <c r="C3714">
        <v>2023</v>
      </c>
      <c r="D3714" t="s">
        <v>12</v>
      </c>
      <c r="E3714" t="s">
        <v>7</v>
      </c>
      <c r="F3714" t="s">
        <v>7</v>
      </c>
      <c r="G3714" t="s">
        <v>8</v>
      </c>
      <c r="H3714">
        <v>1638.81</v>
      </c>
    </row>
    <row r="3715" spans="1:8" x14ac:dyDescent="0.3">
      <c r="A3715">
        <v>202306</v>
      </c>
      <c r="B3715" s="1">
        <v>45078</v>
      </c>
      <c r="C3715">
        <v>2023</v>
      </c>
      <c r="D3715" t="s">
        <v>13</v>
      </c>
      <c r="E3715" t="s">
        <v>7</v>
      </c>
      <c r="F3715" t="s">
        <v>7</v>
      </c>
      <c r="G3715" t="s">
        <v>8</v>
      </c>
      <c r="H3715">
        <v>1272.1400000000001</v>
      </c>
    </row>
    <row r="3716" spans="1:8" x14ac:dyDescent="0.3">
      <c r="A3716">
        <v>202307</v>
      </c>
      <c r="B3716" s="1">
        <v>45108</v>
      </c>
      <c r="C3716">
        <v>2023</v>
      </c>
      <c r="D3716" t="s">
        <v>14</v>
      </c>
      <c r="E3716" t="s">
        <v>7</v>
      </c>
      <c r="F3716" t="s">
        <v>7</v>
      </c>
      <c r="G3716" t="s">
        <v>8</v>
      </c>
      <c r="H3716">
        <v>3179.86</v>
      </c>
    </row>
    <row r="3717" spans="1:8" x14ac:dyDescent="0.3">
      <c r="A3717">
        <v>202308</v>
      </c>
      <c r="B3717" s="1">
        <v>45139</v>
      </c>
      <c r="C3717">
        <v>2023</v>
      </c>
      <c r="D3717" t="s">
        <v>15</v>
      </c>
      <c r="E3717" t="s">
        <v>7</v>
      </c>
      <c r="F3717" t="s">
        <v>7</v>
      </c>
      <c r="G3717" t="s">
        <v>8</v>
      </c>
      <c r="H3717">
        <v>1932.83</v>
      </c>
    </row>
    <row r="3718" spans="1:8" x14ac:dyDescent="0.3">
      <c r="A3718">
        <v>202309</v>
      </c>
      <c r="B3718" s="1">
        <v>45170</v>
      </c>
      <c r="C3718">
        <v>2023</v>
      </c>
      <c r="D3718" t="s">
        <v>16</v>
      </c>
      <c r="E3718" t="s">
        <v>7</v>
      </c>
      <c r="F3718" t="s">
        <v>7</v>
      </c>
      <c r="G3718" t="s">
        <v>8</v>
      </c>
      <c r="H3718">
        <v>1267.92</v>
      </c>
    </row>
    <row r="3719" spans="1:8" x14ac:dyDescent="0.3">
      <c r="A3719">
        <v>202310</v>
      </c>
      <c r="B3719" s="1">
        <v>45200</v>
      </c>
      <c r="C3719">
        <v>2023</v>
      </c>
      <c r="D3719" t="s">
        <v>17</v>
      </c>
      <c r="E3719" t="s">
        <v>7</v>
      </c>
      <c r="F3719" t="s">
        <v>7</v>
      </c>
      <c r="G3719" t="s">
        <v>8</v>
      </c>
      <c r="H3719">
        <v>2604.0500000000002</v>
      </c>
    </row>
    <row r="3720" spans="1:8" x14ac:dyDescent="0.3">
      <c r="A3720">
        <v>202311</v>
      </c>
      <c r="B3720" s="1">
        <v>45231</v>
      </c>
      <c r="C3720">
        <v>2023</v>
      </c>
      <c r="D3720" t="s">
        <v>18</v>
      </c>
      <c r="E3720" t="s">
        <v>7</v>
      </c>
      <c r="F3720" t="s">
        <v>7</v>
      </c>
      <c r="G3720" t="s">
        <v>8</v>
      </c>
      <c r="H3720">
        <v>1708.86</v>
      </c>
    </row>
    <row r="3721" spans="1:8" x14ac:dyDescent="0.3">
      <c r="A3721">
        <v>202312</v>
      </c>
      <c r="B3721" s="1">
        <v>45261</v>
      </c>
      <c r="C3721">
        <v>2023</v>
      </c>
      <c r="D3721" t="s">
        <v>19</v>
      </c>
      <c r="E3721" t="s">
        <v>7</v>
      </c>
      <c r="F3721" t="s">
        <v>7</v>
      </c>
      <c r="G3721" t="s">
        <v>8</v>
      </c>
      <c r="H3721">
        <v>2220.84</v>
      </c>
    </row>
    <row r="3722" spans="1:8" x14ac:dyDescent="0.3">
      <c r="A3722">
        <v>202301</v>
      </c>
      <c r="B3722" s="1">
        <v>44927</v>
      </c>
      <c r="C3722">
        <v>2023</v>
      </c>
      <c r="D3722" t="s">
        <v>6</v>
      </c>
      <c r="E3722" t="s">
        <v>7</v>
      </c>
      <c r="F3722" t="s">
        <v>7</v>
      </c>
      <c r="G3722" t="s">
        <v>8</v>
      </c>
      <c r="H3722">
        <v>4535.03</v>
      </c>
    </row>
    <row r="3723" spans="1:8" x14ac:dyDescent="0.3">
      <c r="A3723">
        <v>202302</v>
      </c>
      <c r="B3723" s="1">
        <v>44958</v>
      </c>
      <c r="C3723">
        <v>2023</v>
      </c>
      <c r="D3723" t="s">
        <v>9</v>
      </c>
      <c r="E3723" t="s">
        <v>7</v>
      </c>
      <c r="F3723" t="s">
        <v>7</v>
      </c>
      <c r="G3723" t="s">
        <v>8</v>
      </c>
      <c r="H3723">
        <v>2105.56</v>
      </c>
    </row>
    <row r="3724" spans="1:8" x14ac:dyDescent="0.3">
      <c r="A3724">
        <v>202303</v>
      </c>
      <c r="B3724" s="1">
        <v>44986</v>
      </c>
      <c r="C3724">
        <v>2023</v>
      </c>
      <c r="D3724" t="s">
        <v>10</v>
      </c>
      <c r="E3724" t="s">
        <v>7</v>
      </c>
      <c r="F3724" t="s">
        <v>7</v>
      </c>
      <c r="G3724" t="s">
        <v>8</v>
      </c>
      <c r="H3724">
        <v>2488.9299999999998</v>
      </c>
    </row>
    <row r="3725" spans="1:8" x14ac:dyDescent="0.3">
      <c r="A3725">
        <v>202304</v>
      </c>
      <c r="B3725" s="1">
        <v>45017</v>
      </c>
      <c r="C3725">
        <v>2023</v>
      </c>
      <c r="D3725" t="s">
        <v>11</v>
      </c>
      <c r="E3725" t="s">
        <v>7</v>
      </c>
      <c r="F3725" t="s">
        <v>7</v>
      </c>
      <c r="G3725" t="s">
        <v>8</v>
      </c>
      <c r="H3725">
        <v>6657.78</v>
      </c>
    </row>
    <row r="3726" spans="1:8" x14ac:dyDescent="0.3">
      <c r="A3726">
        <v>202305</v>
      </c>
      <c r="B3726" s="1">
        <v>45047</v>
      </c>
      <c r="C3726">
        <v>2023</v>
      </c>
      <c r="D3726" t="s">
        <v>12</v>
      </c>
      <c r="E3726" t="s">
        <v>7</v>
      </c>
      <c r="F3726" t="s">
        <v>7</v>
      </c>
      <c r="G3726" t="s">
        <v>8</v>
      </c>
      <c r="H3726">
        <v>3323.24</v>
      </c>
    </row>
    <row r="3727" spans="1:8" x14ac:dyDescent="0.3">
      <c r="A3727">
        <v>202306</v>
      </c>
      <c r="B3727" s="1">
        <v>45078</v>
      </c>
      <c r="C3727">
        <v>2023</v>
      </c>
      <c r="D3727" t="s">
        <v>13</v>
      </c>
      <c r="E3727" t="s">
        <v>7</v>
      </c>
      <c r="F3727" t="s">
        <v>7</v>
      </c>
      <c r="G3727" t="s">
        <v>8</v>
      </c>
      <c r="H3727">
        <v>2739.7</v>
      </c>
    </row>
    <row r="3728" spans="1:8" x14ac:dyDescent="0.3">
      <c r="A3728">
        <v>202307</v>
      </c>
      <c r="B3728" s="1">
        <v>45108</v>
      </c>
      <c r="C3728">
        <v>2023</v>
      </c>
      <c r="D3728" t="s">
        <v>14</v>
      </c>
      <c r="E3728" t="s">
        <v>7</v>
      </c>
      <c r="F3728" t="s">
        <v>7</v>
      </c>
      <c r="G3728" t="s">
        <v>8</v>
      </c>
      <c r="H3728">
        <v>5376.34</v>
      </c>
    </row>
    <row r="3729" spans="1:8" x14ac:dyDescent="0.3">
      <c r="A3729">
        <v>202308</v>
      </c>
      <c r="B3729" s="1">
        <v>45139</v>
      </c>
      <c r="C3729">
        <v>2023</v>
      </c>
      <c r="D3729" t="s">
        <v>15</v>
      </c>
      <c r="E3729" t="s">
        <v>7</v>
      </c>
      <c r="F3729" t="s">
        <v>7</v>
      </c>
      <c r="G3729" t="s">
        <v>8</v>
      </c>
      <c r="H3729">
        <v>3666.05</v>
      </c>
    </row>
    <row r="3730" spans="1:8" x14ac:dyDescent="0.3">
      <c r="A3730">
        <v>202309</v>
      </c>
      <c r="B3730" s="1">
        <v>45170</v>
      </c>
      <c r="C3730">
        <v>2023</v>
      </c>
      <c r="D3730" t="s">
        <v>16</v>
      </c>
      <c r="E3730" t="s">
        <v>7</v>
      </c>
      <c r="F3730" t="s">
        <v>7</v>
      </c>
      <c r="G3730" t="s">
        <v>8</v>
      </c>
      <c r="H3730">
        <v>2353.7800000000002</v>
      </c>
    </row>
    <row r="3731" spans="1:8" x14ac:dyDescent="0.3">
      <c r="A3731">
        <v>202310</v>
      </c>
      <c r="B3731" s="1">
        <v>45200</v>
      </c>
      <c r="C3731">
        <v>2023</v>
      </c>
      <c r="D3731" t="s">
        <v>17</v>
      </c>
      <c r="E3731" t="s">
        <v>7</v>
      </c>
      <c r="F3731" t="s">
        <v>7</v>
      </c>
      <c r="G3731" t="s">
        <v>8</v>
      </c>
      <c r="H3731">
        <v>5736.34</v>
      </c>
    </row>
    <row r="3732" spans="1:8" x14ac:dyDescent="0.3">
      <c r="A3732">
        <v>202311</v>
      </c>
      <c r="B3732" s="1">
        <v>45231</v>
      </c>
      <c r="C3732">
        <v>2023</v>
      </c>
      <c r="D3732" t="s">
        <v>18</v>
      </c>
      <c r="E3732" t="s">
        <v>7</v>
      </c>
      <c r="F3732" t="s">
        <v>7</v>
      </c>
      <c r="G3732" t="s">
        <v>8</v>
      </c>
      <c r="H3732">
        <v>3789.18</v>
      </c>
    </row>
    <row r="3733" spans="1:8" x14ac:dyDescent="0.3">
      <c r="A3733">
        <v>202312</v>
      </c>
      <c r="B3733" s="1">
        <v>45261</v>
      </c>
      <c r="C3733">
        <v>2023</v>
      </c>
      <c r="D3733" t="s">
        <v>19</v>
      </c>
      <c r="E3733" t="s">
        <v>7</v>
      </c>
      <c r="F3733" t="s">
        <v>7</v>
      </c>
      <c r="G3733" t="s">
        <v>8</v>
      </c>
      <c r="H3733">
        <v>2671.13</v>
      </c>
    </row>
    <row r="3734" spans="1:8" x14ac:dyDescent="0.3">
      <c r="A3734">
        <v>202301</v>
      </c>
      <c r="B3734" s="1">
        <v>44927</v>
      </c>
      <c r="C3734">
        <v>2023</v>
      </c>
      <c r="D3734" t="s">
        <v>6</v>
      </c>
      <c r="E3734" t="s">
        <v>7</v>
      </c>
      <c r="F3734" t="s">
        <v>7</v>
      </c>
      <c r="G3734" t="s">
        <v>8</v>
      </c>
      <c r="H3734">
        <v>9279.75</v>
      </c>
    </row>
    <row r="3735" spans="1:8" x14ac:dyDescent="0.3">
      <c r="A3735">
        <v>202302</v>
      </c>
      <c r="B3735" s="1">
        <v>44958</v>
      </c>
      <c r="C3735">
        <v>2023</v>
      </c>
      <c r="D3735" t="s">
        <v>9</v>
      </c>
      <c r="E3735" t="s">
        <v>7</v>
      </c>
      <c r="F3735" t="s">
        <v>7</v>
      </c>
      <c r="G3735" t="s">
        <v>8</v>
      </c>
      <c r="H3735">
        <v>4244.5600000000004</v>
      </c>
    </row>
    <row r="3736" spans="1:8" x14ac:dyDescent="0.3">
      <c r="A3736">
        <v>202303</v>
      </c>
      <c r="B3736" s="1">
        <v>44986</v>
      </c>
      <c r="C3736">
        <v>2023</v>
      </c>
      <c r="D3736" t="s">
        <v>10</v>
      </c>
      <c r="E3736" t="s">
        <v>7</v>
      </c>
      <c r="F3736" t="s">
        <v>7</v>
      </c>
      <c r="G3736" t="s">
        <v>8</v>
      </c>
      <c r="H3736">
        <v>5436.88</v>
      </c>
    </row>
    <row r="3737" spans="1:8" x14ac:dyDescent="0.3">
      <c r="A3737">
        <v>202304</v>
      </c>
      <c r="B3737" s="1">
        <v>45017</v>
      </c>
      <c r="C3737">
        <v>2023</v>
      </c>
      <c r="D3737" t="s">
        <v>11</v>
      </c>
      <c r="E3737" t="s">
        <v>7</v>
      </c>
      <c r="F3737" t="s">
        <v>7</v>
      </c>
      <c r="G3737" t="s">
        <v>8</v>
      </c>
      <c r="H3737">
        <v>11208.5</v>
      </c>
    </row>
    <row r="3738" spans="1:8" x14ac:dyDescent="0.3">
      <c r="A3738">
        <v>202305</v>
      </c>
      <c r="B3738" s="1">
        <v>45047</v>
      </c>
      <c r="C3738">
        <v>2023</v>
      </c>
      <c r="D3738" t="s">
        <v>12</v>
      </c>
      <c r="E3738" t="s">
        <v>7</v>
      </c>
      <c r="F3738" t="s">
        <v>7</v>
      </c>
      <c r="G3738" t="s">
        <v>8</v>
      </c>
      <c r="H3738">
        <v>6622.7</v>
      </c>
    </row>
    <row r="3739" spans="1:8" x14ac:dyDescent="0.3">
      <c r="A3739">
        <v>202306</v>
      </c>
      <c r="B3739" s="1">
        <v>45078</v>
      </c>
      <c r="C3739">
        <v>2023</v>
      </c>
      <c r="D3739" t="s">
        <v>13</v>
      </c>
      <c r="E3739" t="s">
        <v>7</v>
      </c>
      <c r="F3739" t="s">
        <v>7</v>
      </c>
      <c r="G3739" t="s">
        <v>8</v>
      </c>
      <c r="H3739">
        <v>6472.29</v>
      </c>
    </row>
    <row r="3740" spans="1:8" x14ac:dyDescent="0.3">
      <c r="A3740">
        <v>202307</v>
      </c>
      <c r="B3740" s="1">
        <v>45108</v>
      </c>
      <c r="C3740">
        <v>2023</v>
      </c>
      <c r="D3740" t="s">
        <v>14</v>
      </c>
      <c r="E3740" t="s">
        <v>7</v>
      </c>
      <c r="F3740" t="s">
        <v>7</v>
      </c>
      <c r="G3740" t="s">
        <v>8</v>
      </c>
      <c r="H3740">
        <v>9240.11</v>
      </c>
    </row>
    <row r="3741" spans="1:8" x14ac:dyDescent="0.3">
      <c r="A3741">
        <v>202308</v>
      </c>
      <c r="B3741" s="1">
        <v>45139</v>
      </c>
      <c r="C3741">
        <v>2023</v>
      </c>
      <c r="D3741" t="s">
        <v>15</v>
      </c>
      <c r="E3741" t="s">
        <v>7</v>
      </c>
      <c r="F3741" t="s">
        <v>7</v>
      </c>
      <c r="G3741" t="s">
        <v>8</v>
      </c>
      <c r="H3741">
        <v>7249.52</v>
      </c>
    </row>
    <row r="3742" spans="1:8" x14ac:dyDescent="0.3">
      <c r="A3742">
        <v>202309</v>
      </c>
      <c r="B3742" s="1">
        <v>45170</v>
      </c>
      <c r="C3742">
        <v>2023</v>
      </c>
      <c r="D3742" t="s">
        <v>16</v>
      </c>
      <c r="E3742" t="s">
        <v>7</v>
      </c>
      <c r="F3742" t="s">
        <v>7</v>
      </c>
      <c r="G3742" t="s">
        <v>8</v>
      </c>
      <c r="H3742">
        <v>5701.24</v>
      </c>
    </row>
    <row r="3743" spans="1:8" x14ac:dyDescent="0.3">
      <c r="A3743">
        <v>202310</v>
      </c>
      <c r="B3743" s="1">
        <v>45200</v>
      </c>
      <c r="C3743">
        <v>2023</v>
      </c>
      <c r="D3743" t="s">
        <v>17</v>
      </c>
      <c r="E3743" t="s">
        <v>7</v>
      </c>
      <c r="F3743" t="s">
        <v>7</v>
      </c>
      <c r="G3743" t="s">
        <v>8</v>
      </c>
      <c r="H3743">
        <v>10398.59</v>
      </c>
    </row>
    <row r="3744" spans="1:8" x14ac:dyDescent="0.3">
      <c r="A3744">
        <v>202311</v>
      </c>
      <c r="B3744" s="1">
        <v>45231</v>
      </c>
      <c r="C3744">
        <v>2023</v>
      </c>
      <c r="D3744" t="s">
        <v>18</v>
      </c>
      <c r="E3744" t="s">
        <v>7</v>
      </c>
      <c r="F3744" t="s">
        <v>7</v>
      </c>
      <c r="G3744" t="s">
        <v>8</v>
      </c>
      <c r="H3744">
        <v>7732.36</v>
      </c>
    </row>
    <row r="3745" spans="1:8" x14ac:dyDescent="0.3">
      <c r="A3745">
        <v>202312</v>
      </c>
      <c r="B3745" s="1">
        <v>45261</v>
      </c>
      <c r="C3745">
        <v>2023</v>
      </c>
      <c r="D3745" t="s">
        <v>19</v>
      </c>
      <c r="E3745" t="s">
        <v>7</v>
      </c>
      <c r="F3745" t="s">
        <v>7</v>
      </c>
      <c r="G3745" t="s">
        <v>8</v>
      </c>
      <c r="H3745">
        <v>6836.13</v>
      </c>
    </row>
    <row r="3746" spans="1:8" x14ac:dyDescent="0.3">
      <c r="A3746">
        <v>202301</v>
      </c>
      <c r="B3746" s="1">
        <v>44927</v>
      </c>
      <c r="C3746">
        <v>2023</v>
      </c>
      <c r="D3746" t="s">
        <v>6</v>
      </c>
      <c r="E3746" t="s">
        <v>7</v>
      </c>
      <c r="F3746" t="s">
        <v>7</v>
      </c>
      <c r="G3746" t="s">
        <v>8</v>
      </c>
      <c r="H3746">
        <v>673.18</v>
      </c>
    </row>
    <row r="3747" spans="1:8" x14ac:dyDescent="0.3">
      <c r="A3747">
        <v>202302</v>
      </c>
      <c r="B3747" s="1">
        <v>44958</v>
      </c>
      <c r="C3747">
        <v>2023</v>
      </c>
      <c r="D3747" t="s">
        <v>9</v>
      </c>
      <c r="E3747" t="s">
        <v>7</v>
      </c>
      <c r="F3747" t="s">
        <v>7</v>
      </c>
      <c r="G3747" t="s">
        <v>8</v>
      </c>
      <c r="H3747">
        <v>361.36</v>
      </c>
    </row>
    <row r="3748" spans="1:8" x14ac:dyDescent="0.3">
      <c r="A3748">
        <v>202303</v>
      </c>
      <c r="B3748" s="1">
        <v>44986</v>
      </c>
      <c r="C3748">
        <v>2023</v>
      </c>
      <c r="D3748" t="s">
        <v>10</v>
      </c>
      <c r="E3748" t="s">
        <v>7</v>
      </c>
      <c r="F3748" t="s">
        <v>7</v>
      </c>
      <c r="G3748" t="s">
        <v>8</v>
      </c>
      <c r="H3748">
        <v>485.68</v>
      </c>
    </row>
    <row r="3749" spans="1:8" x14ac:dyDescent="0.3">
      <c r="A3749">
        <v>202304</v>
      </c>
      <c r="B3749" s="1">
        <v>45017</v>
      </c>
      <c r="C3749">
        <v>2023</v>
      </c>
      <c r="D3749" t="s">
        <v>11</v>
      </c>
      <c r="E3749" t="s">
        <v>7</v>
      </c>
      <c r="F3749" t="s">
        <v>7</v>
      </c>
      <c r="G3749" t="s">
        <v>8</v>
      </c>
      <c r="H3749">
        <v>1271.68</v>
      </c>
    </row>
    <row r="3750" spans="1:8" x14ac:dyDescent="0.3">
      <c r="A3750">
        <v>202305</v>
      </c>
      <c r="B3750" s="1">
        <v>45047</v>
      </c>
      <c r="C3750">
        <v>2023</v>
      </c>
      <c r="D3750" t="s">
        <v>12</v>
      </c>
      <c r="E3750" t="s">
        <v>7</v>
      </c>
      <c r="F3750" t="s">
        <v>7</v>
      </c>
      <c r="G3750" t="s">
        <v>8</v>
      </c>
      <c r="H3750">
        <v>542.16</v>
      </c>
    </row>
    <row r="3751" spans="1:8" x14ac:dyDescent="0.3">
      <c r="A3751">
        <v>202306</v>
      </c>
      <c r="B3751" s="1">
        <v>45078</v>
      </c>
      <c r="C3751">
        <v>2023</v>
      </c>
      <c r="D3751" t="s">
        <v>13</v>
      </c>
      <c r="E3751" t="s">
        <v>7</v>
      </c>
      <c r="F3751" t="s">
        <v>7</v>
      </c>
      <c r="G3751" t="s">
        <v>8</v>
      </c>
      <c r="H3751">
        <v>364.2</v>
      </c>
    </row>
    <row r="3752" spans="1:8" x14ac:dyDescent="0.3">
      <c r="A3752">
        <v>202307</v>
      </c>
      <c r="B3752" s="1">
        <v>45108</v>
      </c>
      <c r="C3752">
        <v>2023</v>
      </c>
      <c r="D3752" t="s">
        <v>14</v>
      </c>
      <c r="E3752" t="s">
        <v>7</v>
      </c>
      <c r="F3752" t="s">
        <v>7</v>
      </c>
      <c r="G3752" t="s">
        <v>8</v>
      </c>
      <c r="H3752">
        <v>910.31</v>
      </c>
    </row>
    <row r="3753" spans="1:8" x14ac:dyDescent="0.3">
      <c r="A3753">
        <v>202308</v>
      </c>
      <c r="B3753" s="1">
        <v>45139</v>
      </c>
      <c r="C3753">
        <v>2023</v>
      </c>
      <c r="D3753" t="s">
        <v>15</v>
      </c>
      <c r="E3753" t="s">
        <v>7</v>
      </c>
      <c r="F3753" t="s">
        <v>7</v>
      </c>
      <c r="G3753" t="s">
        <v>8</v>
      </c>
      <c r="H3753">
        <v>522.57000000000005</v>
      </c>
    </row>
    <row r="3754" spans="1:8" x14ac:dyDescent="0.3">
      <c r="A3754">
        <v>202309</v>
      </c>
      <c r="B3754" s="1">
        <v>45170</v>
      </c>
      <c r="C3754">
        <v>2023</v>
      </c>
      <c r="D3754" t="s">
        <v>16</v>
      </c>
      <c r="E3754" t="s">
        <v>7</v>
      </c>
      <c r="F3754" t="s">
        <v>7</v>
      </c>
      <c r="G3754" t="s">
        <v>8</v>
      </c>
      <c r="H3754">
        <v>358.55</v>
      </c>
    </row>
    <row r="3755" spans="1:8" x14ac:dyDescent="0.3">
      <c r="A3755">
        <v>202310</v>
      </c>
      <c r="B3755" s="1">
        <v>45200</v>
      </c>
      <c r="C3755">
        <v>2023</v>
      </c>
      <c r="D3755" t="s">
        <v>17</v>
      </c>
      <c r="E3755" t="s">
        <v>7</v>
      </c>
      <c r="F3755" t="s">
        <v>7</v>
      </c>
      <c r="G3755" t="s">
        <v>8</v>
      </c>
      <c r="H3755">
        <v>988.11</v>
      </c>
    </row>
    <row r="3756" spans="1:8" x14ac:dyDescent="0.3">
      <c r="A3756">
        <v>202311</v>
      </c>
      <c r="B3756" s="1">
        <v>45231</v>
      </c>
      <c r="C3756">
        <v>2023</v>
      </c>
      <c r="D3756" t="s">
        <v>18</v>
      </c>
      <c r="E3756" t="s">
        <v>7</v>
      </c>
      <c r="F3756" t="s">
        <v>7</v>
      </c>
      <c r="G3756" t="s">
        <v>8</v>
      </c>
      <c r="H3756">
        <v>635.39</v>
      </c>
    </row>
    <row r="3757" spans="1:8" x14ac:dyDescent="0.3">
      <c r="A3757">
        <v>202312</v>
      </c>
      <c r="B3757" s="1">
        <v>45261</v>
      </c>
      <c r="C3757">
        <v>2023</v>
      </c>
      <c r="D3757" t="s">
        <v>19</v>
      </c>
      <c r="E3757" t="s">
        <v>7</v>
      </c>
      <c r="F3757" t="s">
        <v>7</v>
      </c>
      <c r="G3757" t="s">
        <v>8</v>
      </c>
      <c r="H3757">
        <v>388.25</v>
      </c>
    </row>
    <row r="3758" spans="1:8" x14ac:dyDescent="0.3">
      <c r="A3758">
        <v>202301</v>
      </c>
      <c r="B3758" s="1">
        <v>44927</v>
      </c>
      <c r="C3758">
        <v>2023</v>
      </c>
      <c r="D3758" t="s">
        <v>6</v>
      </c>
      <c r="E3758" t="s">
        <v>7</v>
      </c>
      <c r="F3758" t="s">
        <v>7</v>
      </c>
      <c r="G3758" t="s">
        <v>8</v>
      </c>
      <c r="H3758">
        <v>6939.21</v>
      </c>
    </row>
    <row r="3759" spans="1:8" x14ac:dyDescent="0.3">
      <c r="A3759">
        <v>202302</v>
      </c>
      <c r="B3759" s="1">
        <v>44958</v>
      </c>
      <c r="C3759">
        <v>2023</v>
      </c>
      <c r="D3759" t="s">
        <v>9</v>
      </c>
      <c r="E3759" t="s">
        <v>7</v>
      </c>
      <c r="F3759" t="s">
        <v>7</v>
      </c>
      <c r="G3759" t="s">
        <v>8</v>
      </c>
      <c r="H3759">
        <v>3660.31</v>
      </c>
    </row>
    <row r="3760" spans="1:8" x14ac:dyDescent="0.3">
      <c r="A3760">
        <v>202303</v>
      </c>
      <c r="B3760" s="1">
        <v>44986</v>
      </c>
      <c r="C3760">
        <v>2023</v>
      </c>
      <c r="D3760" t="s">
        <v>10</v>
      </c>
      <c r="E3760" t="s">
        <v>7</v>
      </c>
      <c r="F3760" t="s">
        <v>7</v>
      </c>
      <c r="G3760" t="s">
        <v>8</v>
      </c>
      <c r="H3760">
        <v>4289.59</v>
      </c>
    </row>
    <row r="3761" spans="1:8" x14ac:dyDescent="0.3">
      <c r="A3761">
        <v>202304</v>
      </c>
      <c r="B3761" s="1">
        <v>45017</v>
      </c>
      <c r="C3761">
        <v>2023</v>
      </c>
      <c r="D3761" t="s">
        <v>11</v>
      </c>
      <c r="E3761" t="s">
        <v>7</v>
      </c>
      <c r="F3761" t="s">
        <v>7</v>
      </c>
      <c r="G3761" t="s">
        <v>8</v>
      </c>
      <c r="H3761">
        <v>9564.1299999999992</v>
      </c>
    </row>
    <row r="3762" spans="1:8" x14ac:dyDescent="0.3">
      <c r="A3762">
        <v>202305</v>
      </c>
      <c r="B3762" s="1">
        <v>45047</v>
      </c>
      <c r="C3762">
        <v>2023</v>
      </c>
      <c r="D3762" t="s">
        <v>12</v>
      </c>
      <c r="E3762" t="s">
        <v>7</v>
      </c>
      <c r="F3762" t="s">
        <v>7</v>
      </c>
      <c r="G3762" t="s">
        <v>8</v>
      </c>
      <c r="H3762">
        <v>6447.98</v>
      </c>
    </row>
    <row r="3763" spans="1:8" x14ac:dyDescent="0.3">
      <c r="A3763">
        <v>202306</v>
      </c>
      <c r="B3763" s="1">
        <v>45078</v>
      </c>
      <c r="C3763">
        <v>2023</v>
      </c>
      <c r="D3763" t="s">
        <v>13</v>
      </c>
      <c r="E3763" t="s">
        <v>7</v>
      </c>
      <c r="F3763" t="s">
        <v>7</v>
      </c>
      <c r="G3763" t="s">
        <v>8</v>
      </c>
      <c r="H3763">
        <v>4171.3500000000004</v>
      </c>
    </row>
    <row r="3764" spans="1:8" x14ac:dyDescent="0.3">
      <c r="A3764">
        <v>202307</v>
      </c>
      <c r="B3764" s="1">
        <v>45108</v>
      </c>
      <c r="C3764">
        <v>2023</v>
      </c>
      <c r="D3764" t="s">
        <v>14</v>
      </c>
      <c r="E3764" t="s">
        <v>7</v>
      </c>
      <c r="F3764" t="s">
        <v>7</v>
      </c>
      <c r="G3764" t="s">
        <v>8</v>
      </c>
      <c r="H3764">
        <v>7931.39</v>
      </c>
    </row>
    <row r="3765" spans="1:8" x14ac:dyDescent="0.3">
      <c r="A3765">
        <v>202308</v>
      </c>
      <c r="B3765" s="1">
        <v>45139</v>
      </c>
      <c r="C3765">
        <v>2023</v>
      </c>
      <c r="D3765" t="s">
        <v>15</v>
      </c>
      <c r="E3765" t="s">
        <v>7</v>
      </c>
      <c r="F3765" t="s">
        <v>7</v>
      </c>
      <c r="G3765" t="s">
        <v>8</v>
      </c>
      <c r="H3765">
        <v>6460.24</v>
      </c>
    </row>
    <row r="3766" spans="1:8" x14ac:dyDescent="0.3">
      <c r="A3766">
        <v>202309</v>
      </c>
      <c r="B3766" s="1">
        <v>45170</v>
      </c>
      <c r="C3766">
        <v>2023</v>
      </c>
      <c r="D3766" t="s">
        <v>16</v>
      </c>
      <c r="E3766" t="s">
        <v>7</v>
      </c>
      <c r="F3766" t="s">
        <v>7</v>
      </c>
      <c r="G3766" t="s">
        <v>8</v>
      </c>
      <c r="H3766">
        <v>4227.3900000000003</v>
      </c>
    </row>
    <row r="3767" spans="1:8" x14ac:dyDescent="0.3">
      <c r="A3767">
        <v>202310</v>
      </c>
      <c r="B3767" s="1">
        <v>45200</v>
      </c>
      <c r="C3767">
        <v>2023</v>
      </c>
      <c r="D3767" t="s">
        <v>17</v>
      </c>
      <c r="E3767" t="s">
        <v>7</v>
      </c>
      <c r="F3767" t="s">
        <v>7</v>
      </c>
      <c r="G3767" t="s">
        <v>8</v>
      </c>
      <c r="H3767">
        <v>8463.27</v>
      </c>
    </row>
    <row r="3768" spans="1:8" x14ac:dyDescent="0.3">
      <c r="A3768">
        <v>202311</v>
      </c>
      <c r="B3768" s="1">
        <v>45231</v>
      </c>
      <c r="C3768">
        <v>2023</v>
      </c>
      <c r="D3768" t="s">
        <v>18</v>
      </c>
      <c r="E3768" t="s">
        <v>7</v>
      </c>
      <c r="F3768" t="s">
        <v>7</v>
      </c>
      <c r="G3768" t="s">
        <v>8</v>
      </c>
      <c r="H3768">
        <v>6280.14</v>
      </c>
    </row>
    <row r="3769" spans="1:8" x14ac:dyDescent="0.3">
      <c r="A3769">
        <v>202312</v>
      </c>
      <c r="B3769" s="1">
        <v>45261</v>
      </c>
      <c r="C3769">
        <v>2023</v>
      </c>
      <c r="D3769" t="s">
        <v>19</v>
      </c>
      <c r="E3769" t="s">
        <v>7</v>
      </c>
      <c r="F3769" t="s">
        <v>7</v>
      </c>
      <c r="G3769" t="s">
        <v>8</v>
      </c>
      <c r="H3769">
        <v>5046.1499999999996</v>
      </c>
    </row>
    <row r="3770" spans="1:8" x14ac:dyDescent="0.3">
      <c r="A3770">
        <v>202301</v>
      </c>
      <c r="B3770" s="1">
        <v>44927</v>
      </c>
      <c r="C3770">
        <v>2023</v>
      </c>
      <c r="D3770" t="s">
        <v>6</v>
      </c>
      <c r="E3770" t="s">
        <v>7</v>
      </c>
      <c r="F3770" t="s">
        <v>7</v>
      </c>
      <c r="G3770" t="s">
        <v>8</v>
      </c>
      <c r="H3770">
        <v>555.98</v>
      </c>
    </row>
    <row r="3771" spans="1:8" x14ac:dyDescent="0.3">
      <c r="A3771">
        <v>202302</v>
      </c>
      <c r="B3771" s="1">
        <v>44958</v>
      </c>
      <c r="C3771">
        <v>2023</v>
      </c>
      <c r="D3771" t="s">
        <v>9</v>
      </c>
      <c r="E3771" t="s">
        <v>7</v>
      </c>
      <c r="F3771" t="s">
        <v>7</v>
      </c>
      <c r="G3771" t="s">
        <v>8</v>
      </c>
      <c r="H3771">
        <v>366.87</v>
      </c>
    </row>
    <row r="3772" spans="1:8" x14ac:dyDescent="0.3">
      <c r="A3772">
        <v>202303</v>
      </c>
      <c r="B3772" s="1">
        <v>44986</v>
      </c>
      <c r="C3772">
        <v>2023</v>
      </c>
      <c r="D3772" t="s">
        <v>10</v>
      </c>
      <c r="E3772" t="s">
        <v>7</v>
      </c>
      <c r="F3772" t="s">
        <v>7</v>
      </c>
      <c r="G3772" t="s">
        <v>8</v>
      </c>
      <c r="H3772">
        <v>501.6</v>
      </c>
    </row>
    <row r="3773" spans="1:8" x14ac:dyDescent="0.3">
      <c r="A3773">
        <v>202304</v>
      </c>
      <c r="B3773" s="1">
        <v>45017</v>
      </c>
      <c r="C3773">
        <v>2023</v>
      </c>
      <c r="D3773" t="s">
        <v>11</v>
      </c>
      <c r="E3773" t="s">
        <v>7</v>
      </c>
      <c r="F3773" t="s">
        <v>7</v>
      </c>
      <c r="G3773" t="s">
        <v>8</v>
      </c>
      <c r="H3773">
        <v>883.4</v>
      </c>
    </row>
    <row r="3774" spans="1:8" x14ac:dyDescent="0.3">
      <c r="A3774">
        <v>202305</v>
      </c>
      <c r="B3774" s="1">
        <v>45047</v>
      </c>
      <c r="C3774">
        <v>2023</v>
      </c>
      <c r="D3774" t="s">
        <v>12</v>
      </c>
      <c r="E3774" t="s">
        <v>7</v>
      </c>
      <c r="F3774" t="s">
        <v>7</v>
      </c>
      <c r="G3774" t="s">
        <v>8</v>
      </c>
      <c r="H3774">
        <v>440.35</v>
      </c>
    </row>
    <row r="3775" spans="1:8" x14ac:dyDescent="0.3">
      <c r="A3775">
        <v>202306</v>
      </c>
      <c r="B3775" s="1">
        <v>45078</v>
      </c>
      <c r="C3775">
        <v>2023</v>
      </c>
      <c r="D3775" t="s">
        <v>13</v>
      </c>
      <c r="E3775" t="s">
        <v>7</v>
      </c>
      <c r="F3775" t="s">
        <v>7</v>
      </c>
      <c r="G3775" t="s">
        <v>8</v>
      </c>
      <c r="H3775">
        <v>402.25</v>
      </c>
    </row>
    <row r="3776" spans="1:8" x14ac:dyDescent="0.3">
      <c r="A3776">
        <v>202307</v>
      </c>
      <c r="B3776" s="1">
        <v>45108</v>
      </c>
      <c r="C3776">
        <v>2023</v>
      </c>
      <c r="D3776" t="s">
        <v>14</v>
      </c>
      <c r="E3776" t="s">
        <v>7</v>
      </c>
      <c r="F3776" t="s">
        <v>7</v>
      </c>
      <c r="G3776" t="s">
        <v>8</v>
      </c>
      <c r="H3776">
        <v>788.04</v>
      </c>
    </row>
    <row r="3777" spans="1:8" x14ac:dyDescent="0.3">
      <c r="A3777">
        <v>202308</v>
      </c>
      <c r="B3777" s="1">
        <v>45139</v>
      </c>
      <c r="C3777">
        <v>2023</v>
      </c>
      <c r="D3777" t="s">
        <v>15</v>
      </c>
      <c r="E3777" t="s">
        <v>7</v>
      </c>
      <c r="F3777" t="s">
        <v>7</v>
      </c>
      <c r="G3777" t="s">
        <v>8</v>
      </c>
      <c r="H3777">
        <v>530.44000000000005</v>
      </c>
    </row>
    <row r="3778" spans="1:8" x14ac:dyDescent="0.3">
      <c r="A3778">
        <v>202309</v>
      </c>
      <c r="B3778" s="1">
        <v>45170</v>
      </c>
      <c r="C3778">
        <v>2023</v>
      </c>
      <c r="D3778" t="s">
        <v>16</v>
      </c>
      <c r="E3778" t="s">
        <v>7</v>
      </c>
      <c r="F3778" t="s">
        <v>7</v>
      </c>
      <c r="G3778" t="s">
        <v>8</v>
      </c>
      <c r="H3778">
        <v>357.37</v>
      </c>
    </row>
    <row r="3779" spans="1:8" x14ac:dyDescent="0.3">
      <c r="A3779">
        <v>202310</v>
      </c>
      <c r="B3779" s="1">
        <v>45200</v>
      </c>
      <c r="C3779">
        <v>2023</v>
      </c>
      <c r="D3779" t="s">
        <v>17</v>
      </c>
      <c r="E3779" t="s">
        <v>7</v>
      </c>
      <c r="F3779" t="s">
        <v>7</v>
      </c>
      <c r="G3779" t="s">
        <v>8</v>
      </c>
      <c r="H3779">
        <v>840.4</v>
      </c>
    </row>
    <row r="3780" spans="1:8" x14ac:dyDescent="0.3">
      <c r="A3780">
        <v>202311</v>
      </c>
      <c r="B3780" s="1">
        <v>45231</v>
      </c>
      <c r="C3780">
        <v>2023</v>
      </c>
      <c r="D3780" t="s">
        <v>18</v>
      </c>
      <c r="E3780" t="s">
        <v>7</v>
      </c>
      <c r="F3780" t="s">
        <v>7</v>
      </c>
      <c r="G3780" t="s">
        <v>8</v>
      </c>
      <c r="H3780">
        <v>515.27</v>
      </c>
    </row>
    <row r="3781" spans="1:8" x14ac:dyDescent="0.3">
      <c r="A3781">
        <v>202312</v>
      </c>
      <c r="B3781" s="1">
        <v>45261</v>
      </c>
      <c r="C3781">
        <v>2023</v>
      </c>
      <c r="D3781" t="s">
        <v>19</v>
      </c>
      <c r="E3781" t="s">
        <v>7</v>
      </c>
      <c r="F3781" t="s">
        <v>7</v>
      </c>
      <c r="G3781" t="s">
        <v>8</v>
      </c>
      <c r="H3781">
        <v>397.16</v>
      </c>
    </row>
    <row r="3782" spans="1:8" x14ac:dyDescent="0.3">
      <c r="A3782">
        <v>202301</v>
      </c>
      <c r="B3782" s="1">
        <v>44927</v>
      </c>
      <c r="C3782">
        <v>2023</v>
      </c>
      <c r="D3782" t="s">
        <v>6</v>
      </c>
      <c r="E3782" t="s">
        <v>7</v>
      </c>
      <c r="F3782" t="s">
        <v>7</v>
      </c>
      <c r="G3782" t="s">
        <v>8</v>
      </c>
      <c r="H3782">
        <v>135938.1</v>
      </c>
    </row>
    <row r="3783" spans="1:8" x14ac:dyDescent="0.3">
      <c r="A3783">
        <v>202302</v>
      </c>
      <c r="B3783" s="1">
        <v>44958</v>
      </c>
      <c r="C3783">
        <v>2023</v>
      </c>
      <c r="D3783" t="s">
        <v>9</v>
      </c>
      <c r="E3783" t="s">
        <v>7</v>
      </c>
      <c r="F3783" t="s">
        <v>7</v>
      </c>
      <c r="G3783" t="s">
        <v>8</v>
      </c>
      <c r="H3783">
        <v>71157.33</v>
      </c>
    </row>
    <row r="3784" spans="1:8" x14ac:dyDescent="0.3">
      <c r="A3784">
        <v>202303</v>
      </c>
      <c r="B3784" s="1">
        <v>44986</v>
      </c>
      <c r="C3784">
        <v>2023</v>
      </c>
      <c r="D3784" t="s">
        <v>10</v>
      </c>
      <c r="E3784" t="s">
        <v>7</v>
      </c>
      <c r="F3784" t="s">
        <v>7</v>
      </c>
      <c r="G3784" t="s">
        <v>8</v>
      </c>
      <c r="H3784">
        <v>73781.81</v>
      </c>
    </row>
    <row r="3785" spans="1:8" x14ac:dyDescent="0.3">
      <c r="A3785">
        <v>202304</v>
      </c>
      <c r="B3785" s="1">
        <v>45017</v>
      </c>
      <c r="C3785">
        <v>2023</v>
      </c>
      <c r="D3785" t="s">
        <v>11</v>
      </c>
      <c r="E3785" t="s">
        <v>7</v>
      </c>
      <c r="F3785" t="s">
        <v>7</v>
      </c>
      <c r="G3785" t="s">
        <v>8</v>
      </c>
      <c r="H3785">
        <v>200469.02</v>
      </c>
    </row>
    <row r="3786" spans="1:8" x14ac:dyDescent="0.3">
      <c r="A3786">
        <v>202305</v>
      </c>
      <c r="B3786" s="1">
        <v>45047</v>
      </c>
      <c r="C3786">
        <v>2023</v>
      </c>
      <c r="D3786" t="s">
        <v>12</v>
      </c>
      <c r="E3786" t="s">
        <v>7</v>
      </c>
      <c r="F3786" t="s">
        <v>7</v>
      </c>
      <c r="G3786" t="s">
        <v>8</v>
      </c>
      <c r="H3786">
        <v>128650.92</v>
      </c>
    </row>
    <row r="3787" spans="1:8" x14ac:dyDescent="0.3">
      <c r="A3787">
        <v>202306</v>
      </c>
      <c r="B3787" s="1">
        <v>45078</v>
      </c>
      <c r="C3787">
        <v>2023</v>
      </c>
      <c r="D3787" t="s">
        <v>13</v>
      </c>
      <c r="E3787" t="s">
        <v>7</v>
      </c>
      <c r="F3787" t="s">
        <v>7</v>
      </c>
      <c r="G3787" t="s">
        <v>8</v>
      </c>
      <c r="H3787">
        <v>92862.86</v>
      </c>
    </row>
    <row r="3788" spans="1:8" x14ac:dyDescent="0.3">
      <c r="A3788">
        <v>202307</v>
      </c>
      <c r="B3788" s="1">
        <v>45108</v>
      </c>
      <c r="C3788">
        <v>2023</v>
      </c>
      <c r="D3788" t="s">
        <v>14</v>
      </c>
      <c r="E3788" t="s">
        <v>7</v>
      </c>
      <c r="F3788" t="s">
        <v>7</v>
      </c>
      <c r="G3788" t="s">
        <v>8</v>
      </c>
      <c r="H3788">
        <v>164780.79</v>
      </c>
    </row>
    <row r="3789" spans="1:8" x14ac:dyDescent="0.3">
      <c r="A3789">
        <v>202308</v>
      </c>
      <c r="B3789" s="1">
        <v>45139</v>
      </c>
      <c r="C3789">
        <v>2023</v>
      </c>
      <c r="D3789" t="s">
        <v>15</v>
      </c>
      <c r="E3789" t="s">
        <v>7</v>
      </c>
      <c r="F3789" t="s">
        <v>7</v>
      </c>
      <c r="G3789" t="s">
        <v>8</v>
      </c>
      <c r="H3789">
        <v>126961.58</v>
      </c>
    </row>
    <row r="3790" spans="1:8" x14ac:dyDescent="0.3">
      <c r="A3790">
        <v>202309</v>
      </c>
      <c r="B3790" s="1">
        <v>45170</v>
      </c>
      <c r="C3790">
        <v>2023</v>
      </c>
      <c r="D3790" t="s">
        <v>16</v>
      </c>
      <c r="E3790" t="s">
        <v>7</v>
      </c>
      <c r="F3790" t="s">
        <v>7</v>
      </c>
      <c r="G3790" t="s">
        <v>8</v>
      </c>
      <c r="H3790">
        <v>83193.66</v>
      </c>
    </row>
    <row r="3791" spans="1:8" x14ac:dyDescent="0.3">
      <c r="A3791">
        <v>202310</v>
      </c>
      <c r="B3791" s="1">
        <v>45200</v>
      </c>
      <c r="C3791">
        <v>2023</v>
      </c>
      <c r="D3791" t="s">
        <v>17</v>
      </c>
      <c r="E3791" t="s">
        <v>7</v>
      </c>
      <c r="F3791" t="s">
        <v>7</v>
      </c>
      <c r="G3791" t="s">
        <v>8</v>
      </c>
      <c r="H3791">
        <v>161498.1</v>
      </c>
    </row>
    <row r="3792" spans="1:8" x14ac:dyDescent="0.3">
      <c r="A3792">
        <v>202311</v>
      </c>
      <c r="B3792" s="1">
        <v>45231</v>
      </c>
      <c r="C3792">
        <v>2023</v>
      </c>
      <c r="D3792" t="s">
        <v>18</v>
      </c>
      <c r="E3792" t="s">
        <v>7</v>
      </c>
      <c r="F3792" t="s">
        <v>7</v>
      </c>
      <c r="G3792" t="s">
        <v>8</v>
      </c>
      <c r="H3792">
        <v>123972.2</v>
      </c>
    </row>
    <row r="3793" spans="1:8" x14ac:dyDescent="0.3">
      <c r="A3793">
        <v>202312</v>
      </c>
      <c r="B3793" s="1">
        <v>45261</v>
      </c>
      <c r="C3793">
        <v>2023</v>
      </c>
      <c r="D3793" t="s">
        <v>19</v>
      </c>
      <c r="E3793" t="s">
        <v>7</v>
      </c>
      <c r="F3793" t="s">
        <v>7</v>
      </c>
      <c r="G3793" t="s">
        <v>8</v>
      </c>
      <c r="H3793">
        <v>94122.59</v>
      </c>
    </row>
    <row r="3794" spans="1:8" x14ac:dyDescent="0.3">
      <c r="A3794">
        <v>202301</v>
      </c>
      <c r="B3794" s="1">
        <v>44927</v>
      </c>
      <c r="C3794">
        <v>2023</v>
      </c>
      <c r="D3794" t="s">
        <v>6</v>
      </c>
      <c r="E3794" t="s">
        <v>20</v>
      </c>
      <c r="F3794" t="s">
        <v>40</v>
      </c>
      <c r="G3794" t="s">
        <v>8</v>
      </c>
      <c r="H3794">
        <v>92.68</v>
      </c>
    </row>
    <row r="3795" spans="1:8" x14ac:dyDescent="0.3">
      <c r="A3795">
        <v>202302</v>
      </c>
      <c r="B3795" s="1">
        <v>44958</v>
      </c>
      <c r="C3795">
        <v>2023</v>
      </c>
      <c r="D3795" t="s">
        <v>9</v>
      </c>
      <c r="E3795" t="s">
        <v>20</v>
      </c>
      <c r="F3795" t="s">
        <v>40</v>
      </c>
      <c r="G3795" t="s">
        <v>8</v>
      </c>
      <c r="H3795">
        <v>98.76</v>
      </c>
    </row>
    <row r="3796" spans="1:8" x14ac:dyDescent="0.3">
      <c r="A3796">
        <v>202303</v>
      </c>
      <c r="B3796" s="1">
        <v>44986</v>
      </c>
      <c r="C3796">
        <v>2023</v>
      </c>
      <c r="D3796" t="s">
        <v>10</v>
      </c>
      <c r="E3796" t="s">
        <v>20</v>
      </c>
      <c r="F3796" t="s">
        <v>40</v>
      </c>
      <c r="G3796" t="s">
        <v>8</v>
      </c>
      <c r="H3796">
        <v>109.66</v>
      </c>
    </row>
    <row r="3797" spans="1:8" x14ac:dyDescent="0.3">
      <c r="A3797">
        <v>202304</v>
      </c>
      <c r="B3797" s="1">
        <v>45017</v>
      </c>
      <c r="C3797">
        <v>2023</v>
      </c>
      <c r="D3797" t="s">
        <v>11</v>
      </c>
      <c r="E3797" t="s">
        <v>20</v>
      </c>
      <c r="F3797" t="s">
        <v>40</v>
      </c>
      <c r="G3797" t="s">
        <v>8</v>
      </c>
      <c r="H3797">
        <v>94.51</v>
      </c>
    </row>
    <row r="3798" spans="1:8" x14ac:dyDescent="0.3">
      <c r="A3798">
        <v>202305</v>
      </c>
      <c r="B3798" s="1">
        <v>45047</v>
      </c>
      <c r="C3798">
        <v>2023</v>
      </c>
      <c r="D3798" t="s">
        <v>12</v>
      </c>
      <c r="E3798" t="s">
        <v>20</v>
      </c>
      <c r="F3798" t="s">
        <v>40</v>
      </c>
      <c r="G3798" t="s">
        <v>8</v>
      </c>
      <c r="H3798">
        <v>74.34</v>
      </c>
    </row>
    <row r="3799" spans="1:8" x14ac:dyDescent="0.3">
      <c r="A3799">
        <v>202306</v>
      </c>
      <c r="B3799" s="1">
        <v>45078</v>
      </c>
      <c r="C3799">
        <v>2023</v>
      </c>
      <c r="D3799" t="s">
        <v>13</v>
      </c>
      <c r="E3799" t="s">
        <v>20</v>
      </c>
      <c r="F3799" t="s">
        <v>40</v>
      </c>
      <c r="G3799" t="s">
        <v>8</v>
      </c>
      <c r="H3799">
        <v>105.63</v>
      </c>
    </row>
    <row r="3800" spans="1:8" x14ac:dyDescent="0.3">
      <c r="A3800">
        <v>202307</v>
      </c>
      <c r="B3800" s="1">
        <v>45108</v>
      </c>
      <c r="C3800">
        <v>2023</v>
      </c>
      <c r="D3800" t="s">
        <v>14</v>
      </c>
      <c r="E3800" t="s">
        <v>20</v>
      </c>
      <c r="F3800" t="s">
        <v>40</v>
      </c>
      <c r="G3800" t="s">
        <v>8</v>
      </c>
      <c r="H3800">
        <v>215.89</v>
      </c>
    </row>
    <row r="3801" spans="1:8" x14ac:dyDescent="0.3">
      <c r="A3801">
        <v>202308</v>
      </c>
      <c r="B3801" s="1">
        <v>45139</v>
      </c>
      <c r="C3801">
        <v>2023</v>
      </c>
      <c r="D3801" t="s">
        <v>15</v>
      </c>
      <c r="E3801" t="s">
        <v>20</v>
      </c>
      <c r="F3801" t="s">
        <v>40</v>
      </c>
      <c r="G3801" t="s">
        <v>8</v>
      </c>
      <c r="H3801">
        <v>132.76</v>
      </c>
    </row>
    <row r="3802" spans="1:8" x14ac:dyDescent="0.3">
      <c r="A3802">
        <v>202309</v>
      </c>
      <c r="B3802" s="1">
        <v>45170</v>
      </c>
      <c r="C3802">
        <v>2023</v>
      </c>
      <c r="D3802" t="s">
        <v>16</v>
      </c>
      <c r="E3802" t="s">
        <v>20</v>
      </c>
      <c r="F3802" t="s">
        <v>40</v>
      </c>
      <c r="G3802" t="s">
        <v>8</v>
      </c>
      <c r="H3802">
        <v>129.94999999999999</v>
      </c>
    </row>
    <row r="3803" spans="1:8" x14ac:dyDescent="0.3">
      <c r="A3803">
        <v>202310</v>
      </c>
      <c r="B3803" s="1">
        <v>45200</v>
      </c>
      <c r="C3803">
        <v>2023</v>
      </c>
      <c r="D3803" t="s">
        <v>17</v>
      </c>
      <c r="E3803" t="s">
        <v>20</v>
      </c>
      <c r="F3803" t="s">
        <v>40</v>
      </c>
      <c r="G3803" t="s">
        <v>8</v>
      </c>
      <c r="H3803">
        <v>119.81</v>
      </c>
    </row>
    <row r="3804" spans="1:8" x14ac:dyDescent="0.3">
      <c r="A3804">
        <v>202311</v>
      </c>
      <c r="B3804" s="1">
        <v>45231</v>
      </c>
      <c r="C3804">
        <v>2023</v>
      </c>
      <c r="D3804" t="s">
        <v>18</v>
      </c>
      <c r="E3804" t="s">
        <v>20</v>
      </c>
      <c r="F3804" t="s">
        <v>40</v>
      </c>
      <c r="G3804" t="s">
        <v>8</v>
      </c>
      <c r="H3804">
        <v>51.76</v>
      </c>
    </row>
    <row r="3805" spans="1:8" x14ac:dyDescent="0.3">
      <c r="A3805">
        <v>202312</v>
      </c>
      <c r="B3805" s="1">
        <v>45261</v>
      </c>
      <c r="C3805">
        <v>2023</v>
      </c>
      <c r="D3805" t="s">
        <v>19</v>
      </c>
      <c r="E3805" t="s">
        <v>20</v>
      </c>
      <c r="F3805" t="s">
        <v>40</v>
      </c>
      <c r="G3805" t="s">
        <v>8</v>
      </c>
      <c r="H3805">
        <v>308.19</v>
      </c>
    </row>
    <row r="3806" spans="1:8" x14ac:dyDescent="0.3">
      <c r="A3806">
        <v>202301</v>
      </c>
      <c r="B3806" s="1">
        <v>44927</v>
      </c>
      <c r="C3806">
        <v>2023</v>
      </c>
      <c r="D3806" t="s">
        <v>6</v>
      </c>
      <c r="E3806" t="s">
        <v>20</v>
      </c>
      <c r="F3806" t="s">
        <v>40</v>
      </c>
      <c r="G3806" t="s">
        <v>8</v>
      </c>
      <c r="H3806">
        <v>148.32</v>
      </c>
    </row>
    <row r="3807" spans="1:8" x14ac:dyDescent="0.3">
      <c r="A3807">
        <v>202302</v>
      </c>
      <c r="B3807" s="1">
        <v>44958</v>
      </c>
      <c r="C3807">
        <v>2023</v>
      </c>
      <c r="D3807" t="s">
        <v>9</v>
      </c>
      <c r="E3807" t="s">
        <v>20</v>
      </c>
      <c r="F3807" t="s">
        <v>40</v>
      </c>
      <c r="G3807" t="s">
        <v>8</v>
      </c>
      <c r="H3807">
        <v>69.09</v>
      </c>
    </row>
    <row r="3808" spans="1:8" x14ac:dyDescent="0.3">
      <c r="A3808">
        <v>202303</v>
      </c>
      <c r="B3808" s="1">
        <v>44986</v>
      </c>
      <c r="C3808">
        <v>2023</v>
      </c>
      <c r="D3808" t="s">
        <v>10</v>
      </c>
      <c r="E3808" t="s">
        <v>20</v>
      </c>
      <c r="F3808" t="s">
        <v>40</v>
      </c>
      <c r="G3808" t="s">
        <v>8</v>
      </c>
      <c r="H3808">
        <v>80.61</v>
      </c>
    </row>
    <row r="3809" spans="1:8" x14ac:dyDescent="0.3">
      <c r="A3809">
        <v>202304</v>
      </c>
      <c r="B3809" s="1">
        <v>45017</v>
      </c>
      <c r="C3809">
        <v>2023</v>
      </c>
      <c r="D3809" t="s">
        <v>11</v>
      </c>
      <c r="E3809" t="s">
        <v>20</v>
      </c>
      <c r="F3809" t="s">
        <v>40</v>
      </c>
      <c r="G3809" t="s">
        <v>8</v>
      </c>
      <c r="H3809">
        <v>160.04</v>
      </c>
    </row>
    <row r="3810" spans="1:8" x14ac:dyDescent="0.3">
      <c r="A3810">
        <v>202305</v>
      </c>
      <c r="B3810" s="1">
        <v>45047</v>
      </c>
      <c r="C3810">
        <v>2023</v>
      </c>
      <c r="D3810" t="s">
        <v>12</v>
      </c>
      <c r="E3810" t="s">
        <v>20</v>
      </c>
      <c r="F3810" t="s">
        <v>40</v>
      </c>
      <c r="G3810" t="s">
        <v>8</v>
      </c>
      <c r="H3810">
        <v>119.99</v>
      </c>
    </row>
    <row r="3811" spans="1:8" x14ac:dyDescent="0.3">
      <c r="A3811">
        <v>202306</v>
      </c>
      <c r="B3811" s="1">
        <v>45078</v>
      </c>
      <c r="C3811">
        <v>2023</v>
      </c>
      <c r="D3811" t="s">
        <v>13</v>
      </c>
      <c r="E3811" t="s">
        <v>20</v>
      </c>
      <c r="F3811" t="s">
        <v>40</v>
      </c>
      <c r="G3811" t="s">
        <v>8</v>
      </c>
      <c r="H3811">
        <v>95.98</v>
      </c>
    </row>
    <row r="3812" spans="1:8" x14ac:dyDescent="0.3">
      <c r="A3812">
        <v>202307</v>
      </c>
      <c r="B3812" s="1">
        <v>45108</v>
      </c>
      <c r="C3812">
        <v>2023</v>
      </c>
      <c r="D3812" t="s">
        <v>14</v>
      </c>
      <c r="E3812" t="s">
        <v>20</v>
      </c>
      <c r="F3812" t="s">
        <v>40</v>
      </c>
      <c r="G3812" t="s">
        <v>8</v>
      </c>
      <c r="H3812">
        <v>205.63</v>
      </c>
    </row>
    <row r="3813" spans="1:8" x14ac:dyDescent="0.3">
      <c r="A3813">
        <v>202308</v>
      </c>
      <c r="B3813" s="1">
        <v>45139</v>
      </c>
      <c r="C3813">
        <v>2023</v>
      </c>
      <c r="D3813" t="s">
        <v>15</v>
      </c>
      <c r="E3813" t="s">
        <v>20</v>
      </c>
      <c r="F3813" t="s">
        <v>40</v>
      </c>
      <c r="G3813" t="s">
        <v>8</v>
      </c>
      <c r="H3813">
        <v>136.46</v>
      </c>
    </row>
    <row r="3814" spans="1:8" x14ac:dyDescent="0.3">
      <c r="A3814">
        <v>202309</v>
      </c>
      <c r="B3814" s="1">
        <v>45170</v>
      </c>
      <c r="C3814">
        <v>2023</v>
      </c>
      <c r="D3814" t="s">
        <v>16</v>
      </c>
      <c r="E3814" t="s">
        <v>20</v>
      </c>
      <c r="F3814" t="s">
        <v>40</v>
      </c>
      <c r="G3814" t="s">
        <v>8</v>
      </c>
      <c r="H3814">
        <v>130.38999999999999</v>
      </c>
    </row>
    <row r="3815" spans="1:8" x14ac:dyDescent="0.3">
      <c r="A3815">
        <v>202310</v>
      </c>
      <c r="B3815" s="1">
        <v>45200</v>
      </c>
      <c r="C3815">
        <v>2023</v>
      </c>
      <c r="D3815" t="s">
        <v>17</v>
      </c>
      <c r="E3815" t="s">
        <v>20</v>
      </c>
      <c r="F3815" t="s">
        <v>40</v>
      </c>
      <c r="G3815" t="s">
        <v>8</v>
      </c>
      <c r="H3815">
        <v>171.38</v>
      </c>
    </row>
    <row r="3816" spans="1:8" x14ac:dyDescent="0.3">
      <c r="A3816">
        <v>202311</v>
      </c>
      <c r="B3816" s="1">
        <v>45231</v>
      </c>
      <c r="C3816">
        <v>2023</v>
      </c>
      <c r="D3816" t="s">
        <v>18</v>
      </c>
      <c r="E3816" t="s">
        <v>20</v>
      </c>
      <c r="F3816" t="s">
        <v>40</v>
      </c>
      <c r="G3816" t="s">
        <v>8</v>
      </c>
      <c r="H3816">
        <v>79.260000000000005</v>
      </c>
    </row>
    <row r="3817" spans="1:8" x14ac:dyDescent="0.3">
      <c r="A3817">
        <v>202312</v>
      </c>
      <c r="B3817" s="1">
        <v>45261</v>
      </c>
      <c r="C3817">
        <v>2023</v>
      </c>
      <c r="D3817" t="s">
        <v>19</v>
      </c>
      <c r="E3817" t="s">
        <v>20</v>
      </c>
      <c r="F3817" t="s">
        <v>40</v>
      </c>
      <c r="G3817" t="s">
        <v>8</v>
      </c>
      <c r="H3817">
        <v>150.25</v>
      </c>
    </row>
    <row r="3818" spans="1:8" x14ac:dyDescent="0.3">
      <c r="A3818">
        <v>202301</v>
      </c>
      <c r="B3818" s="1">
        <v>44927</v>
      </c>
      <c r="C3818">
        <v>2023</v>
      </c>
      <c r="D3818" t="s">
        <v>6</v>
      </c>
      <c r="E3818" t="s">
        <v>20</v>
      </c>
      <c r="F3818" t="s">
        <v>40</v>
      </c>
      <c r="G3818" t="s">
        <v>8</v>
      </c>
      <c r="H3818">
        <v>129.03</v>
      </c>
    </row>
    <row r="3819" spans="1:8" x14ac:dyDescent="0.3">
      <c r="A3819">
        <v>202302</v>
      </c>
      <c r="B3819" s="1">
        <v>44958</v>
      </c>
      <c r="C3819">
        <v>2023</v>
      </c>
      <c r="D3819" t="s">
        <v>9</v>
      </c>
      <c r="E3819" t="s">
        <v>20</v>
      </c>
      <c r="F3819" t="s">
        <v>40</v>
      </c>
      <c r="G3819" t="s">
        <v>8</v>
      </c>
      <c r="H3819">
        <v>98.65</v>
      </c>
    </row>
    <row r="3820" spans="1:8" x14ac:dyDescent="0.3">
      <c r="A3820">
        <v>202303</v>
      </c>
      <c r="B3820" s="1">
        <v>44986</v>
      </c>
      <c r="C3820">
        <v>2023</v>
      </c>
      <c r="D3820" t="s">
        <v>10</v>
      </c>
      <c r="E3820" t="s">
        <v>20</v>
      </c>
      <c r="F3820" t="s">
        <v>40</v>
      </c>
      <c r="G3820" t="s">
        <v>8</v>
      </c>
      <c r="H3820">
        <v>116.71</v>
      </c>
    </row>
    <row r="3821" spans="1:8" x14ac:dyDescent="0.3">
      <c r="A3821">
        <v>202304</v>
      </c>
      <c r="B3821" s="1">
        <v>45017</v>
      </c>
      <c r="C3821">
        <v>2023</v>
      </c>
      <c r="D3821" t="s">
        <v>11</v>
      </c>
      <c r="E3821" t="s">
        <v>20</v>
      </c>
      <c r="F3821" t="s">
        <v>40</v>
      </c>
      <c r="G3821" t="s">
        <v>8</v>
      </c>
      <c r="H3821">
        <v>132.74</v>
      </c>
    </row>
    <row r="3822" spans="1:8" x14ac:dyDescent="0.3">
      <c r="A3822">
        <v>202305</v>
      </c>
      <c r="B3822" s="1">
        <v>45047</v>
      </c>
      <c r="C3822">
        <v>2023</v>
      </c>
      <c r="D3822" t="s">
        <v>12</v>
      </c>
      <c r="E3822" t="s">
        <v>20</v>
      </c>
      <c r="F3822" t="s">
        <v>40</v>
      </c>
      <c r="G3822" t="s">
        <v>8</v>
      </c>
      <c r="H3822">
        <v>105.72</v>
      </c>
    </row>
    <row r="3823" spans="1:8" x14ac:dyDescent="0.3">
      <c r="A3823">
        <v>202306</v>
      </c>
      <c r="B3823" s="1">
        <v>45078</v>
      </c>
      <c r="C3823">
        <v>2023</v>
      </c>
      <c r="D3823" t="s">
        <v>13</v>
      </c>
      <c r="E3823" t="s">
        <v>20</v>
      </c>
      <c r="F3823" t="s">
        <v>40</v>
      </c>
      <c r="G3823" t="s">
        <v>8</v>
      </c>
      <c r="H3823">
        <v>130.75</v>
      </c>
    </row>
    <row r="3824" spans="1:8" x14ac:dyDescent="0.3">
      <c r="A3824">
        <v>202307</v>
      </c>
      <c r="B3824" s="1">
        <v>45108</v>
      </c>
      <c r="C3824">
        <v>2023</v>
      </c>
      <c r="D3824" t="s">
        <v>14</v>
      </c>
      <c r="E3824" t="s">
        <v>20</v>
      </c>
      <c r="F3824" t="s">
        <v>40</v>
      </c>
      <c r="G3824" t="s">
        <v>8</v>
      </c>
      <c r="H3824">
        <v>128.61000000000001</v>
      </c>
    </row>
    <row r="3825" spans="1:8" x14ac:dyDescent="0.3">
      <c r="A3825">
        <v>202308</v>
      </c>
      <c r="B3825" s="1">
        <v>45139</v>
      </c>
      <c r="C3825">
        <v>2023</v>
      </c>
      <c r="D3825" t="s">
        <v>15</v>
      </c>
      <c r="E3825" t="s">
        <v>20</v>
      </c>
      <c r="F3825" t="s">
        <v>40</v>
      </c>
      <c r="G3825" t="s">
        <v>8</v>
      </c>
      <c r="H3825">
        <v>129.72999999999999</v>
      </c>
    </row>
    <row r="3826" spans="1:8" x14ac:dyDescent="0.3">
      <c r="A3826">
        <v>202309</v>
      </c>
      <c r="B3826" s="1">
        <v>45170</v>
      </c>
      <c r="C3826">
        <v>2023</v>
      </c>
      <c r="D3826" t="s">
        <v>16</v>
      </c>
      <c r="E3826" t="s">
        <v>20</v>
      </c>
      <c r="F3826" t="s">
        <v>40</v>
      </c>
      <c r="G3826" t="s">
        <v>8</v>
      </c>
      <c r="H3826">
        <v>107.29</v>
      </c>
    </row>
    <row r="3827" spans="1:8" x14ac:dyDescent="0.3">
      <c r="A3827">
        <v>202310</v>
      </c>
      <c r="B3827" s="1">
        <v>45200</v>
      </c>
      <c r="C3827">
        <v>2023</v>
      </c>
      <c r="D3827" t="s">
        <v>17</v>
      </c>
      <c r="E3827" t="s">
        <v>20</v>
      </c>
      <c r="F3827" t="s">
        <v>40</v>
      </c>
      <c r="G3827" t="s">
        <v>8</v>
      </c>
      <c r="H3827">
        <v>134.47999999999999</v>
      </c>
    </row>
    <row r="3828" spans="1:8" x14ac:dyDescent="0.3">
      <c r="A3828">
        <v>202311</v>
      </c>
      <c r="B3828" s="1">
        <v>45231</v>
      </c>
      <c r="C3828">
        <v>2023</v>
      </c>
      <c r="D3828" t="s">
        <v>18</v>
      </c>
      <c r="E3828" t="s">
        <v>20</v>
      </c>
      <c r="F3828" t="s">
        <v>40</v>
      </c>
      <c r="G3828" t="s">
        <v>8</v>
      </c>
      <c r="H3828">
        <v>118.23</v>
      </c>
    </row>
    <row r="3829" spans="1:8" x14ac:dyDescent="0.3">
      <c r="A3829">
        <v>202312</v>
      </c>
      <c r="B3829" s="1">
        <v>45261</v>
      </c>
      <c r="C3829">
        <v>2023</v>
      </c>
      <c r="D3829" t="s">
        <v>19</v>
      </c>
      <c r="E3829" t="s">
        <v>20</v>
      </c>
      <c r="F3829" t="s">
        <v>40</v>
      </c>
      <c r="G3829" t="s">
        <v>8</v>
      </c>
      <c r="H3829">
        <v>149.15</v>
      </c>
    </row>
    <row r="3830" spans="1:8" x14ac:dyDescent="0.3">
      <c r="A3830">
        <v>202301</v>
      </c>
      <c r="B3830" s="1">
        <v>44927</v>
      </c>
      <c r="C3830">
        <v>2023</v>
      </c>
      <c r="D3830" t="s">
        <v>6</v>
      </c>
      <c r="E3830" t="s">
        <v>20</v>
      </c>
      <c r="F3830" t="s">
        <v>40</v>
      </c>
      <c r="G3830" t="s">
        <v>8</v>
      </c>
      <c r="H3830">
        <v>56.03</v>
      </c>
    </row>
    <row r="3831" spans="1:8" x14ac:dyDescent="0.3">
      <c r="A3831">
        <v>202302</v>
      </c>
      <c r="B3831" s="1">
        <v>44958</v>
      </c>
      <c r="C3831">
        <v>2023</v>
      </c>
      <c r="D3831" t="s">
        <v>9</v>
      </c>
      <c r="E3831" t="s">
        <v>20</v>
      </c>
      <c r="F3831" t="s">
        <v>40</v>
      </c>
      <c r="G3831" t="s">
        <v>8</v>
      </c>
      <c r="H3831">
        <v>35.450000000000003</v>
      </c>
    </row>
    <row r="3832" spans="1:8" x14ac:dyDescent="0.3">
      <c r="A3832">
        <v>202303</v>
      </c>
      <c r="B3832" s="1">
        <v>44986</v>
      </c>
      <c r="C3832">
        <v>2023</v>
      </c>
      <c r="D3832" t="s">
        <v>10</v>
      </c>
      <c r="E3832" t="s">
        <v>20</v>
      </c>
      <c r="F3832" t="s">
        <v>40</v>
      </c>
      <c r="G3832" t="s">
        <v>8</v>
      </c>
      <c r="H3832">
        <v>41.87</v>
      </c>
    </row>
    <row r="3833" spans="1:8" x14ac:dyDescent="0.3">
      <c r="A3833">
        <v>202304</v>
      </c>
      <c r="B3833" s="1">
        <v>45017</v>
      </c>
      <c r="C3833">
        <v>2023</v>
      </c>
      <c r="D3833" t="s">
        <v>11</v>
      </c>
      <c r="E3833" t="s">
        <v>20</v>
      </c>
      <c r="F3833" t="s">
        <v>40</v>
      </c>
      <c r="G3833" t="s">
        <v>8</v>
      </c>
      <c r="H3833">
        <v>44.05</v>
      </c>
    </row>
    <row r="3834" spans="1:8" x14ac:dyDescent="0.3">
      <c r="A3834">
        <v>202305</v>
      </c>
      <c r="B3834" s="1">
        <v>45047</v>
      </c>
      <c r="C3834">
        <v>2023</v>
      </c>
      <c r="D3834" t="s">
        <v>12</v>
      </c>
      <c r="E3834" t="s">
        <v>20</v>
      </c>
      <c r="F3834" t="s">
        <v>40</v>
      </c>
      <c r="G3834" t="s">
        <v>8</v>
      </c>
      <c r="H3834">
        <v>46.1</v>
      </c>
    </row>
    <row r="3835" spans="1:8" x14ac:dyDescent="0.3">
      <c r="A3835">
        <v>202306</v>
      </c>
      <c r="B3835" s="1">
        <v>45078</v>
      </c>
      <c r="C3835">
        <v>2023</v>
      </c>
      <c r="D3835" t="s">
        <v>13</v>
      </c>
      <c r="E3835" t="s">
        <v>20</v>
      </c>
      <c r="F3835" t="s">
        <v>40</v>
      </c>
      <c r="G3835" t="s">
        <v>8</v>
      </c>
      <c r="H3835">
        <v>36.9</v>
      </c>
    </row>
    <row r="3836" spans="1:8" x14ac:dyDescent="0.3">
      <c r="A3836">
        <v>202307</v>
      </c>
      <c r="B3836" s="1">
        <v>45108</v>
      </c>
      <c r="C3836">
        <v>2023</v>
      </c>
      <c r="D3836" t="s">
        <v>14</v>
      </c>
      <c r="E3836" t="s">
        <v>20</v>
      </c>
      <c r="F3836" t="s">
        <v>40</v>
      </c>
      <c r="G3836" t="s">
        <v>8</v>
      </c>
      <c r="H3836">
        <v>42.46</v>
      </c>
    </row>
    <row r="3837" spans="1:8" x14ac:dyDescent="0.3">
      <c r="A3837">
        <v>202308</v>
      </c>
      <c r="B3837" s="1">
        <v>45139</v>
      </c>
      <c r="C3837">
        <v>2023</v>
      </c>
      <c r="D3837" t="s">
        <v>15</v>
      </c>
      <c r="E3837" t="s">
        <v>20</v>
      </c>
      <c r="F3837" t="s">
        <v>40</v>
      </c>
      <c r="G3837" t="s">
        <v>8</v>
      </c>
      <c r="H3837">
        <v>50.76</v>
      </c>
    </row>
    <row r="3838" spans="1:8" x14ac:dyDescent="0.3">
      <c r="A3838">
        <v>202309</v>
      </c>
      <c r="B3838" s="1">
        <v>45170</v>
      </c>
      <c r="C3838">
        <v>2023</v>
      </c>
      <c r="D3838" t="s">
        <v>16</v>
      </c>
      <c r="E3838" t="s">
        <v>20</v>
      </c>
      <c r="F3838" t="s">
        <v>40</v>
      </c>
      <c r="G3838" t="s">
        <v>8</v>
      </c>
      <c r="H3838">
        <v>38.69</v>
      </c>
    </row>
    <row r="3839" spans="1:8" x14ac:dyDescent="0.3">
      <c r="A3839">
        <v>202310</v>
      </c>
      <c r="B3839" s="1">
        <v>45200</v>
      </c>
      <c r="C3839">
        <v>2023</v>
      </c>
      <c r="D3839" t="s">
        <v>17</v>
      </c>
      <c r="E3839" t="s">
        <v>20</v>
      </c>
      <c r="F3839" t="s">
        <v>40</v>
      </c>
      <c r="G3839" t="s">
        <v>8</v>
      </c>
      <c r="H3839">
        <v>56.25</v>
      </c>
    </row>
    <row r="3840" spans="1:8" x14ac:dyDescent="0.3">
      <c r="A3840">
        <v>202311</v>
      </c>
      <c r="B3840" s="1">
        <v>45231</v>
      </c>
      <c r="C3840">
        <v>2023</v>
      </c>
      <c r="D3840" t="s">
        <v>18</v>
      </c>
      <c r="E3840" t="s">
        <v>20</v>
      </c>
      <c r="F3840" t="s">
        <v>40</v>
      </c>
      <c r="G3840" t="s">
        <v>8</v>
      </c>
      <c r="H3840">
        <v>35.61</v>
      </c>
    </row>
    <row r="3841" spans="1:8" x14ac:dyDescent="0.3">
      <c r="A3841">
        <v>202312</v>
      </c>
      <c r="B3841" s="1">
        <v>45261</v>
      </c>
      <c r="C3841">
        <v>2023</v>
      </c>
      <c r="D3841" t="s">
        <v>19</v>
      </c>
      <c r="E3841" t="s">
        <v>20</v>
      </c>
      <c r="F3841" t="s">
        <v>40</v>
      </c>
      <c r="G3841" t="s">
        <v>8</v>
      </c>
      <c r="H3841">
        <v>65.47</v>
      </c>
    </row>
    <row r="3842" spans="1:8" x14ac:dyDescent="0.3">
      <c r="A3842">
        <v>202301</v>
      </c>
      <c r="B3842" s="1">
        <v>44927</v>
      </c>
      <c r="C3842">
        <v>2023</v>
      </c>
      <c r="D3842" t="s">
        <v>6</v>
      </c>
      <c r="E3842" t="s">
        <v>20</v>
      </c>
      <c r="F3842" t="s">
        <v>40</v>
      </c>
      <c r="G3842" t="s">
        <v>8</v>
      </c>
      <c r="H3842">
        <v>61.27</v>
      </c>
    </row>
    <row r="3843" spans="1:8" x14ac:dyDescent="0.3">
      <c r="A3843">
        <v>202302</v>
      </c>
      <c r="B3843" s="1">
        <v>44958</v>
      </c>
      <c r="C3843">
        <v>2023</v>
      </c>
      <c r="D3843" t="s">
        <v>9</v>
      </c>
      <c r="E3843" t="s">
        <v>20</v>
      </c>
      <c r="F3843" t="s">
        <v>40</v>
      </c>
      <c r="G3843" t="s">
        <v>8</v>
      </c>
      <c r="H3843">
        <v>35.42</v>
      </c>
    </row>
    <row r="3844" spans="1:8" x14ac:dyDescent="0.3">
      <c r="A3844">
        <v>202303</v>
      </c>
      <c r="B3844" s="1">
        <v>44986</v>
      </c>
      <c r="C3844">
        <v>2023</v>
      </c>
      <c r="D3844" t="s">
        <v>10</v>
      </c>
      <c r="E3844" t="s">
        <v>20</v>
      </c>
      <c r="F3844" t="s">
        <v>40</v>
      </c>
      <c r="G3844" t="s">
        <v>8</v>
      </c>
      <c r="H3844">
        <v>34.99</v>
      </c>
    </row>
    <row r="3845" spans="1:8" x14ac:dyDescent="0.3">
      <c r="A3845">
        <v>202304</v>
      </c>
      <c r="B3845" s="1">
        <v>45017</v>
      </c>
      <c r="C3845">
        <v>2023</v>
      </c>
      <c r="D3845" t="s">
        <v>11</v>
      </c>
      <c r="E3845" t="s">
        <v>20</v>
      </c>
      <c r="F3845" t="s">
        <v>40</v>
      </c>
      <c r="G3845" t="s">
        <v>8</v>
      </c>
      <c r="H3845">
        <v>60.26</v>
      </c>
    </row>
    <row r="3846" spans="1:8" x14ac:dyDescent="0.3">
      <c r="A3846">
        <v>202305</v>
      </c>
      <c r="B3846" s="1">
        <v>45047</v>
      </c>
      <c r="C3846">
        <v>2023</v>
      </c>
      <c r="D3846" t="s">
        <v>12</v>
      </c>
      <c r="E3846" t="s">
        <v>20</v>
      </c>
      <c r="F3846" t="s">
        <v>40</v>
      </c>
      <c r="G3846" t="s">
        <v>8</v>
      </c>
      <c r="H3846">
        <v>51.24</v>
      </c>
    </row>
    <row r="3847" spans="1:8" x14ac:dyDescent="0.3">
      <c r="A3847">
        <v>202306</v>
      </c>
      <c r="B3847" s="1">
        <v>45078</v>
      </c>
      <c r="C3847">
        <v>2023</v>
      </c>
      <c r="D3847" t="s">
        <v>13</v>
      </c>
      <c r="E3847" t="s">
        <v>20</v>
      </c>
      <c r="F3847" t="s">
        <v>40</v>
      </c>
      <c r="G3847" t="s">
        <v>8</v>
      </c>
      <c r="H3847">
        <v>44.82</v>
      </c>
    </row>
    <row r="3848" spans="1:8" x14ac:dyDescent="0.3">
      <c r="A3848">
        <v>202307</v>
      </c>
      <c r="B3848" s="1">
        <v>45108</v>
      </c>
      <c r="C3848">
        <v>2023</v>
      </c>
      <c r="D3848" t="s">
        <v>14</v>
      </c>
      <c r="E3848" t="s">
        <v>20</v>
      </c>
      <c r="F3848" t="s">
        <v>40</v>
      </c>
      <c r="G3848" t="s">
        <v>8</v>
      </c>
      <c r="H3848">
        <v>57.28</v>
      </c>
    </row>
    <row r="3849" spans="1:8" x14ac:dyDescent="0.3">
      <c r="A3849">
        <v>202308</v>
      </c>
      <c r="B3849" s="1">
        <v>45139</v>
      </c>
      <c r="C3849">
        <v>2023</v>
      </c>
      <c r="D3849" t="s">
        <v>15</v>
      </c>
      <c r="E3849" t="s">
        <v>20</v>
      </c>
      <c r="F3849" t="s">
        <v>40</v>
      </c>
      <c r="G3849" t="s">
        <v>8</v>
      </c>
      <c r="H3849">
        <v>37</v>
      </c>
    </row>
    <row r="3850" spans="1:8" x14ac:dyDescent="0.3">
      <c r="A3850">
        <v>202309</v>
      </c>
      <c r="B3850" s="1">
        <v>45170</v>
      </c>
      <c r="C3850">
        <v>2023</v>
      </c>
      <c r="D3850" t="s">
        <v>16</v>
      </c>
      <c r="E3850" t="s">
        <v>20</v>
      </c>
      <c r="F3850" t="s">
        <v>40</v>
      </c>
      <c r="G3850" t="s">
        <v>8</v>
      </c>
      <c r="H3850">
        <v>43.45</v>
      </c>
    </row>
    <row r="3851" spans="1:8" x14ac:dyDescent="0.3">
      <c r="A3851">
        <v>202310</v>
      </c>
      <c r="B3851" s="1">
        <v>45200</v>
      </c>
      <c r="C3851">
        <v>2023</v>
      </c>
      <c r="D3851" t="s">
        <v>17</v>
      </c>
      <c r="E3851" t="s">
        <v>20</v>
      </c>
      <c r="F3851" t="s">
        <v>40</v>
      </c>
      <c r="G3851" t="s">
        <v>8</v>
      </c>
      <c r="H3851">
        <v>60.15</v>
      </c>
    </row>
    <row r="3852" spans="1:8" x14ac:dyDescent="0.3">
      <c r="A3852">
        <v>202311</v>
      </c>
      <c r="B3852" s="1">
        <v>45231</v>
      </c>
      <c r="C3852">
        <v>2023</v>
      </c>
      <c r="D3852" t="s">
        <v>18</v>
      </c>
      <c r="E3852" t="s">
        <v>20</v>
      </c>
      <c r="F3852" t="s">
        <v>40</v>
      </c>
      <c r="G3852" t="s">
        <v>8</v>
      </c>
      <c r="H3852">
        <v>36.65</v>
      </c>
    </row>
    <row r="3853" spans="1:8" x14ac:dyDescent="0.3">
      <c r="A3853">
        <v>202312</v>
      </c>
      <c r="B3853" s="1">
        <v>45261</v>
      </c>
      <c r="C3853">
        <v>2023</v>
      </c>
      <c r="D3853" t="s">
        <v>19</v>
      </c>
      <c r="E3853" t="s">
        <v>20</v>
      </c>
      <c r="F3853" t="s">
        <v>40</v>
      </c>
      <c r="G3853" t="s">
        <v>8</v>
      </c>
      <c r="H3853">
        <v>85.99</v>
      </c>
    </row>
    <row r="3854" spans="1:8" x14ac:dyDescent="0.3">
      <c r="A3854">
        <v>202301</v>
      </c>
      <c r="B3854" s="1">
        <v>44927</v>
      </c>
      <c r="C3854">
        <v>2023</v>
      </c>
      <c r="D3854" t="s">
        <v>6</v>
      </c>
      <c r="E3854" t="s">
        <v>20</v>
      </c>
      <c r="F3854" t="s">
        <v>40</v>
      </c>
      <c r="G3854" t="s">
        <v>8</v>
      </c>
      <c r="H3854">
        <v>398.26</v>
      </c>
    </row>
    <row r="3855" spans="1:8" x14ac:dyDescent="0.3">
      <c r="A3855">
        <v>202302</v>
      </c>
      <c r="B3855" s="1">
        <v>44958</v>
      </c>
      <c r="C3855">
        <v>2023</v>
      </c>
      <c r="D3855" t="s">
        <v>9</v>
      </c>
      <c r="E3855" t="s">
        <v>20</v>
      </c>
      <c r="F3855" t="s">
        <v>40</v>
      </c>
      <c r="G3855" t="s">
        <v>8</v>
      </c>
      <c r="H3855">
        <v>203.16</v>
      </c>
    </row>
    <row r="3856" spans="1:8" x14ac:dyDescent="0.3">
      <c r="A3856">
        <v>202303</v>
      </c>
      <c r="B3856" s="1">
        <v>44986</v>
      </c>
      <c r="C3856">
        <v>2023</v>
      </c>
      <c r="D3856" t="s">
        <v>10</v>
      </c>
      <c r="E3856" t="s">
        <v>20</v>
      </c>
      <c r="F3856" t="s">
        <v>40</v>
      </c>
      <c r="G3856" t="s">
        <v>8</v>
      </c>
      <c r="H3856">
        <v>370.39</v>
      </c>
    </row>
    <row r="3857" spans="1:8" x14ac:dyDescent="0.3">
      <c r="A3857">
        <v>202304</v>
      </c>
      <c r="B3857" s="1">
        <v>45017</v>
      </c>
      <c r="C3857">
        <v>2023</v>
      </c>
      <c r="D3857" t="s">
        <v>11</v>
      </c>
      <c r="E3857" t="s">
        <v>20</v>
      </c>
      <c r="F3857" t="s">
        <v>40</v>
      </c>
      <c r="G3857" t="s">
        <v>8</v>
      </c>
      <c r="H3857">
        <v>512.24</v>
      </c>
    </row>
    <row r="3858" spans="1:8" x14ac:dyDescent="0.3">
      <c r="A3858">
        <v>202305</v>
      </c>
      <c r="B3858" s="1">
        <v>45047</v>
      </c>
      <c r="C3858">
        <v>2023</v>
      </c>
      <c r="D3858" t="s">
        <v>12</v>
      </c>
      <c r="E3858" t="s">
        <v>20</v>
      </c>
      <c r="F3858" t="s">
        <v>40</v>
      </c>
      <c r="G3858" t="s">
        <v>8</v>
      </c>
      <c r="H3858">
        <v>383.16</v>
      </c>
    </row>
    <row r="3859" spans="1:8" x14ac:dyDescent="0.3">
      <c r="A3859">
        <v>202306</v>
      </c>
      <c r="B3859" s="1">
        <v>45078</v>
      </c>
      <c r="C3859">
        <v>2023</v>
      </c>
      <c r="D3859" t="s">
        <v>13</v>
      </c>
      <c r="E3859" t="s">
        <v>20</v>
      </c>
      <c r="F3859" t="s">
        <v>40</v>
      </c>
      <c r="G3859" t="s">
        <v>8</v>
      </c>
      <c r="H3859">
        <v>313.35000000000002</v>
      </c>
    </row>
    <row r="3860" spans="1:8" x14ac:dyDescent="0.3">
      <c r="A3860">
        <v>202307</v>
      </c>
      <c r="B3860" s="1">
        <v>45108</v>
      </c>
      <c r="C3860">
        <v>2023</v>
      </c>
      <c r="D3860" t="s">
        <v>14</v>
      </c>
      <c r="E3860" t="s">
        <v>20</v>
      </c>
      <c r="F3860" t="s">
        <v>40</v>
      </c>
      <c r="G3860" t="s">
        <v>8</v>
      </c>
      <c r="H3860">
        <v>396.24</v>
      </c>
    </row>
    <row r="3861" spans="1:8" x14ac:dyDescent="0.3">
      <c r="A3861">
        <v>202308</v>
      </c>
      <c r="B3861" s="1">
        <v>45139</v>
      </c>
      <c r="C3861">
        <v>2023</v>
      </c>
      <c r="D3861" t="s">
        <v>15</v>
      </c>
      <c r="E3861" t="s">
        <v>20</v>
      </c>
      <c r="F3861" t="s">
        <v>40</v>
      </c>
      <c r="G3861" t="s">
        <v>8</v>
      </c>
      <c r="H3861">
        <v>333.82</v>
      </c>
    </row>
    <row r="3862" spans="1:8" x14ac:dyDescent="0.3">
      <c r="A3862">
        <v>202309</v>
      </c>
      <c r="B3862" s="1">
        <v>45170</v>
      </c>
      <c r="C3862">
        <v>2023</v>
      </c>
      <c r="D3862" t="s">
        <v>16</v>
      </c>
      <c r="E3862" t="s">
        <v>20</v>
      </c>
      <c r="F3862" t="s">
        <v>40</v>
      </c>
      <c r="G3862" t="s">
        <v>8</v>
      </c>
      <c r="H3862">
        <v>338.66</v>
      </c>
    </row>
    <row r="3863" spans="1:8" x14ac:dyDescent="0.3">
      <c r="A3863">
        <v>202310</v>
      </c>
      <c r="B3863" s="1">
        <v>45200</v>
      </c>
      <c r="C3863">
        <v>2023</v>
      </c>
      <c r="D3863" t="s">
        <v>17</v>
      </c>
      <c r="E3863" t="s">
        <v>20</v>
      </c>
      <c r="F3863" t="s">
        <v>40</v>
      </c>
      <c r="G3863" t="s">
        <v>8</v>
      </c>
      <c r="H3863">
        <v>570.99</v>
      </c>
    </row>
    <row r="3864" spans="1:8" x14ac:dyDescent="0.3">
      <c r="A3864">
        <v>202311</v>
      </c>
      <c r="B3864" s="1">
        <v>45231</v>
      </c>
      <c r="C3864">
        <v>2023</v>
      </c>
      <c r="D3864" t="s">
        <v>18</v>
      </c>
      <c r="E3864" t="s">
        <v>20</v>
      </c>
      <c r="F3864" t="s">
        <v>40</v>
      </c>
      <c r="G3864" t="s">
        <v>8</v>
      </c>
      <c r="H3864">
        <v>407.87</v>
      </c>
    </row>
    <row r="3865" spans="1:8" x14ac:dyDescent="0.3">
      <c r="A3865">
        <v>202312</v>
      </c>
      <c r="B3865" s="1">
        <v>45261</v>
      </c>
      <c r="C3865">
        <v>2023</v>
      </c>
      <c r="D3865" t="s">
        <v>19</v>
      </c>
      <c r="E3865" t="s">
        <v>20</v>
      </c>
      <c r="F3865" t="s">
        <v>40</v>
      </c>
      <c r="G3865" t="s">
        <v>8</v>
      </c>
      <c r="H3865">
        <v>412.92</v>
      </c>
    </row>
    <row r="3866" spans="1:8" x14ac:dyDescent="0.3">
      <c r="A3866">
        <v>202301</v>
      </c>
      <c r="B3866" s="1">
        <v>44927</v>
      </c>
      <c r="C3866">
        <v>2023</v>
      </c>
      <c r="D3866" t="s">
        <v>6</v>
      </c>
      <c r="E3866" t="s">
        <v>21</v>
      </c>
      <c r="F3866" t="s">
        <v>40</v>
      </c>
      <c r="G3866" t="s">
        <v>8</v>
      </c>
      <c r="H3866">
        <v>471.89</v>
      </c>
    </row>
    <row r="3867" spans="1:8" x14ac:dyDescent="0.3">
      <c r="A3867">
        <v>202302</v>
      </c>
      <c r="B3867" s="1">
        <v>44958</v>
      </c>
      <c r="C3867">
        <v>2023</v>
      </c>
      <c r="D3867" t="s">
        <v>9</v>
      </c>
      <c r="E3867" t="s">
        <v>21</v>
      </c>
      <c r="F3867" t="s">
        <v>40</v>
      </c>
      <c r="G3867" t="s">
        <v>8</v>
      </c>
      <c r="H3867">
        <v>133.86000000000001</v>
      </c>
    </row>
    <row r="3868" spans="1:8" x14ac:dyDescent="0.3">
      <c r="A3868">
        <v>202303</v>
      </c>
      <c r="B3868" s="1">
        <v>44986</v>
      </c>
      <c r="C3868">
        <v>2023</v>
      </c>
      <c r="D3868" t="s">
        <v>10</v>
      </c>
      <c r="E3868" t="s">
        <v>21</v>
      </c>
      <c r="F3868" t="s">
        <v>40</v>
      </c>
      <c r="G3868" t="s">
        <v>8</v>
      </c>
      <c r="H3868">
        <v>257</v>
      </c>
    </row>
    <row r="3869" spans="1:8" x14ac:dyDescent="0.3">
      <c r="A3869">
        <v>202304</v>
      </c>
      <c r="B3869" s="1">
        <v>45017</v>
      </c>
      <c r="C3869">
        <v>2023</v>
      </c>
      <c r="D3869" t="s">
        <v>11</v>
      </c>
      <c r="E3869" t="s">
        <v>21</v>
      </c>
      <c r="F3869" t="s">
        <v>40</v>
      </c>
      <c r="G3869" t="s">
        <v>8</v>
      </c>
      <c r="H3869">
        <v>238.75</v>
      </c>
    </row>
    <row r="3870" spans="1:8" x14ac:dyDescent="0.3">
      <c r="A3870">
        <v>202305</v>
      </c>
      <c r="B3870" s="1">
        <v>45047</v>
      </c>
      <c r="C3870">
        <v>2023</v>
      </c>
      <c r="D3870" t="s">
        <v>12</v>
      </c>
      <c r="E3870" t="s">
        <v>21</v>
      </c>
      <c r="F3870" t="s">
        <v>40</v>
      </c>
      <c r="G3870" t="s">
        <v>8</v>
      </c>
      <c r="H3870">
        <v>240.43</v>
      </c>
    </row>
    <row r="3871" spans="1:8" x14ac:dyDescent="0.3">
      <c r="A3871">
        <v>202306</v>
      </c>
      <c r="B3871" s="1">
        <v>45078</v>
      </c>
      <c r="C3871">
        <v>2023</v>
      </c>
      <c r="D3871" t="s">
        <v>13</v>
      </c>
      <c r="E3871" t="s">
        <v>21</v>
      </c>
      <c r="F3871" t="s">
        <v>40</v>
      </c>
      <c r="G3871" t="s">
        <v>8</v>
      </c>
      <c r="H3871">
        <v>240.11</v>
      </c>
    </row>
    <row r="3872" spans="1:8" x14ac:dyDescent="0.3">
      <c r="A3872">
        <v>202307</v>
      </c>
      <c r="B3872" s="1">
        <v>45108</v>
      </c>
      <c r="C3872">
        <v>2023</v>
      </c>
      <c r="D3872" t="s">
        <v>14</v>
      </c>
      <c r="E3872" t="s">
        <v>21</v>
      </c>
      <c r="F3872" t="s">
        <v>40</v>
      </c>
      <c r="G3872" t="s">
        <v>8</v>
      </c>
      <c r="H3872">
        <v>317.18</v>
      </c>
    </row>
    <row r="3873" spans="1:8" x14ac:dyDescent="0.3">
      <c r="A3873">
        <v>202308</v>
      </c>
      <c r="B3873" s="1">
        <v>45139</v>
      </c>
      <c r="C3873">
        <v>2023</v>
      </c>
      <c r="D3873" t="s">
        <v>15</v>
      </c>
      <c r="E3873" t="s">
        <v>21</v>
      </c>
      <c r="F3873" t="s">
        <v>40</v>
      </c>
      <c r="G3873" t="s">
        <v>8</v>
      </c>
      <c r="H3873">
        <v>276.39999999999998</v>
      </c>
    </row>
    <row r="3874" spans="1:8" x14ac:dyDescent="0.3">
      <c r="A3874">
        <v>202309</v>
      </c>
      <c r="B3874" s="1">
        <v>45170</v>
      </c>
      <c r="C3874">
        <v>2023</v>
      </c>
      <c r="D3874" t="s">
        <v>16</v>
      </c>
      <c r="E3874" t="s">
        <v>21</v>
      </c>
      <c r="F3874" t="s">
        <v>40</v>
      </c>
      <c r="G3874" t="s">
        <v>8</v>
      </c>
      <c r="H3874">
        <v>187.35</v>
      </c>
    </row>
    <row r="3875" spans="1:8" x14ac:dyDescent="0.3">
      <c r="A3875">
        <v>202310</v>
      </c>
      <c r="B3875" s="1">
        <v>45200</v>
      </c>
      <c r="C3875">
        <v>2023</v>
      </c>
      <c r="D3875" t="s">
        <v>17</v>
      </c>
      <c r="E3875" t="s">
        <v>21</v>
      </c>
      <c r="F3875" t="s">
        <v>40</v>
      </c>
      <c r="G3875" t="s">
        <v>8</v>
      </c>
      <c r="H3875">
        <v>356.36</v>
      </c>
    </row>
    <row r="3876" spans="1:8" x14ac:dyDescent="0.3">
      <c r="A3876">
        <v>202311</v>
      </c>
      <c r="B3876" s="1">
        <v>45231</v>
      </c>
      <c r="C3876">
        <v>2023</v>
      </c>
      <c r="D3876" t="s">
        <v>18</v>
      </c>
      <c r="E3876" t="s">
        <v>21</v>
      </c>
      <c r="F3876" t="s">
        <v>40</v>
      </c>
      <c r="G3876" t="s">
        <v>8</v>
      </c>
      <c r="H3876">
        <v>255.71</v>
      </c>
    </row>
    <row r="3877" spans="1:8" x14ac:dyDescent="0.3">
      <c r="A3877">
        <v>202312</v>
      </c>
      <c r="B3877" s="1">
        <v>45261</v>
      </c>
      <c r="C3877">
        <v>2023</v>
      </c>
      <c r="D3877" t="s">
        <v>19</v>
      </c>
      <c r="E3877" t="s">
        <v>21</v>
      </c>
      <c r="F3877" t="s">
        <v>40</v>
      </c>
      <c r="G3877" t="s">
        <v>8</v>
      </c>
      <c r="H3877">
        <v>263.77999999999997</v>
      </c>
    </row>
    <row r="3878" spans="1:8" x14ac:dyDescent="0.3">
      <c r="A3878">
        <v>202301</v>
      </c>
      <c r="B3878" s="1">
        <v>44927</v>
      </c>
      <c r="C3878">
        <v>2023</v>
      </c>
      <c r="D3878" t="s">
        <v>6</v>
      </c>
      <c r="E3878" t="s">
        <v>21</v>
      </c>
      <c r="F3878" t="s">
        <v>40</v>
      </c>
      <c r="G3878" t="s">
        <v>8</v>
      </c>
      <c r="H3878">
        <v>333.92</v>
      </c>
    </row>
    <row r="3879" spans="1:8" x14ac:dyDescent="0.3">
      <c r="A3879">
        <v>202302</v>
      </c>
      <c r="B3879" s="1">
        <v>44958</v>
      </c>
      <c r="C3879">
        <v>2023</v>
      </c>
      <c r="D3879" t="s">
        <v>9</v>
      </c>
      <c r="E3879" t="s">
        <v>21</v>
      </c>
      <c r="F3879" t="s">
        <v>40</v>
      </c>
      <c r="G3879" t="s">
        <v>8</v>
      </c>
      <c r="H3879">
        <v>149.37</v>
      </c>
    </row>
    <row r="3880" spans="1:8" x14ac:dyDescent="0.3">
      <c r="A3880">
        <v>202303</v>
      </c>
      <c r="B3880" s="1">
        <v>44986</v>
      </c>
      <c r="C3880">
        <v>2023</v>
      </c>
      <c r="D3880" t="s">
        <v>10</v>
      </c>
      <c r="E3880" t="s">
        <v>21</v>
      </c>
      <c r="F3880" t="s">
        <v>40</v>
      </c>
      <c r="G3880" t="s">
        <v>8</v>
      </c>
      <c r="H3880">
        <v>162.37</v>
      </c>
    </row>
    <row r="3881" spans="1:8" x14ac:dyDescent="0.3">
      <c r="A3881">
        <v>202304</v>
      </c>
      <c r="B3881" s="1">
        <v>45017</v>
      </c>
      <c r="C3881">
        <v>2023</v>
      </c>
      <c r="D3881" t="s">
        <v>11</v>
      </c>
      <c r="E3881" t="s">
        <v>21</v>
      </c>
      <c r="F3881" t="s">
        <v>40</v>
      </c>
      <c r="G3881" t="s">
        <v>8</v>
      </c>
      <c r="H3881">
        <v>319.51</v>
      </c>
    </row>
    <row r="3882" spans="1:8" x14ac:dyDescent="0.3">
      <c r="A3882">
        <v>202305</v>
      </c>
      <c r="B3882" s="1">
        <v>45047</v>
      </c>
      <c r="C3882">
        <v>2023</v>
      </c>
      <c r="D3882" t="s">
        <v>12</v>
      </c>
      <c r="E3882" t="s">
        <v>21</v>
      </c>
      <c r="F3882" t="s">
        <v>40</v>
      </c>
      <c r="G3882" t="s">
        <v>8</v>
      </c>
      <c r="H3882">
        <v>203.14</v>
      </c>
    </row>
    <row r="3883" spans="1:8" x14ac:dyDescent="0.3">
      <c r="A3883">
        <v>202306</v>
      </c>
      <c r="B3883" s="1">
        <v>45078</v>
      </c>
      <c r="C3883">
        <v>2023</v>
      </c>
      <c r="D3883" t="s">
        <v>13</v>
      </c>
      <c r="E3883" t="s">
        <v>21</v>
      </c>
      <c r="F3883" t="s">
        <v>40</v>
      </c>
      <c r="G3883" t="s">
        <v>8</v>
      </c>
      <c r="H3883">
        <v>219.74</v>
      </c>
    </row>
    <row r="3884" spans="1:8" x14ac:dyDescent="0.3">
      <c r="A3884">
        <v>202307</v>
      </c>
      <c r="B3884" s="1">
        <v>45108</v>
      </c>
      <c r="C3884">
        <v>2023</v>
      </c>
      <c r="D3884" t="s">
        <v>14</v>
      </c>
      <c r="E3884" t="s">
        <v>21</v>
      </c>
      <c r="F3884" t="s">
        <v>40</v>
      </c>
      <c r="G3884" t="s">
        <v>8</v>
      </c>
      <c r="H3884">
        <v>276.26</v>
      </c>
    </row>
    <row r="3885" spans="1:8" x14ac:dyDescent="0.3">
      <c r="A3885">
        <v>202308</v>
      </c>
      <c r="B3885" s="1">
        <v>45139</v>
      </c>
      <c r="C3885">
        <v>2023</v>
      </c>
      <c r="D3885" t="s">
        <v>15</v>
      </c>
      <c r="E3885" t="s">
        <v>21</v>
      </c>
      <c r="F3885" t="s">
        <v>40</v>
      </c>
      <c r="G3885" t="s">
        <v>8</v>
      </c>
      <c r="H3885">
        <v>212.6</v>
      </c>
    </row>
    <row r="3886" spans="1:8" x14ac:dyDescent="0.3">
      <c r="A3886">
        <v>202309</v>
      </c>
      <c r="B3886" s="1">
        <v>45170</v>
      </c>
      <c r="C3886">
        <v>2023</v>
      </c>
      <c r="D3886" t="s">
        <v>16</v>
      </c>
      <c r="E3886" t="s">
        <v>21</v>
      </c>
      <c r="F3886" t="s">
        <v>40</v>
      </c>
      <c r="G3886" t="s">
        <v>8</v>
      </c>
      <c r="H3886">
        <v>213.64</v>
      </c>
    </row>
    <row r="3887" spans="1:8" x14ac:dyDescent="0.3">
      <c r="A3887">
        <v>202310</v>
      </c>
      <c r="B3887" s="1">
        <v>45200</v>
      </c>
      <c r="C3887">
        <v>2023</v>
      </c>
      <c r="D3887" t="s">
        <v>17</v>
      </c>
      <c r="E3887" t="s">
        <v>21</v>
      </c>
      <c r="F3887" t="s">
        <v>40</v>
      </c>
      <c r="G3887" t="s">
        <v>8</v>
      </c>
      <c r="H3887">
        <v>289.60000000000002</v>
      </c>
    </row>
    <row r="3888" spans="1:8" x14ac:dyDescent="0.3">
      <c r="A3888">
        <v>202311</v>
      </c>
      <c r="B3888" s="1">
        <v>45231</v>
      </c>
      <c r="C3888">
        <v>2023</v>
      </c>
      <c r="D3888" t="s">
        <v>18</v>
      </c>
      <c r="E3888" t="s">
        <v>21</v>
      </c>
      <c r="F3888" t="s">
        <v>40</v>
      </c>
      <c r="G3888" t="s">
        <v>8</v>
      </c>
      <c r="H3888">
        <v>225.19</v>
      </c>
    </row>
    <row r="3889" spans="1:8" x14ac:dyDescent="0.3">
      <c r="A3889">
        <v>202312</v>
      </c>
      <c r="B3889" s="1">
        <v>45261</v>
      </c>
      <c r="C3889">
        <v>2023</v>
      </c>
      <c r="D3889" t="s">
        <v>19</v>
      </c>
      <c r="E3889" t="s">
        <v>21</v>
      </c>
      <c r="F3889" t="s">
        <v>40</v>
      </c>
      <c r="G3889" t="s">
        <v>8</v>
      </c>
      <c r="H3889">
        <v>195.46</v>
      </c>
    </row>
    <row r="3890" spans="1:8" x14ac:dyDescent="0.3">
      <c r="A3890">
        <v>202301</v>
      </c>
      <c r="B3890" s="1">
        <v>44927</v>
      </c>
      <c r="C3890">
        <v>2023</v>
      </c>
      <c r="D3890" t="s">
        <v>6</v>
      </c>
      <c r="E3890" t="s">
        <v>21</v>
      </c>
      <c r="F3890" t="s">
        <v>40</v>
      </c>
      <c r="G3890" t="s">
        <v>8</v>
      </c>
      <c r="H3890">
        <v>376.83</v>
      </c>
    </row>
    <row r="3891" spans="1:8" x14ac:dyDescent="0.3">
      <c r="A3891">
        <v>202302</v>
      </c>
      <c r="B3891" s="1">
        <v>44958</v>
      </c>
      <c r="C3891">
        <v>2023</v>
      </c>
      <c r="D3891" t="s">
        <v>9</v>
      </c>
      <c r="E3891" t="s">
        <v>21</v>
      </c>
      <c r="F3891" t="s">
        <v>40</v>
      </c>
      <c r="G3891" t="s">
        <v>8</v>
      </c>
      <c r="H3891">
        <v>198.15</v>
      </c>
    </row>
    <row r="3892" spans="1:8" x14ac:dyDescent="0.3">
      <c r="A3892">
        <v>202303</v>
      </c>
      <c r="B3892" s="1">
        <v>44986</v>
      </c>
      <c r="C3892">
        <v>2023</v>
      </c>
      <c r="D3892" t="s">
        <v>10</v>
      </c>
      <c r="E3892" t="s">
        <v>21</v>
      </c>
      <c r="F3892" t="s">
        <v>40</v>
      </c>
      <c r="G3892" t="s">
        <v>8</v>
      </c>
      <c r="H3892">
        <v>266.93</v>
      </c>
    </row>
    <row r="3893" spans="1:8" x14ac:dyDescent="0.3">
      <c r="A3893">
        <v>202304</v>
      </c>
      <c r="B3893" s="1">
        <v>45017</v>
      </c>
      <c r="C3893">
        <v>2023</v>
      </c>
      <c r="D3893" t="s">
        <v>11</v>
      </c>
      <c r="E3893" t="s">
        <v>21</v>
      </c>
      <c r="F3893" t="s">
        <v>40</v>
      </c>
      <c r="G3893" t="s">
        <v>8</v>
      </c>
      <c r="H3893">
        <v>479.82</v>
      </c>
    </row>
    <row r="3894" spans="1:8" x14ac:dyDescent="0.3">
      <c r="A3894">
        <v>202305</v>
      </c>
      <c r="B3894" s="1">
        <v>45047</v>
      </c>
      <c r="C3894">
        <v>2023</v>
      </c>
      <c r="D3894" t="s">
        <v>12</v>
      </c>
      <c r="E3894" t="s">
        <v>21</v>
      </c>
      <c r="F3894" t="s">
        <v>40</v>
      </c>
      <c r="G3894" t="s">
        <v>8</v>
      </c>
      <c r="H3894">
        <v>396.42</v>
      </c>
    </row>
    <row r="3895" spans="1:8" x14ac:dyDescent="0.3">
      <c r="A3895">
        <v>202306</v>
      </c>
      <c r="B3895" s="1">
        <v>45078</v>
      </c>
      <c r="C3895">
        <v>2023</v>
      </c>
      <c r="D3895" t="s">
        <v>13</v>
      </c>
      <c r="E3895" t="s">
        <v>21</v>
      </c>
      <c r="F3895" t="s">
        <v>40</v>
      </c>
      <c r="G3895" t="s">
        <v>8</v>
      </c>
      <c r="H3895">
        <v>360.46</v>
      </c>
    </row>
    <row r="3896" spans="1:8" x14ac:dyDescent="0.3">
      <c r="A3896">
        <v>202307</v>
      </c>
      <c r="B3896" s="1">
        <v>45108</v>
      </c>
      <c r="C3896">
        <v>2023</v>
      </c>
      <c r="D3896" t="s">
        <v>14</v>
      </c>
      <c r="E3896" t="s">
        <v>21</v>
      </c>
      <c r="F3896" t="s">
        <v>40</v>
      </c>
      <c r="G3896" t="s">
        <v>8</v>
      </c>
      <c r="H3896">
        <v>508.28</v>
      </c>
    </row>
    <row r="3897" spans="1:8" x14ac:dyDescent="0.3">
      <c r="A3897">
        <v>202308</v>
      </c>
      <c r="B3897" s="1">
        <v>45139</v>
      </c>
      <c r="C3897">
        <v>2023</v>
      </c>
      <c r="D3897" t="s">
        <v>15</v>
      </c>
      <c r="E3897" t="s">
        <v>21</v>
      </c>
      <c r="F3897" t="s">
        <v>40</v>
      </c>
      <c r="G3897" t="s">
        <v>8</v>
      </c>
      <c r="H3897">
        <v>479.05</v>
      </c>
    </row>
    <row r="3898" spans="1:8" x14ac:dyDescent="0.3">
      <c r="A3898">
        <v>202309</v>
      </c>
      <c r="B3898" s="1">
        <v>45170</v>
      </c>
      <c r="C3898">
        <v>2023</v>
      </c>
      <c r="D3898" t="s">
        <v>16</v>
      </c>
      <c r="E3898" t="s">
        <v>21</v>
      </c>
      <c r="F3898" t="s">
        <v>40</v>
      </c>
      <c r="G3898" t="s">
        <v>8</v>
      </c>
      <c r="H3898">
        <v>337.98</v>
      </c>
    </row>
    <row r="3899" spans="1:8" x14ac:dyDescent="0.3">
      <c r="A3899">
        <v>202310</v>
      </c>
      <c r="B3899" s="1">
        <v>45200</v>
      </c>
      <c r="C3899">
        <v>2023</v>
      </c>
      <c r="D3899" t="s">
        <v>17</v>
      </c>
      <c r="E3899" t="s">
        <v>21</v>
      </c>
      <c r="F3899" t="s">
        <v>40</v>
      </c>
      <c r="G3899" t="s">
        <v>8</v>
      </c>
      <c r="H3899">
        <v>530.22</v>
      </c>
    </row>
    <row r="3900" spans="1:8" x14ac:dyDescent="0.3">
      <c r="A3900">
        <v>202311</v>
      </c>
      <c r="B3900" s="1">
        <v>45231</v>
      </c>
      <c r="C3900">
        <v>2023</v>
      </c>
      <c r="D3900" t="s">
        <v>18</v>
      </c>
      <c r="E3900" t="s">
        <v>21</v>
      </c>
      <c r="F3900" t="s">
        <v>40</v>
      </c>
      <c r="G3900" t="s">
        <v>8</v>
      </c>
      <c r="H3900">
        <v>447.41</v>
      </c>
    </row>
    <row r="3901" spans="1:8" x14ac:dyDescent="0.3">
      <c r="A3901">
        <v>202312</v>
      </c>
      <c r="B3901" s="1">
        <v>45261</v>
      </c>
      <c r="C3901">
        <v>2023</v>
      </c>
      <c r="D3901" t="s">
        <v>19</v>
      </c>
      <c r="E3901" t="s">
        <v>21</v>
      </c>
      <c r="F3901" t="s">
        <v>40</v>
      </c>
      <c r="G3901" t="s">
        <v>8</v>
      </c>
      <c r="H3901">
        <v>198.8</v>
      </c>
    </row>
    <row r="3902" spans="1:8" x14ac:dyDescent="0.3">
      <c r="A3902">
        <v>202301</v>
      </c>
      <c r="B3902" s="1">
        <v>44927</v>
      </c>
      <c r="C3902">
        <v>2023</v>
      </c>
      <c r="D3902" t="s">
        <v>6</v>
      </c>
      <c r="E3902" t="s">
        <v>21</v>
      </c>
      <c r="F3902" t="s">
        <v>40</v>
      </c>
      <c r="G3902" t="s">
        <v>8</v>
      </c>
      <c r="H3902">
        <v>806.53</v>
      </c>
    </row>
    <row r="3903" spans="1:8" x14ac:dyDescent="0.3">
      <c r="A3903">
        <v>202302</v>
      </c>
      <c r="B3903" s="1">
        <v>44958</v>
      </c>
      <c r="C3903">
        <v>2023</v>
      </c>
      <c r="D3903" t="s">
        <v>9</v>
      </c>
      <c r="E3903" t="s">
        <v>21</v>
      </c>
      <c r="F3903" t="s">
        <v>40</v>
      </c>
      <c r="G3903" t="s">
        <v>8</v>
      </c>
      <c r="H3903">
        <v>519.54</v>
      </c>
    </row>
    <row r="3904" spans="1:8" x14ac:dyDescent="0.3">
      <c r="A3904">
        <v>202303</v>
      </c>
      <c r="B3904" s="1">
        <v>44986</v>
      </c>
      <c r="C3904">
        <v>2023</v>
      </c>
      <c r="D3904" t="s">
        <v>10</v>
      </c>
      <c r="E3904" t="s">
        <v>21</v>
      </c>
      <c r="F3904" t="s">
        <v>40</v>
      </c>
      <c r="G3904" t="s">
        <v>8</v>
      </c>
      <c r="H3904">
        <v>636.24</v>
      </c>
    </row>
    <row r="3905" spans="1:8" x14ac:dyDescent="0.3">
      <c r="A3905">
        <v>202304</v>
      </c>
      <c r="B3905" s="1">
        <v>45017</v>
      </c>
      <c r="C3905">
        <v>2023</v>
      </c>
      <c r="D3905" t="s">
        <v>11</v>
      </c>
      <c r="E3905" t="s">
        <v>21</v>
      </c>
      <c r="F3905" t="s">
        <v>40</v>
      </c>
      <c r="G3905" t="s">
        <v>8</v>
      </c>
      <c r="H3905">
        <v>942.65</v>
      </c>
    </row>
    <row r="3906" spans="1:8" x14ac:dyDescent="0.3">
      <c r="A3906">
        <v>202305</v>
      </c>
      <c r="B3906" s="1">
        <v>45047</v>
      </c>
      <c r="C3906">
        <v>2023</v>
      </c>
      <c r="D3906" t="s">
        <v>12</v>
      </c>
      <c r="E3906" t="s">
        <v>21</v>
      </c>
      <c r="F3906" t="s">
        <v>40</v>
      </c>
      <c r="G3906" t="s">
        <v>8</v>
      </c>
      <c r="H3906">
        <v>708.65</v>
      </c>
    </row>
    <row r="3907" spans="1:8" x14ac:dyDescent="0.3">
      <c r="A3907">
        <v>202306</v>
      </c>
      <c r="B3907" s="1">
        <v>45078</v>
      </c>
      <c r="C3907">
        <v>2023</v>
      </c>
      <c r="D3907" t="s">
        <v>13</v>
      </c>
      <c r="E3907" t="s">
        <v>21</v>
      </c>
      <c r="F3907" t="s">
        <v>40</v>
      </c>
      <c r="G3907" t="s">
        <v>8</v>
      </c>
      <c r="H3907">
        <v>617.79</v>
      </c>
    </row>
    <row r="3908" spans="1:8" x14ac:dyDescent="0.3">
      <c r="A3908">
        <v>202307</v>
      </c>
      <c r="B3908" s="1">
        <v>45108</v>
      </c>
      <c r="C3908">
        <v>2023</v>
      </c>
      <c r="D3908" t="s">
        <v>14</v>
      </c>
      <c r="E3908" t="s">
        <v>21</v>
      </c>
      <c r="F3908" t="s">
        <v>40</v>
      </c>
      <c r="G3908" t="s">
        <v>8</v>
      </c>
      <c r="H3908">
        <v>828.01</v>
      </c>
    </row>
    <row r="3909" spans="1:8" x14ac:dyDescent="0.3">
      <c r="A3909">
        <v>202308</v>
      </c>
      <c r="B3909" s="1">
        <v>45139</v>
      </c>
      <c r="C3909">
        <v>2023</v>
      </c>
      <c r="D3909" t="s">
        <v>15</v>
      </c>
      <c r="E3909" t="s">
        <v>21</v>
      </c>
      <c r="F3909" t="s">
        <v>40</v>
      </c>
      <c r="G3909" t="s">
        <v>8</v>
      </c>
      <c r="H3909">
        <v>766.48</v>
      </c>
    </row>
    <row r="3910" spans="1:8" x14ac:dyDescent="0.3">
      <c r="A3910">
        <v>202309</v>
      </c>
      <c r="B3910" s="1">
        <v>45170</v>
      </c>
      <c r="C3910">
        <v>2023</v>
      </c>
      <c r="D3910" t="s">
        <v>16</v>
      </c>
      <c r="E3910" t="s">
        <v>21</v>
      </c>
      <c r="F3910" t="s">
        <v>40</v>
      </c>
      <c r="G3910" t="s">
        <v>8</v>
      </c>
      <c r="H3910">
        <v>591.1</v>
      </c>
    </row>
    <row r="3911" spans="1:8" x14ac:dyDescent="0.3">
      <c r="A3911">
        <v>202310</v>
      </c>
      <c r="B3911" s="1">
        <v>45200</v>
      </c>
      <c r="C3911">
        <v>2023</v>
      </c>
      <c r="D3911" t="s">
        <v>17</v>
      </c>
      <c r="E3911" t="s">
        <v>21</v>
      </c>
      <c r="F3911" t="s">
        <v>40</v>
      </c>
      <c r="G3911" t="s">
        <v>8</v>
      </c>
      <c r="H3911">
        <v>945.51</v>
      </c>
    </row>
    <row r="3912" spans="1:8" x14ac:dyDescent="0.3">
      <c r="A3912">
        <v>202311</v>
      </c>
      <c r="B3912" s="1">
        <v>45231</v>
      </c>
      <c r="C3912">
        <v>2023</v>
      </c>
      <c r="D3912" t="s">
        <v>18</v>
      </c>
      <c r="E3912" t="s">
        <v>21</v>
      </c>
      <c r="F3912" t="s">
        <v>40</v>
      </c>
      <c r="G3912" t="s">
        <v>8</v>
      </c>
      <c r="H3912">
        <v>640.16999999999996</v>
      </c>
    </row>
    <row r="3913" spans="1:8" x14ac:dyDescent="0.3">
      <c r="A3913">
        <v>202312</v>
      </c>
      <c r="B3913" s="1">
        <v>45261</v>
      </c>
      <c r="C3913">
        <v>2023</v>
      </c>
      <c r="D3913" t="s">
        <v>19</v>
      </c>
      <c r="E3913" t="s">
        <v>21</v>
      </c>
      <c r="F3913" t="s">
        <v>40</v>
      </c>
      <c r="G3913" t="s">
        <v>8</v>
      </c>
      <c r="H3913">
        <v>709.9</v>
      </c>
    </row>
    <row r="3914" spans="1:8" x14ac:dyDescent="0.3">
      <c r="A3914">
        <v>202301</v>
      </c>
      <c r="B3914" s="1">
        <v>44927</v>
      </c>
      <c r="C3914">
        <v>2023</v>
      </c>
      <c r="D3914" t="s">
        <v>6</v>
      </c>
      <c r="E3914" t="s">
        <v>22</v>
      </c>
      <c r="F3914" t="s">
        <v>40</v>
      </c>
      <c r="G3914" t="s">
        <v>8</v>
      </c>
      <c r="H3914">
        <v>436.08</v>
      </c>
    </row>
    <row r="3915" spans="1:8" x14ac:dyDescent="0.3">
      <c r="A3915">
        <v>202302</v>
      </c>
      <c r="B3915" s="1">
        <v>44958</v>
      </c>
      <c r="C3915">
        <v>2023</v>
      </c>
      <c r="D3915" t="s">
        <v>9</v>
      </c>
      <c r="E3915" t="s">
        <v>22</v>
      </c>
      <c r="F3915" t="s">
        <v>40</v>
      </c>
      <c r="G3915" t="s">
        <v>8</v>
      </c>
      <c r="H3915">
        <v>292.73</v>
      </c>
    </row>
    <row r="3916" spans="1:8" x14ac:dyDescent="0.3">
      <c r="A3916">
        <v>202303</v>
      </c>
      <c r="B3916" s="1">
        <v>44986</v>
      </c>
      <c r="C3916">
        <v>2023</v>
      </c>
      <c r="D3916" t="s">
        <v>10</v>
      </c>
      <c r="E3916" t="s">
        <v>22</v>
      </c>
      <c r="F3916" t="s">
        <v>40</v>
      </c>
      <c r="G3916" t="s">
        <v>8</v>
      </c>
      <c r="H3916">
        <v>376.85</v>
      </c>
    </row>
    <row r="3917" spans="1:8" x14ac:dyDescent="0.3">
      <c r="A3917">
        <v>202304</v>
      </c>
      <c r="B3917" s="1">
        <v>45017</v>
      </c>
      <c r="C3917">
        <v>2023</v>
      </c>
      <c r="D3917" t="s">
        <v>11</v>
      </c>
      <c r="E3917" t="s">
        <v>22</v>
      </c>
      <c r="F3917" t="s">
        <v>40</v>
      </c>
      <c r="G3917" t="s">
        <v>8</v>
      </c>
      <c r="H3917">
        <v>501.19</v>
      </c>
    </row>
    <row r="3918" spans="1:8" x14ac:dyDescent="0.3">
      <c r="A3918">
        <v>202305</v>
      </c>
      <c r="B3918" s="1">
        <v>45047</v>
      </c>
      <c r="C3918">
        <v>2023</v>
      </c>
      <c r="D3918" t="s">
        <v>12</v>
      </c>
      <c r="E3918" t="s">
        <v>22</v>
      </c>
      <c r="F3918" t="s">
        <v>40</v>
      </c>
      <c r="G3918" t="s">
        <v>8</v>
      </c>
      <c r="H3918">
        <v>336.37</v>
      </c>
    </row>
    <row r="3919" spans="1:8" x14ac:dyDescent="0.3">
      <c r="A3919">
        <v>202306</v>
      </c>
      <c r="B3919" s="1">
        <v>45078</v>
      </c>
      <c r="C3919">
        <v>2023</v>
      </c>
      <c r="D3919" t="s">
        <v>13</v>
      </c>
      <c r="E3919" t="s">
        <v>22</v>
      </c>
      <c r="F3919" t="s">
        <v>40</v>
      </c>
      <c r="G3919" t="s">
        <v>8</v>
      </c>
      <c r="H3919">
        <v>395.52</v>
      </c>
    </row>
    <row r="3920" spans="1:8" x14ac:dyDescent="0.3">
      <c r="A3920">
        <v>202307</v>
      </c>
      <c r="B3920" s="1">
        <v>45108</v>
      </c>
      <c r="C3920">
        <v>2023</v>
      </c>
      <c r="D3920" t="s">
        <v>14</v>
      </c>
      <c r="E3920" t="s">
        <v>22</v>
      </c>
      <c r="F3920" t="s">
        <v>40</v>
      </c>
      <c r="G3920" t="s">
        <v>8</v>
      </c>
      <c r="H3920">
        <v>443.46</v>
      </c>
    </row>
    <row r="3921" spans="1:8" x14ac:dyDescent="0.3">
      <c r="A3921">
        <v>202308</v>
      </c>
      <c r="B3921" s="1">
        <v>45139</v>
      </c>
      <c r="C3921">
        <v>2023</v>
      </c>
      <c r="D3921" t="s">
        <v>15</v>
      </c>
      <c r="E3921" t="s">
        <v>22</v>
      </c>
      <c r="F3921" t="s">
        <v>40</v>
      </c>
      <c r="G3921" t="s">
        <v>8</v>
      </c>
      <c r="H3921">
        <v>399</v>
      </c>
    </row>
    <row r="3922" spans="1:8" x14ac:dyDescent="0.3">
      <c r="A3922">
        <v>202309</v>
      </c>
      <c r="B3922" s="1">
        <v>45170</v>
      </c>
      <c r="C3922">
        <v>2023</v>
      </c>
      <c r="D3922" t="s">
        <v>16</v>
      </c>
      <c r="E3922" t="s">
        <v>22</v>
      </c>
      <c r="F3922" t="s">
        <v>40</v>
      </c>
      <c r="G3922" t="s">
        <v>8</v>
      </c>
      <c r="H3922">
        <v>388.14</v>
      </c>
    </row>
    <row r="3923" spans="1:8" x14ac:dyDescent="0.3">
      <c r="A3923">
        <v>202310</v>
      </c>
      <c r="B3923" s="1">
        <v>45200</v>
      </c>
      <c r="C3923">
        <v>2023</v>
      </c>
      <c r="D3923" t="s">
        <v>17</v>
      </c>
      <c r="E3923" t="s">
        <v>22</v>
      </c>
      <c r="F3923" t="s">
        <v>40</v>
      </c>
      <c r="G3923" t="s">
        <v>8</v>
      </c>
      <c r="H3923">
        <v>552.23</v>
      </c>
    </row>
    <row r="3924" spans="1:8" x14ac:dyDescent="0.3">
      <c r="A3924">
        <v>202311</v>
      </c>
      <c r="B3924" s="1">
        <v>45231</v>
      </c>
      <c r="C3924">
        <v>2023</v>
      </c>
      <c r="D3924" t="s">
        <v>18</v>
      </c>
      <c r="E3924" t="s">
        <v>22</v>
      </c>
      <c r="F3924" t="s">
        <v>40</v>
      </c>
      <c r="G3924" t="s">
        <v>8</v>
      </c>
      <c r="H3924">
        <v>409.64</v>
      </c>
    </row>
    <row r="3925" spans="1:8" x14ac:dyDescent="0.3">
      <c r="A3925">
        <v>202312</v>
      </c>
      <c r="B3925" s="1">
        <v>45261</v>
      </c>
      <c r="C3925">
        <v>2023</v>
      </c>
      <c r="D3925" t="s">
        <v>19</v>
      </c>
      <c r="E3925" t="s">
        <v>22</v>
      </c>
      <c r="F3925" t="s">
        <v>40</v>
      </c>
      <c r="G3925" t="s">
        <v>8</v>
      </c>
      <c r="H3925">
        <v>543.54999999999995</v>
      </c>
    </row>
    <row r="3926" spans="1:8" x14ac:dyDescent="0.3">
      <c r="A3926">
        <v>202301</v>
      </c>
      <c r="B3926" s="1">
        <v>44927</v>
      </c>
      <c r="C3926">
        <v>2023</v>
      </c>
      <c r="D3926" t="s">
        <v>6</v>
      </c>
      <c r="E3926" t="s">
        <v>22</v>
      </c>
      <c r="F3926" t="s">
        <v>40</v>
      </c>
      <c r="G3926" t="s">
        <v>8</v>
      </c>
      <c r="H3926">
        <v>531.17999999999995</v>
      </c>
    </row>
    <row r="3927" spans="1:8" x14ac:dyDescent="0.3">
      <c r="A3927">
        <v>202302</v>
      </c>
      <c r="B3927" s="1">
        <v>44958</v>
      </c>
      <c r="C3927">
        <v>2023</v>
      </c>
      <c r="D3927" t="s">
        <v>9</v>
      </c>
      <c r="E3927" t="s">
        <v>22</v>
      </c>
      <c r="F3927" t="s">
        <v>40</v>
      </c>
      <c r="G3927" t="s">
        <v>8</v>
      </c>
      <c r="H3927">
        <v>271.91000000000003</v>
      </c>
    </row>
    <row r="3928" spans="1:8" x14ac:dyDescent="0.3">
      <c r="A3928">
        <v>202303</v>
      </c>
      <c r="B3928" s="1">
        <v>44986</v>
      </c>
      <c r="C3928">
        <v>2023</v>
      </c>
      <c r="D3928" t="s">
        <v>10</v>
      </c>
      <c r="E3928" t="s">
        <v>22</v>
      </c>
      <c r="F3928" t="s">
        <v>40</v>
      </c>
      <c r="G3928" t="s">
        <v>8</v>
      </c>
      <c r="H3928">
        <v>350.55</v>
      </c>
    </row>
    <row r="3929" spans="1:8" x14ac:dyDescent="0.3">
      <c r="A3929">
        <v>202304</v>
      </c>
      <c r="B3929" s="1">
        <v>45017</v>
      </c>
      <c r="C3929">
        <v>2023</v>
      </c>
      <c r="D3929" t="s">
        <v>11</v>
      </c>
      <c r="E3929" t="s">
        <v>22</v>
      </c>
      <c r="F3929" t="s">
        <v>40</v>
      </c>
      <c r="G3929" t="s">
        <v>8</v>
      </c>
      <c r="H3929">
        <v>580.41</v>
      </c>
    </row>
    <row r="3930" spans="1:8" x14ac:dyDescent="0.3">
      <c r="A3930">
        <v>202305</v>
      </c>
      <c r="B3930" s="1">
        <v>45047</v>
      </c>
      <c r="C3930">
        <v>2023</v>
      </c>
      <c r="D3930" t="s">
        <v>12</v>
      </c>
      <c r="E3930" t="s">
        <v>22</v>
      </c>
      <c r="F3930" t="s">
        <v>40</v>
      </c>
      <c r="G3930" t="s">
        <v>8</v>
      </c>
      <c r="H3930">
        <v>520.72</v>
      </c>
    </row>
    <row r="3931" spans="1:8" x14ac:dyDescent="0.3">
      <c r="A3931">
        <v>202306</v>
      </c>
      <c r="B3931" s="1">
        <v>45078</v>
      </c>
      <c r="C3931">
        <v>2023</v>
      </c>
      <c r="D3931" t="s">
        <v>13</v>
      </c>
      <c r="E3931" t="s">
        <v>22</v>
      </c>
      <c r="F3931" t="s">
        <v>40</v>
      </c>
      <c r="G3931" t="s">
        <v>8</v>
      </c>
      <c r="H3931">
        <v>408.9</v>
      </c>
    </row>
    <row r="3932" spans="1:8" x14ac:dyDescent="0.3">
      <c r="A3932">
        <v>202307</v>
      </c>
      <c r="B3932" s="1">
        <v>45108</v>
      </c>
      <c r="C3932">
        <v>2023</v>
      </c>
      <c r="D3932" t="s">
        <v>14</v>
      </c>
      <c r="E3932" t="s">
        <v>22</v>
      </c>
      <c r="F3932" t="s">
        <v>40</v>
      </c>
      <c r="G3932" t="s">
        <v>8</v>
      </c>
      <c r="H3932">
        <v>529.88</v>
      </c>
    </row>
    <row r="3933" spans="1:8" x14ac:dyDescent="0.3">
      <c r="A3933">
        <v>202308</v>
      </c>
      <c r="B3933" s="1">
        <v>45139</v>
      </c>
      <c r="C3933">
        <v>2023</v>
      </c>
      <c r="D3933" t="s">
        <v>15</v>
      </c>
      <c r="E3933" t="s">
        <v>22</v>
      </c>
      <c r="F3933" t="s">
        <v>40</v>
      </c>
      <c r="G3933" t="s">
        <v>8</v>
      </c>
      <c r="H3933">
        <v>488</v>
      </c>
    </row>
    <row r="3934" spans="1:8" x14ac:dyDescent="0.3">
      <c r="A3934">
        <v>202309</v>
      </c>
      <c r="B3934" s="1">
        <v>45170</v>
      </c>
      <c r="C3934">
        <v>2023</v>
      </c>
      <c r="D3934" t="s">
        <v>16</v>
      </c>
      <c r="E3934" t="s">
        <v>22</v>
      </c>
      <c r="F3934" t="s">
        <v>40</v>
      </c>
      <c r="G3934" t="s">
        <v>8</v>
      </c>
      <c r="H3934">
        <v>412.6</v>
      </c>
    </row>
    <row r="3935" spans="1:8" x14ac:dyDescent="0.3">
      <c r="A3935">
        <v>202310</v>
      </c>
      <c r="B3935" s="1">
        <v>45200</v>
      </c>
      <c r="C3935">
        <v>2023</v>
      </c>
      <c r="D3935" t="s">
        <v>17</v>
      </c>
      <c r="E3935" t="s">
        <v>22</v>
      </c>
      <c r="F3935" t="s">
        <v>40</v>
      </c>
      <c r="G3935" t="s">
        <v>8</v>
      </c>
      <c r="H3935">
        <v>624.84</v>
      </c>
    </row>
    <row r="3936" spans="1:8" x14ac:dyDescent="0.3">
      <c r="A3936">
        <v>202311</v>
      </c>
      <c r="B3936" s="1">
        <v>45231</v>
      </c>
      <c r="C3936">
        <v>2023</v>
      </c>
      <c r="D3936" t="s">
        <v>18</v>
      </c>
      <c r="E3936" t="s">
        <v>22</v>
      </c>
      <c r="F3936" t="s">
        <v>40</v>
      </c>
      <c r="G3936" t="s">
        <v>8</v>
      </c>
      <c r="H3936">
        <v>417.75</v>
      </c>
    </row>
    <row r="3937" spans="1:8" x14ac:dyDescent="0.3">
      <c r="A3937">
        <v>202312</v>
      </c>
      <c r="B3937" s="1">
        <v>45261</v>
      </c>
      <c r="C3937">
        <v>2023</v>
      </c>
      <c r="D3937" t="s">
        <v>19</v>
      </c>
      <c r="E3937" t="s">
        <v>22</v>
      </c>
      <c r="F3937" t="s">
        <v>40</v>
      </c>
      <c r="G3937" t="s">
        <v>8</v>
      </c>
      <c r="H3937">
        <v>422.34</v>
      </c>
    </row>
    <row r="3938" spans="1:8" x14ac:dyDescent="0.3">
      <c r="A3938">
        <v>202301</v>
      </c>
      <c r="B3938" s="1">
        <v>44927</v>
      </c>
      <c r="C3938">
        <v>2023</v>
      </c>
      <c r="D3938" t="s">
        <v>6</v>
      </c>
      <c r="E3938" t="s">
        <v>22</v>
      </c>
      <c r="F3938" t="s">
        <v>40</v>
      </c>
      <c r="G3938" t="s">
        <v>8</v>
      </c>
      <c r="H3938">
        <v>167.51</v>
      </c>
    </row>
    <row r="3939" spans="1:8" x14ac:dyDescent="0.3">
      <c r="A3939">
        <v>202302</v>
      </c>
      <c r="B3939" s="1">
        <v>44958</v>
      </c>
      <c r="C3939">
        <v>2023</v>
      </c>
      <c r="D3939" t="s">
        <v>9</v>
      </c>
      <c r="E3939" t="s">
        <v>22</v>
      </c>
      <c r="F3939" t="s">
        <v>40</v>
      </c>
      <c r="G3939" t="s">
        <v>8</v>
      </c>
      <c r="H3939">
        <v>92.58</v>
      </c>
    </row>
    <row r="3940" spans="1:8" x14ac:dyDescent="0.3">
      <c r="A3940">
        <v>202303</v>
      </c>
      <c r="B3940" s="1">
        <v>44986</v>
      </c>
      <c r="C3940">
        <v>2023</v>
      </c>
      <c r="D3940" t="s">
        <v>10</v>
      </c>
      <c r="E3940" t="s">
        <v>22</v>
      </c>
      <c r="F3940" t="s">
        <v>40</v>
      </c>
      <c r="G3940" t="s">
        <v>8</v>
      </c>
      <c r="H3940">
        <v>160.72999999999999</v>
      </c>
    </row>
    <row r="3941" spans="1:8" x14ac:dyDescent="0.3">
      <c r="A3941">
        <v>202304</v>
      </c>
      <c r="B3941" s="1">
        <v>45017</v>
      </c>
      <c r="C3941">
        <v>2023</v>
      </c>
      <c r="D3941" t="s">
        <v>11</v>
      </c>
      <c r="E3941" t="s">
        <v>22</v>
      </c>
      <c r="F3941" t="s">
        <v>40</v>
      </c>
      <c r="G3941" t="s">
        <v>8</v>
      </c>
      <c r="H3941">
        <v>218.78</v>
      </c>
    </row>
    <row r="3942" spans="1:8" x14ac:dyDescent="0.3">
      <c r="A3942">
        <v>202305</v>
      </c>
      <c r="B3942" s="1">
        <v>45047</v>
      </c>
      <c r="C3942">
        <v>2023</v>
      </c>
      <c r="D3942" t="s">
        <v>12</v>
      </c>
      <c r="E3942" t="s">
        <v>22</v>
      </c>
      <c r="F3942" t="s">
        <v>40</v>
      </c>
      <c r="G3942" t="s">
        <v>8</v>
      </c>
      <c r="H3942">
        <v>161.06</v>
      </c>
    </row>
    <row r="3943" spans="1:8" x14ac:dyDescent="0.3">
      <c r="A3943">
        <v>202306</v>
      </c>
      <c r="B3943" s="1">
        <v>45078</v>
      </c>
      <c r="C3943">
        <v>2023</v>
      </c>
      <c r="D3943" t="s">
        <v>13</v>
      </c>
      <c r="E3943" t="s">
        <v>22</v>
      </c>
      <c r="F3943" t="s">
        <v>40</v>
      </c>
      <c r="G3943" t="s">
        <v>8</v>
      </c>
      <c r="H3943">
        <v>108.61</v>
      </c>
    </row>
    <row r="3944" spans="1:8" x14ac:dyDescent="0.3">
      <c r="A3944">
        <v>202307</v>
      </c>
      <c r="B3944" s="1">
        <v>45108</v>
      </c>
      <c r="C3944">
        <v>2023</v>
      </c>
      <c r="D3944" t="s">
        <v>14</v>
      </c>
      <c r="E3944" t="s">
        <v>22</v>
      </c>
      <c r="F3944" t="s">
        <v>40</v>
      </c>
      <c r="G3944" t="s">
        <v>8</v>
      </c>
      <c r="H3944">
        <v>166.23</v>
      </c>
    </row>
    <row r="3945" spans="1:8" x14ac:dyDescent="0.3">
      <c r="A3945">
        <v>202308</v>
      </c>
      <c r="B3945" s="1">
        <v>45139</v>
      </c>
      <c r="C3945">
        <v>2023</v>
      </c>
      <c r="D3945" t="s">
        <v>15</v>
      </c>
      <c r="E3945" t="s">
        <v>22</v>
      </c>
      <c r="F3945" t="s">
        <v>40</v>
      </c>
      <c r="G3945" t="s">
        <v>8</v>
      </c>
      <c r="H3945">
        <v>123.9</v>
      </c>
    </row>
    <row r="3946" spans="1:8" x14ac:dyDescent="0.3">
      <c r="A3946">
        <v>202309</v>
      </c>
      <c r="B3946" s="1">
        <v>45170</v>
      </c>
      <c r="C3946">
        <v>2023</v>
      </c>
      <c r="D3946" t="s">
        <v>16</v>
      </c>
      <c r="E3946" t="s">
        <v>22</v>
      </c>
      <c r="F3946" t="s">
        <v>40</v>
      </c>
      <c r="G3946" t="s">
        <v>8</v>
      </c>
      <c r="H3946">
        <v>113.7</v>
      </c>
    </row>
    <row r="3947" spans="1:8" x14ac:dyDescent="0.3">
      <c r="A3947">
        <v>202310</v>
      </c>
      <c r="B3947" s="1">
        <v>45200</v>
      </c>
      <c r="C3947">
        <v>2023</v>
      </c>
      <c r="D3947" t="s">
        <v>17</v>
      </c>
      <c r="E3947" t="s">
        <v>22</v>
      </c>
      <c r="F3947" t="s">
        <v>40</v>
      </c>
      <c r="G3947" t="s">
        <v>8</v>
      </c>
      <c r="H3947">
        <v>151.74</v>
      </c>
    </row>
    <row r="3948" spans="1:8" x14ac:dyDescent="0.3">
      <c r="A3948">
        <v>202311</v>
      </c>
      <c r="B3948" s="1">
        <v>45231</v>
      </c>
      <c r="C3948">
        <v>2023</v>
      </c>
      <c r="D3948" t="s">
        <v>18</v>
      </c>
      <c r="E3948" t="s">
        <v>22</v>
      </c>
      <c r="F3948" t="s">
        <v>40</v>
      </c>
      <c r="G3948" t="s">
        <v>8</v>
      </c>
      <c r="H3948">
        <v>140.05000000000001</v>
      </c>
    </row>
    <row r="3949" spans="1:8" x14ac:dyDescent="0.3">
      <c r="A3949">
        <v>202312</v>
      </c>
      <c r="B3949" s="1">
        <v>45261</v>
      </c>
      <c r="C3949">
        <v>2023</v>
      </c>
      <c r="D3949" t="s">
        <v>19</v>
      </c>
      <c r="E3949" t="s">
        <v>22</v>
      </c>
      <c r="F3949" t="s">
        <v>40</v>
      </c>
      <c r="G3949" t="s">
        <v>8</v>
      </c>
      <c r="H3949">
        <v>169.55</v>
      </c>
    </row>
    <row r="3950" spans="1:8" x14ac:dyDescent="0.3">
      <c r="A3950">
        <v>202301</v>
      </c>
      <c r="B3950" s="1">
        <v>44927</v>
      </c>
      <c r="C3950">
        <v>2023</v>
      </c>
      <c r="D3950" t="s">
        <v>6</v>
      </c>
      <c r="E3950" t="s">
        <v>22</v>
      </c>
      <c r="F3950" t="s">
        <v>40</v>
      </c>
      <c r="G3950" t="s">
        <v>8</v>
      </c>
      <c r="H3950">
        <v>58.69</v>
      </c>
    </row>
    <row r="3951" spans="1:8" x14ac:dyDescent="0.3">
      <c r="A3951">
        <v>202302</v>
      </c>
      <c r="B3951" s="1">
        <v>44958</v>
      </c>
      <c r="C3951">
        <v>2023</v>
      </c>
      <c r="D3951" t="s">
        <v>9</v>
      </c>
      <c r="E3951" t="s">
        <v>22</v>
      </c>
      <c r="F3951" t="s">
        <v>40</v>
      </c>
      <c r="G3951" t="s">
        <v>8</v>
      </c>
      <c r="H3951">
        <v>29.22</v>
      </c>
    </row>
    <row r="3952" spans="1:8" x14ac:dyDescent="0.3">
      <c r="A3952">
        <v>202303</v>
      </c>
      <c r="B3952" s="1">
        <v>44986</v>
      </c>
      <c r="C3952">
        <v>2023</v>
      </c>
      <c r="D3952" t="s">
        <v>10</v>
      </c>
      <c r="E3952" t="s">
        <v>22</v>
      </c>
      <c r="F3952" t="s">
        <v>40</v>
      </c>
      <c r="G3952" t="s">
        <v>8</v>
      </c>
      <c r="H3952">
        <v>41.47</v>
      </c>
    </row>
    <row r="3953" spans="1:8" x14ac:dyDescent="0.3">
      <c r="A3953">
        <v>202304</v>
      </c>
      <c r="B3953" s="1">
        <v>45017</v>
      </c>
      <c r="C3953">
        <v>2023</v>
      </c>
      <c r="D3953" t="s">
        <v>11</v>
      </c>
      <c r="E3953" t="s">
        <v>22</v>
      </c>
      <c r="F3953" t="s">
        <v>40</v>
      </c>
      <c r="G3953" t="s">
        <v>8</v>
      </c>
      <c r="H3953">
        <v>42.36</v>
      </c>
    </row>
    <row r="3954" spans="1:8" x14ac:dyDescent="0.3">
      <c r="A3954">
        <v>202305</v>
      </c>
      <c r="B3954" s="1">
        <v>45047</v>
      </c>
      <c r="C3954">
        <v>2023</v>
      </c>
      <c r="D3954" t="s">
        <v>12</v>
      </c>
      <c r="E3954" t="s">
        <v>22</v>
      </c>
      <c r="F3954" t="s">
        <v>40</v>
      </c>
      <c r="G3954" t="s">
        <v>8</v>
      </c>
      <c r="H3954">
        <v>37.92</v>
      </c>
    </row>
    <row r="3955" spans="1:8" x14ac:dyDescent="0.3">
      <c r="A3955">
        <v>202306</v>
      </c>
      <c r="B3955" s="1">
        <v>45078</v>
      </c>
      <c r="C3955">
        <v>2023</v>
      </c>
      <c r="D3955" t="s">
        <v>13</v>
      </c>
      <c r="E3955" t="s">
        <v>22</v>
      </c>
      <c r="F3955" t="s">
        <v>40</v>
      </c>
      <c r="G3955" t="s">
        <v>8</v>
      </c>
      <c r="H3955">
        <v>49.62</v>
      </c>
    </row>
    <row r="3956" spans="1:8" x14ac:dyDescent="0.3">
      <c r="A3956">
        <v>202307</v>
      </c>
      <c r="B3956" s="1">
        <v>45108</v>
      </c>
      <c r="C3956">
        <v>2023</v>
      </c>
      <c r="D3956" t="s">
        <v>14</v>
      </c>
      <c r="E3956" t="s">
        <v>22</v>
      </c>
      <c r="F3956" t="s">
        <v>40</v>
      </c>
      <c r="G3956" t="s">
        <v>8</v>
      </c>
      <c r="H3956">
        <v>39.39</v>
      </c>
    </row>
    <row r="3957" spans="1:8" x14ac:dyDescent="0.3">
      <c r="A3957">
        <v>202308</v>
      </c>
      <c r="B3957" s="1">
        <v>45139</v>
      </c>
      <c r="C3957">
        <v>2023</v>
      </c>
      <c r="D3957" t="s">
        <v>15</v>
      </c>
      <c r="E3957" t="s">
        <v>22</v>
      </c>
      <c r="F3957" t="s">
        <v>40</v>
      </c>
      <c r="G3957" t="s">
        <v>8</v>
      </c>
      <c r="H3957">
        <v>40.46</v>
      </c>
    </row>
    <row r="3958" spans="1:8" x14ac:dyDescent="0.3">
      <c r="A3958">
        <v>202309</v>
      </c>
      <c r="B3958" s="1">
        <v>45170</v>
      </c>
      <c r="C3958">
        <v>2023</v>
      </c>
      <c r="D3958" t="s">
        <v>16</v>
      </c>
      <c r="E3958" t="s">
        <v>22</v>
      </c>
      <c r="F3958" t="s">
        <v>40</v>
      </c>
      <c r="G3958" t="s">
        <v>8</v>
      </c>
      <c r="H3958">
        <v>55.22</v>
      </c>
    </row>
    <row r="3959" spans="1:8" x14ac:dyDescent="0.3">
      <c r="A3959">
        <v>202310</v>
      </c>
      <c r="B3959" s="1">
        <v>45200</v>
      </c>
      <c r="C3959">
        <v>2023</v>
      </c>
      <c r="D3959" t="s">
        <v>17</v>
      </c>
      <c r="E3959" t="s">
        <v>22</v>
      </c>
      <c r="F3959" t="s">
        <v>40</v>
      </c>
      <c r="G3959" t="s">
        <v>8</v>
      </c>
      <c r="H3959">
        <v>52.51</v>
      </c>
    </row>
    <row r="3960" spans="1:8" x14ac:dyDescent="0.3">
      <c r="A3960">
        <v>202311</v>
      </c>
      <c r="B3960" s="1">
        <v>45231</v>
      </c>
      <c r="C3960">
        <v>2023</v>
      </c>
      <c r="D3960" t="s">
        <v>18</v>
      </c>
      <c r="E3960" t="s">
        <v>22</v>
      </c>
      <c r="F3960" t="s">
        <v>40</v>
      </c>
      <c r="G3960" t="s">
        <v>8</v>
      </c>
      <c r="H3960">
        <v>44.55</v>
      </c>
    </row>
    <row r="3961" spans="1:8" x14ac:dyDescent="0.3">
      <c r="A3961">
        <v>202312</v>
      </c>
      <c r="B3961" s="1">
        <v>45261</v>
      </c>
      <c r="C3961">
        <v>2023</v>
      </c>
      <c r="D3961" t="s">
        <v>19</v>
      </c>
      <c r="E3961" t="s">
        <v>22</v>
      </c>
      <c r="F3961" t="s">
        <v>40</v>
      </c>
      <c r="G3961" t="s">
        <v>8</v>
      </c>
      <c r="H3961">
        <v>54.45</v>
      </c>
    </row>
    <row r="3962" spans="1:8" x14ac:dyDescent="0.3">
      <c r="A3962">
        <v>202301</v>
      </c>
      <c r="B3962" s="1">
        <v>44927</v>
      </c>
      <c r="C3962">
        <v>2023</v>
      </c>
      <c r="D3962" t="s">
        <v>6</v>
      </c>
      <c r="E3962" t="s">
        <v>23</v>
      </c>
      <c r="F3962" t="s">
        <v>40</v>
      </c>
      <c r="G3962" t="s">
        <v>8</v>
      </c>
      <c r="H3962">
        <v>94.39</v>
      </c>
    </row>
    <row r="3963" spans="1:8" x14ac:dyDescent="0.3">
      <c r="A3963">
        <v>202302</v>
      </c>
      <c r="B3963" s="1">
        <v>44958</v>
      </c>
      <c r="C3963">
        <v>2023</v>
      </c>
      <c r="D3963" t="s">
        <v>9</v>
      </c>
      <c r="E3963" t="s">
        <v>23</v>
      </c>
      <c r="F3963" t="s">
        <v>40</v>
      </c>
      <c r="G3963" t="s">
        <v>8</v>
      </c>
      <c r="H3963">
        <v>48.19</v>
      </c>
    </row>
    <row r="3964" spans="1:8" x14ac:dyDescent="0.3">
      <c r="A3964">
        <v>202303</v>
      </c>
      <c r="B3964" s="1">
        <v>44986</v>
      </c>
      <c r="C3964">
        <v>2023</v>
      </c>
      <c r="D3964" t="s">
        <v>10</v>
      </c>
      <c r="E3964" t="s">
        <v>23</v>
      </c>
      <c r="F3964" t="s">
        <v>40</v>
      </c>
      <c r="G3964" t="s">
        <v>8</v>
      </c>
      <c r="H3964">
        <v>45.25</v>
      </c>
    </row>
    <row r="3965" spans="1:8" x14ac:dyDescent="0.3">
      <c r="A3965">
        <v>202304</v>
      </c>
      <c r="B3965" s="1">
        <v>45017</v>
      </c>
      <c r="C3965">
        <v>2023</v>
      </c>
      <c r="D3965" t="s">
        <v>11</v>
      </c>
      <c r="E3965" t="s">
        <v>23</v>
      </c>
      <c r="F3965" t="s">
        <v>40</v>
      </c>
      <c r="G3965" t="s">
        <v>8</v>
      </c>
      <c r="H3965">
        <v>76.650000000000006</v>
      </c>
    </row>
    <row r="3966" spans="1:8" x14ac:dyDescent="0.3">
      <c r="A3966">
        <v>202305</v>
      </c>
      <c r="B3966" s="1">
        <v>45047</v>
      </c>
      <c r="C3966">
        <v>2023</v>
      </c>
      <c r="D3966" t="s">
        <v>12</v>
      </c>
      <c r="E3966" t="s">
        <v>23</v>
      </c>
      <c r="F3966" t="s">
        <v>40</v>
      </c>
      <c r="G3966" t="s">
        <v>8</v>
      </c>
      <c r="H3966">
        <v>55.55</v>
      </c>
    </row>
    <row r="3967" spans="1:8" x14ac:dyDescent="0.3">
      <c r="A3967">
        <v>202306</v>
      </c>
      <c r="B3967" s="1">
        <v>45078</v>
      </c>
      <c r="C3967">
        <v>2023</v>
      </c>
      <c r="D3967" t="s">
        <v>13</v>
      </c>
      <c r="E3967" t="s">
        <v>23</v>
      </c>
      <c r="F3967" t="s">
        <v>40</v>
      </c>
      <c r="G3967" t="s">
        <v>8</v>
      </c>
      <c r="H3967">
        <v>79.44</v>
      </c>
    </row>
    <row r="3968" spans="1:8" x14ac:dyDescent="0.3">
      <c r="A3968">
        <v>202307</v>
      </c>
      <c r="B3968" s="1">
        <v>45108</v>
      </c>
      <c r="C3968">
        <v>2023</v>
      </c>
      <c r="D3968" t="s">
        <v>14</v>
      </c>
      <c r="E3968" t="s">
        <v>23</v>
      </c>
      <c r="F3968" t="s">
        <v>40</v>
      </c>
      <c r="G3968" t="s">
        <v>8</v>
      </c>
      <c r="H3968">
        <v>61.93</v>
      </c>
    </row>
    <row r="3969" spans="1:8" x14ac:dyDescent="0.3">
      <c r="A3969">
        <v>202308</v>
      </c>
      <c r="B3969" s="1">
        <v>45139</v>
      </c>
      <c r="C3969">
        <v>2023</v>
      </c>
      <c r="D3969" t="s">
        <v>15</v>
      </c>
      <c r="E3969" t="s">
        <v>23</v>
      </c>
      <c r="F3969" t="s">
        <v>40</v>
      </c>
      <c r="G3969" t="s">
        <v>8</v>
      </c>
      <c r="H3969">
        <v>68.89</v>
      </c>
    </row>
    <row r="3970" spans="1:8" x14ac:dyDescent="0.3">
      <c r="A3970">
        <v>202309</v>
      </c>
      <c r="B3970" s="1">
        <v>45170</v>
      </c>
      <c r="C3970">
        <v>2023</v>
      </c>
      <c r="D3970" t="s">
        <v>16</v>
      </c>
      <c r="E3970" t="s">
        <v>23</v>
      </c>
      <c r="F3970" t="s">
        <v>40</v>
      </c>
      <c r="G3970" t="s">
        <v>8</v>
      </c>
      <c r="H3970">
        <v>61.53</v>
      </c>
    </row>
    <row r="3971" spans="1:8" x14ac:dyDescent="0.3">
      <c r="A3971">
        <v>202310</v>
      </c>
      <c r="B3971" s="1">
        <v>45200</v>
      </c>
      <c r="C3971">
        <v>2023</v>
      </c>
      <c r="D3971" t="s">
        <v>17</v>
      </c>
      <c r="E3971" t="s">
        <v>23</v>
      </c>
      <c r="F3971" t="s">
        <v>40</v>
      </c>
      <c r="G3971" t="s">
        <v>8</v>
      </c>
      <c r="H3971">
        <v>76.73</v>
      </c>
    </row>
    <row r="3972" spans="1:8" x14ac:dyDescent="0.3">
      <c r="A3972">
        <v>202311</v>
      </c>
      <c r="B3972" s="1">
        <v>45231</v>
      </c>
      <c r="C3972">
        <v>2023</v>
      </c>
      <c r="D3972" t="s">
        <v>18</v>
      </c>
      <c r="E3972" t="s">
        <v>23</v>
      </c>
      <c r="F3972" t="s">
        <v>40</v>
      </c>
      <c r="G3972" t="s">
        <v>8</v>
      </c>
      <c r="H3972">
        <v>66.78</v>
      </c>
    </row>
    <row r="3973" spans="1:8" x14ac:dyDescent="0.3">
      <c r="A3973">
        <v>202312</v>
      </c>
      <c r="B3973" s="1">
        <v>45261</v>
      </c>
      <c r="C3973">
        <v>2023</v>
      </c>
      <c r="D3973" t="s">
        <v>19</v>
      </c>
      <c r="E3973" t="s">
        <v>23</v>
      </c>
      <c r="F3973" t="s">
        <v>40</v>
      </c>
      <c r="G3973" t="s">
        <v>8</v>
      </c>
      <c r="H3973">
        <v>79.67</v>
      </c>
    </row>
    <row r="3974" spans="1:8" x14ac:dyDescent="0.3">
      <c r="A3974">
        <v>202301</v>
      </c>
      <c r="B3974" s="1">
        <v>44927</v>
      </c>
      <c r="C3974">
        <v>2023</v>
      </c>
      <c r="D3974" t="s">
        <v>6</v>
      </c>
      <c r="E3974" t="s">
        <v>23</v>
      </c>
      <c r="F3974" t="s">
        <v>40</v>
      </c>
      <c r="G3974" t="s">
        <v>8</v>
      </c>
      <c r="H3974">
        <v>567.28</v>
      </c>
    </row>
    <row r="3975" spans="1:8" x14ac:dyDescent="0.3">
      <c r="A3975">
        <v>202302</v>
      </c>
      <c r="B3975" s="1">
        <v>44958</v>
      </c>
      <c r="C3975">
        <v>2023</v>
      </c>
      <c r="D3975" t="s">
        <v>9</v>
      </c>
      <c r="E3975" t="s">
        <v>23</v>
      </c>
      <c r="F3975" t="s">
        <v>40</v>
      </c>
      <c r="G3975" t="s">
        <v>8</v>
      </c>
      <c r="H3975">
        <v>307.67</v>
      </c>
    </row>
    <row r="3976" spans="1:8" x14ac:dyDescent="0.3">
      <c r="A3976">
        <v>202303</v>
      </c>
      <c r="B3976" s="1">
        <v>44986</v>
      </c>
      <c r="C3976">
        <v>2023</v>
      </c>
      <c r="D3976" t="s">
        <v>10</v>
      </c>
      <c r="E3976" t="s">
        <v>23</v>
      </c>
      <c r="F3976" t="s">
        <v>40</v>
      </c>
      <c r="G3976" t="s">
        <v>8</v>
      </c>
      <c r="H3976">
        <v>320.14999999999998</v>
      </c>
    </row>
    <row r="3977" spans="1:8" x14ac:dyDescent="0.3">
      <c r="A3977">
        <v>202304</v>
      </c>
      <c r="B3977" s="1">
        <v>45017</v>
      </c>
      <c r="C3977">
        <v>2023</v>
      </c>
      <c r="D3977" t="s">
        <v>11</v>
      </c>
      <c r="E3977" t="s">
        <v>23</v>
      </c>
      <c r="F3977" t="s">
        <v>40</v>
      </c>
      <c r="G3977" t="s">
        <v>8</v>
      </c>
      <c r="H3977">
        <v>541.75</v>
      </c>
    </row>
    <row r="3978" spans="1:8" x14ac:dyDescent="0.3">
      <c r="A3978">
        <v>202305</v>
      </c>
      <c r="B3978" s="1">
        <v>45047</v>
      </c>
      <c r="C3978">
        <v>2023</v>
      </c>
      <c r="D3978" t="s">
        <v>12</v>
      </c>
      <c r="E3978" t="s">
        <v>23</v>
      </c>
      <c r="F3978" t="s">
        <v>40</v>
      </c>
      <c r="G3978" t="s">
        <v>8</v>
      </c>
      <c r="H3978">
        <v>345.15</v>
      </c>
    </row>
    <row r="3979" spans="1:8" x14ac:dyDescent="0.3">
      <c r="A3979">
        <v>202306</v>
      </c>
      <c r="B3979" s="1">
        <v>45078</v>
      </c>
      <c r="C3979">
        <v>2023</v>
      </c>
      <c r="D3979" t="s">
        <v>13</v>
      </c>
      <c r="E3979" t="s">
        <v>23</v>
      </c>
      <c r="F3979" t="s">
        <v>40</v>
      </c>
      <c r="G3979" t="s">
        <v>8</v>
      </c>
      <c r="H3979">
        <v>368.7</v>
      </c>
    </row>
    <row r="3980" spans="1:8" x14ac:dyDescent="0.3">
      <c r="A3980">
        <v>202307</v>
      </c>
      <c r="B3980" s="1">
        <v>45108</v>
      </c>
      <c r="C3980">
        <v>2023</v>
      </c>
      <c r="D3980" t="s">
        <v>14</v>
      </c>
      <c r="E3980" t="s">
        <v>23</v>
      </c>
      <c r="F3980" t="s">
        <v>40</v>
      </c>
      <c r="G3980" t="s">
        <v>8</v>
      </c>
      <c r="H3980">
        <v>509.45</v>
      </c>
    </row>
    <row r="3981" spans="1:8" x14ac:dyDescent="0.3">
      <c r="A3981">
        <v>202308</v>
      </c>
      <c r="B3981" s="1">
        <v>45139</v>
      </c>
      <c r="C3981">
        <v>2023</v>
      </c>
      <c r="D3981" t="s">
        <v>15</v>
      </c>
      <c r="E3981" t="s">
        <v>23</v>
      </c>
      <c r="F3981" t="s">
        <v>40</v>
      </c>
      <c r="G3981" t="s">
        <v>8</v>
      </c>
      <c r="H3981">
        <v>361.55</v>
      </c>
    </row>
    <row r="3982" spans="1:8" x14ac:dyDescent="0.3">
      <c r="A3982">
        <v>202309</v>
      </c>
      <c r="B3982" s="1">
        <v>45170</v>
      </c>
      <c r="C3982">
        <v>2023</v>
      </c>
      <c r="D3982" t="s">
        <v>16</v>
      </c>
      <c r="E3982" t="s">
        <v>23</v>
      </c>
      <c r="F3982" t="s">
        <v>40</v>
      </c>
      <c r="G3982" t="s">
        <v>8</v>
      </c>
      <c r="H3982">
        <v>270.22000000000003</v>
      </c>
    </row>
    <row r="3983" spans="1:8" x14ac:dyDescent="0.3">
      <c r="A3983">
        <v>202310</v>
      </c>
      <c r="B3983" s="1">
        <v>45200</v>
      </c>
      <c r="C3983">
        <v>2023</v>
      </c>
      <c r="D3983" t="s">
        <v>17</v>
      </c>
      <c r="E3983" t="s">
        <v>23</v>
      </c>
      <c r="F3983" t="s">
        <v>40</v>
      </c>
      <c r="G3983" t="s">
        <v>8</v>
      </c>
      <c r="H3983">
        <v>623.15</v>
      </c>
    </row>
    <row r="3984" spans="1:8" x14ac:dyDescent="0.3">
      <c r="A3984">
        <v>202311</v>
      </c>
      <c r="B3984" s="1">
        <v>45231</v>
      </c>
      <c r="C3984">
        <v>2023</v>
      </c>
      <c r="D3984" t="s">
        <v>18</v>
      </c>
      <c r="E3984" t="s">
        <v>23</v>
      </c>
      <c r="F3984" t="s">
        <v>40</v>
      </c>
      <c r="G3984" t="s">
        <v>8</v>
      </c>
      <c r="H3984">
        <v>422.64</v>
      </c>
    </row>
    <row r="3985" spans="1:8" x14ac:dyDescent="0.3">
      <c r="A3985">
        <v>202312</v>
      </c>
      <c r="B3985" s="1">
        <v>45261</v>
      </c>
      <c r="C3985">
        <v>2023</v>
      </c>
      <c r="D3985" t="s">
        <v>19</v>
      </c>
      <c r="E3985" t="s">
        <v>23</v>
      </c>
      <c r="F3985" t="s">
        <v>40</v>
      </c>
      <c r="G3985" t="s">
        <v>8</v>
      </c>
      <c r="H3985">
        <v>378.98</v>
      </c>
    </row>
    <row r="3986" spans="1:8" x14ac:dyDescent="0.3">
      <c r="A3986">
        <v>202301</v>
      </c>
      <c r="B3986" s="1">
        <v>44927</v>
      </c>
      <c r="C3986">
        <v>2023</v>
      </c>
      <c r="D3986" t="s">
        <v>6</v>
      </c>
      <c r="E3986" t="s">
        <v>23</v>
      </c>
      <c r="F3986" t="s">
        <v>40</v>
      </c>
      <c r="G3986" t="s">
        <v>8</v>
      </c>
      <c r="H3986">
        <v>1673.77</v>
      </c>
    </row>
    <row r="3987" spans="1:8" x14ac:dyDescent="0.3">
      <c r="A3987">
        <v>202302</v>
      </c>
      <c r="B3987" s="1">
        <v>44958</v>
      </c>
      <c r="C3987">
        <v>2023</v>
      </c>
      <c r="D3987" t="s">
        <v>9</v>
      </c>
      <c r="E3987" t="s">
        <v>23</v>
      </c>
      <c r="F3987" t="s">
        <v>40</v>
      </c>
      <c r="G3987" t="s">
        <v>8</v>
      </c>
      <c r="H3987">
        <v>809.39</v>
      </c>
    </row>
    <row r="3988" spans="1:8" x14ac:dyDescent="0.3">
      <c r="A3988">
        <v>202303</v>
      </c>
      <c r="B3988" s="1">
        <v>44986</v>
      </c>
      <c r="C3988">
        <v>2023</v>
      </c>
      <c r="D3988" t="s">
        <v>10</v>
      </c>
      <c r="E3988" t="s">
        <v>23</v>
      </c>
      <c r="F3988" t="s">
        <v>40</v>
      </c>
      <c r="G3988" t="s">
        <v>8</v>
      </c>
      <c r="H3988">
        <v>1453.46</v>
      </c>
    </row>
    <row r="3989" spans="1:8" x14ac:dyDescent="0.3">
      <c r="A3989">
        <v>202304</v>
      </c>
      <c r="B3989" s="1">
        <v>45017</v>
      </c>
      <c r="C3989">
        <v>2023</v>
      </c>
      <c r="D3989" t="s">
        <v>11</v>
      </c>
      <c r="E3989" t="s">
        <v>23</v>
      </c>
      <c r="F3989" t="s">
        <v>40</v>
      </c>
      <c r="G3989" t="s">
        <v>8</v>
      </c>
      <c r="H3989">
        <v>2124.0300000000002</v>
      </c>
    </row>
    <row r="3990" spans="1:8" x14ac:dyDescent="0.3">
      <c r="A3990">
        <v>202305</v>
      </c>
      <c r="B3990" s="1">
        <v>45047</v>
      </c>
      <c r="C3990">
        <v>2023</v>
      </c>
      <c r="D3990" t="s">
        <v>12</v>
      </c>
      <c r="E3990" t="s">
        <v>23</v>
      </c>
      <c r="F3990" t="s">
        <v>40</v>
      </c>
      <c r="G3990" t="s">
        <v>8</v>
      </c>
      <c r="H3990">
        <v>1302.6600000000001</v>
      </c>
    </row>
    <row r="3991" spans="1:8" x14ac:dyDescent="0.3">
      <c r="A3991">
        <v>202306</v>
      </c>
      <c r="B3991" s="1">
        <v>45078</v>
      </c>
      <c r="C3991">
        <v>2023</v>
      </c>
      <c r="D3991" t="s">
        <v>13</v>
      </c>
      <c r="E3991" t="s">
        <v>23</v>
      </c>
      <c r="F3991" t="s">
        <v>40</v>
      </c>
      <c r="G3991" t="s">
        <v>8</v>
      </c>
      <c r="H3991">
        <v>1336.76</v>
      </c>
    </row>
    <row r="3992" spans="1:8" x14ac:dyDescent="0.3">
      <c r="A3992">
        <v>202307</v>
      </c>
      <c r="B3992" s="1">
        <v>45108</v>
      </c>
      <c r="C3992">
        <v>2023</v>
      </c>
      <c r="D3992" t="s">
        <v>14</v>
      </c>
      <c r="E3992" t="s">
        <v>23</v>
      </c>
      <c r="F3992" t="s">
        <v>40</v>
      </c>
      <c r="G3992" t="s">
        <v>8</v>
      </c>
      <c r="H3992">
        <v>1812.5</v>
      </c>
    </row>
    <row r="3993" spans="1:8" x14ac:dyDescent="0.3">
      <c r="A3993">
        <v>202308</v>
      </c>
      <c r="B3993" s="1">
        <v>45139</v>
      </c>
      <c r="C3993">
        <v>2023</v>
      </c>
      <c r="D3993" t="s">
        <v>15</v>
      </c>
      <c r="E3993" t="s">
        <v>23</v>
      </c>
      <c r="F3993" t="s">
        <v>40</v>
      </c>
      <c r="G3993" t="s">
        <v>8</v>
      </c>
      <c r="H3993">
        <v>1238.92</v>
      </c>
    </row>
    <row r="3994" spans="1:8" x14ac:dyDescent="0.3">
      <c r="A3994">
        <v>202309</v>
      </c>
      <c r="B3994" s="1">
        <v>45170</v>
      </c>
      <c r="C3994">
        <v>2023</v>
      </c>
      <c r="D3994" t="s">
        <v>16</v>
      </c>
      <c r="E3994" t="s">
        <v>23</v>
      </c>
      <c r="F3994" t="s">
        <v>40</v>
      </c>
      <c r="G3994" t="s">
        <v>8</v>
      </c>
      <c r="H3994">
        <v>1143.77</v>
      </c>
    </row>
    <row r="3995" spans="1:8" x14ac:dyDescent="0.3">
      <c r="A3995">
        <v>202310</v>
      </c>
      <c r="B3995" s="1">
        <v>45200</v>
      </c>
      <c r="C3995">
        <v>2023</v>
      </c>
      <c r="D3995" t="s">
        <v>17</v>
      </c>
      <c r="E3995" t="s">
        <v>23</v>
      </c>
      <c r="F3995" t="s">
        <v>40</v>
      </c>
      <c r="G3995" t="s">
        <v>8</v>
      </c>
      <c r="H3995">
        <v>1922.95</v>
      </c>
    </row>
    <row r="3996" spans="1:8" x14ac:dyDescent="0.3">
      <c r="A3996">
        <v>202311</v>
      </c>
      <c r="B3996" s="1">
        <v>45231</v>
      </c>
      <c r="C3996">
        <v>2023</v>
      </c>
      <c r="D3996" t="s">
        <v>18</v>
      </c>
      <c r="E3996" t="s">
        <v>23</v>
      </c>
      <c r="F3996" t="s">
        <v>40</v>
      </c>
      <c r="G3996" t="s">
        <v>8</v>
      </c>
      <c r="H3996">
        <v>1406.77</v>
      </c>
    </row>
    <row r="3997" spans="1:8" x14ac:dyDescent="0.3">
      <c r="A3997">
        <v>202312</v>
      </c>
      <c r="B3997" s="1">
        <v>45261</v>
      </c>
      <c r="C3997">
        <v>2023</v>
      </c>
      <c r="D3997" t="s">
        <v>19</v>
      </c>
      <c r="E3997" t="s">
        <v>23</v>
      </c>
      <c r="F3997" t="s">
        <v>40</v>
      </c>
      <c r="G3997" t="s">
        <v>8</v>
      </c>
      <c r="H3997">
        <v>1347.4</v>
      </c>
    </row>
    <row r="3998" spans="1:8" x14ac:dyDescent="0.3">
      <c r="A3998">
        <v>202301</v>
      </c>
      <c r="B3998" s="1">
        <v>44927</v>
      </c>
      <c r="C3998">
        <v>2023</v>
      </c>
      <c r="D3998" t="s">
        <v>6</v>
      </c>
      <c r="E3998" t="s">
        <v>23</v>
      </c>
      <c r="F3998" t="s">
        <v>40</v>
      </c>
      <c r="G3998" t="s">
        <v>8</v>
      </c>
      <c r="H3998">
        <v>691.95</v>
      </c>
    </row>
    <row r="3999" spans="1:8" x14ac:dyDescent="0.3">
      <c r="A3999">
        <v>202302</v>
      </c>
      <c r="B3999" s="1">
        <v>44958</v>
      </c>
      <c r="C3999">
        <v>2023</v>
      </c>
      <c r="D3999" t="s">
        <v>9</v>
      </c>
      <c r="E3999" t="s">
        <v>23</v>
      </c>
      <c r="F3999" t="s">
        <v>40</v>
      </c>
      <c r="G3999" t="s">
        <v>8</v>
      </c>
      <c r="H3999">
        <v>339.94</v>
      </c>
    </row>
    <row r="4000" spans="1:8" x14ac:dyDescent="0.3">
      <c r="A4000">
        <v>202303</v>
      </c>
      <c r="B4000" s="1">
        <v>44986</v>
      </c>
      <c r="C4000">
        <v>2023</v>
      </c>
      <c r="D4000" t="s">
        <v>10</v>
      </c>
      <c r="E4000" t="s">
        <v>23</v>
      </c>
      <c r="F4000" t="s">
        <v>40</v>
      </c>
      <c r="G4000" t="s">
        <v>8</v>
      </c>
      <c r="H4000">
        <v>526.72</v>
      </c>
    </row>
    <row r="4001" spans="1:8" x14ac:dyDescent="0.3">
      <c r="A4001">
        <v>202304</v>
      </c>
      <c r="B4001" s="1">
        <v>45017</v>
      </c>
      <c r="C4001">
        <v>2023</v>
      </c>
      <c r="D4001" t="s">
        <v>11</v>
      </c>
      <c r="E4001" t="s">
        <v>23</v>
      </c>
      <c r="F4001" t="s">
        <v>40</v>
      </c>
      <c r="G4001" t="s">
        <v>8</v>
      </c>
      <c r="H4001">
        <v>732.15</v>
      </c>
    </row>
    <row r="4002" spans="1:8" x14ac:dyDescent="0.3">
      <c r="A4002">
        <v>202305</v>
      </c>
      <c r="B4002" s="1">
        <v>45047</v>
      </c>
      <c r="C4002">
        <v>2023</v>
      </c>
      <c r="D4002" t="s">
        <v>12</v>
      </c>
      <c r="E4002" t="s">
        <v>23</v>
      </c>
      <c r="F4002" t="s">
        <v>40</v>
      </c>
      <c r="G4002" t="s">
        <v>8</v>
      </c>
      <c r="H4002">
        <v>523.19000000000005</v>
      </c>
    </row>
    <row r="4003" spans="1:8" x14ac:dyDescent="0.3">
      <c r="A4003">
        <v>202306</v>
      </c>
      <c r="B4003" s="1">
        <v>45078</v>
      </c>
      <c r="C4003">
        <v>2023</v>
      </c>
      <c r="D4003" t="s">
        <v>13</v>
      </c>
      <c r="E4003" t="s">
        <v>23</v>
      </c>
      <c r="F4003" t="s">
        <v>40</v>
      </c>
      <c r="G4003" t="s">
        <v>8</v>
      </c>
      <c r="H4003">
        <v>620.33000000000004</v>
      </c>
    </row>
    <row r="4004" spans="1:8" x14ac:dyDescent="0.3">
      <c r="A4004">
        <v>202307</v>
      </c>
      <c r="B4004" s="1">
        <v>45108</v>
      </c>
      <c r="C4004">
        <v>2023</v>
      </c>
      <c r="D4004" t="s">
        <v>14</v>
      </c>
      <c r="E4004" t="s">
        <v>23</v>
      </c>
      <c r="F4004" t="s">
        <v>40</v>
      </c>
      <c r="G4004" t="s">
        <v>8</v>
      </c>
      <c r="H4004">
        <v>551.17999999999995</v>
      </c>
    </row>
    <row r="4005" spans="1:8" x14ac:dyDescent="0.3">
      <c r="A4005">
        <v>202308</v>
      </c>
      <c r="B4005" s="1">
        <v>45139</v>
      </c>
      <c r="C4005">
        <v>2023</v>
      </c>
      <c r="D4005" t="s">
        <v>15</v>
      </c>
      <c r="E4005" t="s">
        <v>23</v>
      </c>
      <c r="F4005" t="s">
        <v>40</v>
      </c>
      <c r="G4005" t="s">
        <v>8</v>
      </c>
      <c r="H4005">
        <v>558.96</v>
      </c>
    </row>
    <row r="4006" spans="1:8" x14ac:dyDescent="0.3">
      <c r="A4006">
        <v>202309</v>
      </c>
      <c r="B4006" s="1">
        <v>45170</v>
      </c>
      <c r="C4006">
        <v>2023</v>
      </c>
      <c r="D4006" t="s">
        <v>16</v>
      </c>
      <c r="E4006" t="s">
        <v>23</v>
      </c>
      <c r="F4006" t="s">
        <v>40</v>
      </c>
      <c r="G4006" t="s">
        <v>8</v>
      </c>
      <c r="H4006">
        <v>546.12</v>
      </c>
    </row>
    <row r="4007" spans="1:8" x14ac:dyDescent="0.3">
      <c r="A4007">
        <v>202310</v>
      </c>
      <c r="B4007" s="1">
        <v>45200</v>
      </c>
      <c r="C4007">
        <v>2023</v>
      </c>
      <c r="D4007" t="s">
        <v>17</v>
      </c>
      <c r="E4007" t="s">
        <v>23</v>
      </c>
      <c r="F4007" t="s">
        <v>40</v>
      </c>
      <c r="G4007" t="s">
        <v>8</v>
      </c>
      <c r="H4007">
        <v>767.36</v>
      </c>
    </row>
    <row r="4008" spans="1:8" x14ac:dyDescent="0.3">
      <c r="A4008">
        <v>202311</v>
      </c>
      <c r="B4008" s="1">
        <v>45231</v>
      </c>
      <c r="C4008">
        <v>2023</v>
      </c>
      <c r="D4008" t="s">
        <v>18</v>
      </c>
      <c r="E4008" t="s">
        <v>23</v>
      </c>
      <c r="F4008" t="s">
        <v>40</v>
      </c>
      <c r="G4008" t="s">
        <v>8</v>
      </c>
      <c r="H4008">
        <v>533.41999999999996</v>
      </c>
    </row>
    <row r="4009" spans="1:8" x14ac:dyDescent="0.3">
      <c r="A4009">
        <v>202312</v>
      </c>
      <c r="B4009" s="1">
        <v>45261</v>
      </c>
      <c r="C4009">
        <v>2023</v>
      </c>
      <c r="D4009" t="s">
        <v>19</v>
      </c>
      <c r="E4009" t="s">
        <v>23</v>
      </c>
      <c r="F4009" t="s">
        <v>40</v>
      </c>
      <c r="G4009" t="s">
        <v>8</v>
      </c>
      <c r="H4009">
        <v>606.87</v>
      </c>
    </row>
    <row r="4010" spans="1:8" x14ac:dyDescent="0.3">
      <c r="A4010">
        <v>202301</v>
      </c>
      <c r="B4010" s="1">
        <v>44927</v>
      </c>
      <c r="C4010">
        <v>2023</v>
      </c>
      <c r="D4010" t="s">
        <v>6</v>
      </c>
      <c r="E4010" t="s">
        <v>23</v>
      </c>
      <c r="F4010" t="s">
        <v>40</v>
      </c>
      <c r="G4010" t="s">
        <v>8</v>
      </c>
      <c r="H4010">
        <v>1275.72</v>
      </c>
    </row>
    <row r="4011" spans="1:8" x14ac:dyDescent="0.3">
      <c r="A4011">
        <v>202302</v>
      </c>
      <c r="B4011" s="1">
        <v>44958</v>
      </c>
      <c r="C4011">
        <v>2023</v>
      </c>
      <c r="D4011" t="s">
        <v>9</v>
      </c>
      <c r="E4011" t="s">
        <v>23</v>
      </c>
      <c r="F4011" t="s">
        <v>40</v>
      </c>
      <c r="G4011" t="s">
        <v>8</v>
      </c>
      <c r="H4011">
        <v>679.24</v>
      </c>
    </row>
    <row r="4012" spans="1:8" x14ac:dyDescent="0.3">
      <c r="A4012">
        <v>202303</v>
      </c>
      <c r="B4012" s="1">
        <v>44986</v>
      </c>
      <c r="C4012">
        <v>2023</v>
      </c>
      <c r="D4012" t="s">
        <v>10</v>
      </c>
      <c r="E4012" t="s">
        <v>23</v>
      </c>
      <c r="F4012" t="s">
        <v>40</v>
      </c>
      <c r="G4012" t="s">
        <v>8</v>
      </c>
      <c r="H4012">
        <v>991.24</v>
      </c>
    </row>
    <row r="4013" spans="1:8" x14ac:dyDescent="0.3">
      <c r="A4013">
        <v>202304</v>
      </c>
      <c r="B4013" s="1">
        <v>45017</v>
      </c>
      <c r="C4013">
        <v>2023</v>
      </c>
      <c r="D4013" t="s">
        <v>11</v>
      </c>
      <c r="E4013" t="s">
        <v>23</v>
      </c>
      <c r="F4013" t="s">
        <v>40</v>
      </c>
      <c r="G4013" t="s">
        <v>8</v>
      </c>
      <c r="H4013">
        <v>1749.84</v>
      </c>
    </row>
    <row r="4014" spans="1:8" x14ac:dyDescent="0.3">
      <c r="A4014">
        <v>202305</v>
      </c>
      <c r="B4014" s="1">
        <v>45047</v>
      </c>
      <c r="C4014">
        <v>2023</v>
      </c>
      <c r="D4014" t="s">
        <v>12</v>
      </c>
      <c r="E4014" t="s">
        <v>23</v>
      </c>
      <c r="F4014" t="s">
        <v>40</v>
      </c>
      <c r="G4014" t="s">
        <v>8</v>
      </c>
      <c r="H4014">
        <v>1180.04</v>
      </c>
    </row>
    <row r="4015" spans="1:8" x14ac:dyDescent="0.3">
      <c r="A4015">
        <v>202306</v>
      </c>
      <c r="B4015" s="1">
        <v>45078</v>
      </c>
      <c r="C4015">
        <v>2023</v>
      </c>
      <c r="D4015" t="s">
        <v>13</v>
      </c>
      <c r="E4015" t="s">
        <v>23</v>
      </c>
      <c r="F4015" t="s">
        <v>40</v>
      </c>
      <c r="G4015" t="s">
        <v>8</v>
      </c>
      <c r="H4015">
        <v>1008.59</v>
      </c>
    </row>
    <row r="4016" spans="1:8" x14ac:dyDescent="0.3">
      <c r="A4016">
        <v>202307</v>
      </c>
      <c r="B4016" s="1">
        <v>45108</v>
      </c>
      <c r="C4016">
        <v>2023</v>
      </c>
      <c r="D4016" t="s">
        <v>14</v>
      </c>
      <c r="E4016" t="s">
        <v>23</v>
      </c>
      <c r="F4016" t="s">
        <v>40</v>
      </c>
      <c r="G4016" t="s">
        <v>8</v>
      </c>
      <c r="H4016">
        <v>1529.68</v>
      </c>
    </row>
    <row r="4017" spans="1:8" x14ac:dyDescent="0.3">
      <c r="A4017">
        <v>202308</v>
      </c>
      <c r="B4017" s="1">
        <v>45139</v>
      </c>
      <c r="C4017">
        <v>2023</v>
      </c>
      <c r="D4017" t="s">
        <v>15</v>
      </c>
      <c r="E4017" t="s">
        <v>23</v>
      </c>
      <c r="F4017" t="s">
        <v>40</v>
      </c>
      <c r="G4017" t="s">
        <v>8</v>
      </c>
      <c r="H4017">
        <v>1249.03</v>
      </c>
    </row>
    <row r="4018" spans="1:8" x14ac:dyDescent="0.3">
      <c r="A4018">
        <v>202309</v>
      </c>
      <c r="B4018" s="1">
        <v>45170</v>
      </c>
      <c r="C4018">
        <v>2023</v>
      </c>
      <c r="D4018" t="s">
        <v>16</v>
      </c>
      <c r="E4018" t="s">
        <v>23</v>
      </c>
      <c r="F4018" t="s">
        <v>40</v>
      </c>
      <c r="G4018" t="s">
        <v>8</v>
      </c>
      <c r="H4018">
        <v>1024.1500000000001</v>
      </c>
    </row>
    <row r="4019" spans="1:8" x14ac:dyDescent="0.3">
      <c r="A4019">
        <v>202310</v>
      </c>
      <c r="B4019" s="1">
        <v>45200</v>
      </c>
      <c r="C4019">
        <v>2023</v>
      </c>
      <c r="D4019" t="s">
        <v>17</v>
      </c>
      <c r="E4019" t="s">
        <v>23</v>
      </c>
      <c r="F4019" t="s">
        <v>40</v>
      </c>
      <c r="G4019" t="s">
        <v>8</v>
      </c>
      <c r="H4019">
        <v>1596.55</v>
      </c>
    </row>
    <row r="4020" spans="1:8" x14ac:dyDescent="0.3">
      <c r="A4020">
        <v>202311</v>
      </c>
      <c r="B4020" s="1">
        <v>45231</v>
      </c>
      <c r="C4020">
        <v>2023</v>
      </c>
      <c r="D4020" t="s">
        <v>18</v>
      </c>
      <c r="E4020" t="s">
        <v>23</v>
      </c>
      <c r="F4020" t="s">
        <v>40</v>
      </c>
      <c r="G4020" t="s">
        <v>8</v>
      </c>
      <c r="H4020">
        <v>1187.68</v>
      </c>
    </row>
    <row r="4021" spans="1:8" x14ac:dyDescent="0.3">
      <c r="A4021">
        <v>202312</v>
      </c>
      <c r="B4021" s="1">
        <v>45261</v>
      </c>
      <c r="C4021">
        <v>2023</v>
      </c>
      <c r="D4021" t="s">
        <v>19</v>
      </c>
      <c r="E4021" t="s">
        <v>23</v>
      </c>
      <c r="F4021" t="s">
        <v>40</v>
      </c>
      <c r="G4021" t="s">
        <v>8</v>
      </c>
      <c r="H4021">
        <v>970.4</v>
      </c>
    </row>
    <row r="4022" spans="1:8" x14ac:dyDescent="0.3">
      <c r="A4022">
        <v>202301</v>
      </c>
      <c r="B4022" s="1">
        <v>44927</v>
      </c>
      <c r="C4022">
        <v>2023</v>
      </c>
      <c r="D4022" t="s">
        <v>6</v>
      </c>
      <c r="E4022" t="s">
        <v>23</v>
      </c>
      <c r="F4022" t="s">
        <v>40</v>
      </c>
      <c r="G4022" t="s">
        <v>8</v>
      </c>
      <c r="H4022">
        <v>516.25</v>
      </c>
    </row>
    <row r="4023" spans="1:8" x14ac:dyDescent="0.3">
      <c r="A4023">
        <v>202302</v>
      </c>
      <c r="B4023" s="1">
        <v>44958</v>
      </c>
      <c r="C4023">
        <v>2023</v>
      </c>
      <c r="D4023" t="s">
        <v>9</v>
      </c>
      <c r="E4023" t="s">
        <v>23</v>
      </c>
      <c r="F4023" t="s">
        <v>40</v>
      </c>
      <c r="G4023" t="s">
        <v>8</v>
      </c>
      <c r="H4023">
        <v>356.69</v>
      </c>
    </row>
    <row r="4024" spans="1:8" x14ac:dyDescent="0.3">
      <c r="A4024">
        <v>202303</v>
      </c>
      <c r="B4024" s="1">
        <v>44986</v>
      </c>
      <c r="C4024">
        <v>2023</v>
      </c>
      <c r="D4024" t="s">
        <v>10</v>
      </c>
      <c r="E4024" t="s">
        <v>23</v>
      </c>
      <c r="F4024" t="s">
        <v>40</v>
      </c>
      <c r="G4024" t="s">
        <v>8</v>
      </c>
      <c r="H4024">
        <v>434.7</v>
      </c>
    </row>
    <row r="4025" spans="1:8" x14ac:dyDescent="0.3">
      <c r="A4025">
        <v>202304</v>
      </c>
      <c r="B4025" s="1">
        <v>45017</v>
      </c>
      <c r="C4025">
        <v>2023</v>
      </c>
      <c r="D4025" t="s">
        <v>11</v>
      </c>
      <c r="E4025" t="s">
        <v>23</v>
      </c>
      <c r="F4025" t="s">
        <v>40</v>
      </c>
      <c r="G4025" t="s">
        <v>8</v>
      </c>
      <c r="H4025">
        <v>655.59</v>
      </c>
    </row>
    <row r="4026" spans="1:8" x14ac:dyDescent="0.3">
      <c r="A4026">
        <v>202305</v>
      </c>
      <c r="B4026" s="1">
        <v>45047</v>
      </c>
      <c r="C4026">
        <v>2023</v>
      </c>
      <c r="D4026" t="s">
        <v>12</v>
      </c>
      <c r="E4026" t="s">
        <v>23</v>
      </c>
      <c r="F4026" t="s">
        <v>40</v>
      </c>
      <c r="G4026" t="s">
        <v>8</v>
      </c>
      <c r="H4026">
        <v>496.1</v>
      </c>
    </row>
    <row r="4027" spans="1:8" x14ac:dyDescent="0.3">
      <c r="A4027">
        <v>202306</v>
      </c>
      <c r="B4027" s="1">
        <v>45078</v>
      </c>
      <c r="C4027">
        <v>2023</v>
      </c>
      <c r="D4027" t="s">
        <v>13</v>
      </c>
      <c r="E4027" t="s">
        <v>23</v>
      </c>
      <c r="F4027" t="s">
        <v>40</v>
      </c>
      <c r="G4027" t="s">
        <v>8</v>
      </c>
      <c r="H4027">
        <v>452.76</v>
      </c>
    </row>
    <row r="4028" spans="1:8" x14ac:dyDescent="0.3">
      <c r="A4028">
        <v>202307</v>
      </c>
      <c r="B4028" s="1">
        <v>45108</v>
      </c>
      <c r="C4028">
        <v>2023</v>
      </c>
      <c r="D4028" t="s">
        <v>14</v>
      </c>
      <c r="E4028" t="s">
        <v>23</v>
      </c>
      <c r="F4028" t="s">
        <v>40</v>
      </c>
      <c r="G4028" t="s">
        <v>8</v>
      </c>
      <c r="H4028">
        <v>522.54999999999995</v>
      </c>
    </row>
    <row r="4029" spans="1:8" x14ac:dyDescent="0.3">
      <c r="A4029">
        <v>202308</v>
      </c>
      <c r="B4029" s="1">
        <v>45139</v>
      </c>
      <c r="C4029">
        <v>2023</v>
      </c>
      <c r="D4029" t="s">
        <v>15</v>
      </c>
      <c r="E4029" t="s">
        <v>23</v>
      </c>
      <c r="F4029" t="s">
        <v>40</v>
      </c>
      <c r="G4029" t="s">
        <v>8</v>
      </c>
      <c r="H4029">
        <v>404.68</v>
      </c>
    </row>
    <row r="4030" spans="1:8" x14ac:dyDescent="0.3">
      <c r="A4030">
        <v>202309</v>
      </c>
      <c r="B4030" s="1">
        <v>45170</v>
      </c>
      <c r="C4030">
        <v>2023</v>
      </c>
      <c r="D4030" t="s">
        <v>16</v>
      </c>
      <c r="E4030" t="s">
        <v>23</v>
      </c>
      <c r="F4030" t="s">
        <v>40</v>
      </c>
      <c r="G4030" t="s">
        <v>8</v>
      </c>
      <c r="H4030">
        <v>431.19</v>
      </c>
    </row>
    <row r="4031" spans="1:8" x14ac:dyDescent="0.3">
      <c r="A4031">
        <v>202310</v>
      </c>
      <c r="B4031" s="1">
        <v>45200</v>
      </c>
      <c r="C4031">
        <v>2023</v>
      </c>
      <c r="D4031" t="s">
        <v>17</v>
      </c>
      <c r="E4031" t="s">
        <v>23</v>
      </c>
      <c r="F4031" t="s">
        <v>40</v>
      </c>
      <c r="G4031" t="s">
        <v>8</v>
      </c>
      <c r="H4031">
        <v>572.04</v>
      </c>
    </row>
    <row r="4032" spans="1:8" x14ac:dyDescent="0.3">
      <c r="A4032">
        <v>202311</v>
      </c>
      <c r="B4032" s="1">
        <v>45231</v>
      </c>
      <c r="C4032">
        <v>2023</v>
      </c>
      <c r="D4032" t="s">
        <v>18</v>
      </c>
      <c r="E4032" t="s">
        <v>23</v>
      </c>
      <c r="F4032" t="s">
        <v>40</v>
      </c>
      <c r="G4032" t="s">
        <v>8</v>
      </c>
      <c r="H4032">
        <v>443.43</v>
      </c>
    </row>
    <row r="4033" spans="1:8" x14ac:dyDescent="0.3">
      <c r="A4033">
        <v>202312</v>
      </c>
      <c r="B4033" s="1">
        <v>45261</v>
      </c>
      <c r="C4033">
        <v>2023</v>
      </c>
      <c r="D4033" t="s">
        <v>19</v>
      </c>
      <c r="E4033" t="s">
        <v>23</v>
      </c>
      <c r="F4033" t="s">
        <v>40</v>
      </c>
      <c r="G4033" t="s">
        <v>8</v>
      </c>
      <c r="H4033">
        <v>577.49</v>
      </c>
    </row>
    <row r="4034" spans="1:8" x14ac:dyDescent="0.3">
      <c r="A4034">
        <v>202301</v>
      </c>
      <c r="B4034" s="1">
        <v>44927</v>
      </c>
      <c r="C4034">
        <v>2023</v>
      </c>
      <c r="D4034" t="s">
        <v>6</v>
      </c>
      <c r="E4034" t="s">
        <v>23</v>
      </c>
      <c r="F4034" t="s">
        <v>40</v>
      </c>
      <c r="G4034" t="s">
        <v>8</v>
      </c>
      <c r="H4034">
        <v>248.43</v>
      </c>
    </row>
    <row r="4035" spans="1:8" x14ac:dyDescent="0.3">
      <c r="A4035">
        <v>202302</v>
      </c>
      <c r="B4035" s="1">
        <v>44958</v>
      </c>
      <c r="C4035">
        <v>2023</v>
      </c>
      <c r="D4035" t="s">
        <v>9</v>
      </c>
      <c r="E4035" t="s">
        <v>23</v>
      </c>
      <c r="F4035" t="s">
        <v>40</v>
      </c>
      <c r="G4035" t="s">
        <v>8</v>
      </c>
      <c r="H4035">
        <v>117.76</v>
      </c>
    </row>
    <row r="4036" spans="1:8" x14ac:dyDescent="0.3">
      <c r="A4036">
        <v>202303</v>
      </c>
      <c r="B4036" s="1">
        <v>44986</v>
      </c>
      <c r="C4036">
        <v>2023</v>
      </c>
      <c r="D4036" t="s">
        <v>10</v>
      </c>
      <c r="E4036" t="s">
        <v>23</v>
      </c>
      <c r="F4036" t="s">
        <v>40</v>
      </c>
      <c r="G4036" t="s">
        <v>8</v>
      </c>
      <c r="H4036">
        <v>133.18</v>
      </c>
    </row>
    <row r="4037" spans="1:8" x14ac:dyDescent="0.3">
      <c r="A4037">
        <v>202304</v>
      </c>
      <c r="B4037" s="1">
        <v>45017</v>
      </c>
      <c r="C4037">
        <v>2023</v>
      </c>
      <c r="D4037" t="s">
        <v>11</v>
      </c>
      <c r="E4037" t="s">
        <v>23</v>
      </c>
      <c r="F4037" t="s">
        <v>40</v>
      </c>
      <c r="G4037" t="s">
        <v>8</v>
      </c>
      <c r="H4037">
        <v>279.7</v>
      </c>
    </row>
    <row r="4038" spans="1:8" x14ac:dyDescent="0.3">
      <c r="A4038">
        <v>202305</v>
      </c>
      <c r="B4038" s="1">
        <v>45047</v>
      </c>
      <c r="C4038">
        <v>2023</v>
      </c>
      <c r="D4038" t="s">
        <v>12</v>
      </c>
      <c r="E4038" t="s">
        <v>23</v>
      </c>
      <c r="F4038" t="s">
        <v>40</v>
      </c>
      <c r="G4038" t="s">
        <v>8</v>
      </c>
      <c r="H4038">
        <v>225.98</v>
      </c>
    </row>
    <row r="4039" spans="1:8" x14ac:dyDescent="0.3">
      <c r="A4039">
        <v>202306</v>
      </c>
      <c r="B4039" s="1">
        <v>45078</v>
      </c>
      <c r="C4039">
        <v>2023</v>
      </c>
      <c r="D4039" t="s">
        <v>13</v>
      </c>
      <c r="E4039" t="s">
        <v>23</v>
      </c>
      <c r="F4039" t="s">
        <v>40</v>
      </c>
      <c r="G4039" t="s">
        <v>8</v>
      </c>
      <c r="H4039">
        <v>135.4</v>
      </c>
    </row>
    <row r="4040" spans="1:8" x14ac:dyDescent="0.3">
      <c r="A4040">
        <v>202307</v>
      </c>
      <c r="B4040" s="1">
        <v>45108</v>
      </c>
      <c r="C4040">
        <v>2023</v>
      </c>
      <c r="D4040" t="s">
        <v>14</v>
      </c>
      <c r="E4040" t="s">
        <v>23</v>
      </c>
      <c r="F4040" t="s">
        <v>40</v>
      </c>
      <c r="G4040" t="s">
        <v>8</v>
      </c>
      <c r="H4040">
        <v>162.68</v>
      </c>
    </row>
    <row r="4041" spans="1:8" x14ac:dyDescent="0.3">
      <c r="A4041">
        <v>202308</v>
      </c>
      <c r="B4041" s="1">
        <v>45139</v>
      </c>
      <c r="C4041">
        <v>2023</v>
      </c>
      <c r="D4041" t="s">
        <v>15</v>
      </c>
      <c r="E4041" t="s">
        <v>23</v>
      </c>
      <c r="F4041" t="s">
        <v>40</v>
      </c>
      <c r="G4041" t="s">
        <v>8</v>
      </c>
      <c r="H4041">
        <v>171.81</v>
      </c>
    </row>
    <row r="4042" spans="1:8" x14ac:dyDescent="0.3">
      <c r="A4042">
        <v>202309</v>
      </c>
      <c r="B4042" s="1">
        <v>45170</v>
      </c>
      <c r="C4042">
        <v>2023</v>
      </c>
      <c r="D4042" t="s">
        <v>16</v>
      </c>
      <c r="E4042" t="s">
        <v>23</v>
      </c>
      <c r="F4042" t="s">
        <v>40</v>
      </c>
      <c r="G4042" t="s">
        <v>8</v>
      </c>
      <c r="H4042">
        <v>114.39</v>
      </c>
    </row>
    <row r="4043" spans="1:8" x14ac:dyDescent="0.3">
      <c r="A4043">
        <v>202310</v>
      </c>
      <c r="B4043" s="1">
        <v>45200</v>
      </c>
      <c r="C4043">
        <v>2023</v>
      </c>
      <c r="D4043" t="s">
        <v>17</v>
      </c>
      <c r="E4043" t="s">
        <v>23</v>
      </c>
      <c r="F4043" t="s">
        <v>40</v>
      </c>
      <c r="G4043" t="s">
        <v>8</v>
      </c>
      <c r="H4043">
        <v>155.16</v>
      </c>
    </row>
    <row r="4044" spans="1:8" x14ac:dyDescent="0.3">
      <c r="A4044">
        <v>202311</v>
      </c>
      <c r="B4044" s="1">
        <v>45231</v>
      </c>
      <c r="C4044">
        <v>2023</v>
      </c>
      <c r="D4044" t="s">
        <v>18</v>
      </c>
      <c r="E4044" t="s">
        <v>23</v>
      </c>
      <c r="F4044" t="s">
        <v>40</v>
      </c>
      <c r="G4044" t="s">
        <v>8</v>
      </c>
      <c r="H4044">
        <v>179.99</v>
      </c>
    </row>
    <row r="4045" spans="1:8" x14ac:dyDescent="0.3">
      <c r="A4045">
        <v>202312</v>
      </c>
      <c r="B4045" s="1">
        <v>45261</v>
      </c>
      <c r="C4045">
        <v>2023</v>
      </c>
      <c r="D4045" t="s">
        <v>19</v>
      </c>
      <c r="E4045" t="s">
        <v>23</v>
      </c>
      <c r="F4045" t="s">
        <v>40</v>
      </c>
      <c r="G4045" t="s">
        <v>8</v>
      </c>
      <c r="H4045">
        <v>85.68</v>
      </c>
    </row>
    <row r="4046" spans="1:8" x14ac:dyDescent="0.3">
      <c r="A4046">
        <v>202301</v>
      </c>
      <c r="B4046" s="1">
        <v>44927</v>
      </c>
      <c r="C4046">
        <v>2023</v>
      </c>
      <c r="D4046" t="s">
        <v>6</v>
      </c>
      <c r="E4046" t="s">
        <v>23</v>
      </c>
      <c r="F4046" t="s">
        <v>40</v>
      </c>
      <c r="G4046" t="s">
        <v>8</v>
      </c>
      <c r="H4046">
        <v>776.73</v>
      </c>
    </row>
    <row r="4047" spans="1:8" x14ac:dyDescent="0.3">
      <c r="A4047">
        <v>202302</v>
      </c>
      <c r="B4047" s="1">
        <v>44958</v>
      </c>
      <c r="C4047">
        <v>2023</v>
      </c>
      <c r="D4047" t="s">
        <v>9</v>
      </c>
      <c r="E4047" t="s">
        <v>23</v>
      </c>
      <c r="F4047" t="s">
        <v>40</v>
      </c>
      <c r="G4047" t="s">
        <v>8</v>
      </c>
      <c r="H4047">
        <v>658.58</v>
      </c>
    </row>
    <row r="4048" spans="1:8" x14ac:dyDescent="0.3">
      <c r="A4048">
        <v>202303</v>
      </c>
      <c r="B4048" s="1">
        <v>44986</v>
      </c>
      <c r="C4048">
        <v>2023</v>
      </c>
      <c r="D4048" t="s">
        <v>10</v>
      </c>
      <c r="E4048" t="s">
        <v>23</v>
      </c>
      <c r="F4048" t="s">
        <v>40</v>
      </c>
      <c r="G4048" t="s">
        <v>8</v>
      </c>
      <c r="H4048">
        <v>722.73</v>
      </c>
    </row>
    <row r="4049" spans="1:8" x14ac:dyDescent="0.3">
      <c r="A4049">
        <v>202304</v>
      </c>
      <c r="B4049" s="1">
        <v>45017</v>
      </c>
      <c r="C4049">
        <v>2023</v>
      </c>
      <c r="D4049" t="s">
        <v>11</v>
      </c>
      <c r="E4049" t="s">
        <v>23</v>
      </c>
      <c r="F4049" t="s">
        <v>40</v>
      </c>
      <c r="G4049" t="s">
        <v>8</v>
      </c>
      <c r="H4049">
        <v>1545.82</v>
      </c>
    </row>
    <row r="4050" spans="1:8" x14ac:dyDescent="0.3">
      <c r="A4050">
        <v>202305</v>
      </c>
      <c r="B4050" s="1">
        <v>45047</v>
      </c>
      <c r="C4050">
        <v>2023</v>
      </c>
      <c r="D4050" t="s">
        <v>12</v>
      </c>
      <c r="E4050" t="s">
        <v>23</v>
      </c>
      <c r="F4050" t="s">
        <v>40</v>
      </c>
      <c r="G4050" t="s">
        <v>8</v>
      </c>
      <c r="H4050">
        <v>1415.53</v>
      </c>
    </row>
    <row r="4051" spans="1:8" x14ac:dyDescent="0.3">
      <c r="A4051">
        <v>202306</v>
      </c>
      <c r="B4051" s="1">
        <v>45078</v>
      </c>
      <c r="C4051">
        <v>2023</v>
      </c>
      <c r="D4051" t="s">
        <v>13</v>
      </c>
      <c r="E4051" t="s">
        <v>23</v>
      </c>
      <c r="F4051" t="s">
        <v>40</v>
      </c>
      <c r="G4051" t="s">
        <v>8</v>
      </c>
      <c r="H4051">
        <v>786.6</v>
      </c>
    </row>
    <row r="4052" spans="1:8" x14ac:dyDescent="0.3">
      <c r="A4052">
        <v>202307</v>
      </c>
      <c r="B4052" s="1">
        <v>45108</v>
      </c>
      <c r="C4052">
        <v>2023</v>
      </c>
      <c r="D4052" t="s">
        <v>14</v>
      </c>
      <c r="E4052" t="s">
        <v>23</v>
      </c>
      <c r="F4052" t="s">
        <v>40</v>
      </c>
      <c r="G4052" t="s">
        <v>8</v>
      </c>
      <c r="H4052">
        <v>1140.48</v>
      </c>
    </row>
    <row r="4053" spans="1:8" x14ac:dyDescent="0.3">
      <c r="A4053">
        <v>202308</v>
      </c>
      <c r="B4053" s="1">
        <v>45139</v>
      </c>
      <c r="C4053">
        <v>2023</v>
      </c>
      <c r="D4053" t="s">
        <v>15</v>
      </c>
      <c r="E4053" t="s">
        <v>23</v>
      </c>
      <c r="F4053" t="s">
        <v>40</v>
      </c>
      <c r="G4053" t="s">
        <v>8</v>
      </c>
      <c r="H4053">
        <v>1324.66</v>
      </c>
    </row>
    <row r="4054" spans="1:8" x14ac:dyDescent="0.3">
      <c r="A4054">
        <v>202309</v>
      </c>
      <c r="B4054" s="1">
        <v>45170</v>
      </c>
      <c r="C4054">
        <v>2023</v>
      </c>
      <c r="D4054" t="s">
        <v>16</v>
      </c>
      <c r="E4054" t="s">
        <v>23</v>
      </c>
      <c r="F4054" t="s">
        <v>40</v>
      </c>
      <c r="G4054" t="s">
        <v>8</v>
      </c>
      <c r="H4054">
        <v>686.55</v>
      </c>
    </row>
    <row r="4055" spans="1:8" x14ac:dyDescent="0.3">
      <c r="A4055">
        <v>202310</v>
      </c>
      <c r="B4055" s="1">
        <v>45200</v>
      </c>
      <c r="C4055">
        <v>2023</v>
      </c>
      <c r="D4055" t="s">
        <v>17</v>
      </c>
      <c r="E4055" t="s">
        <v>23</v>
      </c>
      <c r="F4055" t="s">
        <v>40</v>
      </c>
      <c r="G4055" t="s">
        <v>8</v>
      </c>
      <c r="H4055">
        <v>1059.02</v>
      </c>
    </row>
    <row r="4056" spans="1:8" x14ac:dyDescent="0.3">
      <c r="A4056">
        <v>202311</v>
      </c>
      <c r="B4056" s="1">
        <v>45231</v>
      </c>
      <c r="C4056">
        <v>2023</v>
      </c>
      <c r="D4056" t="s">
        <v>18</v>
      </c>
      <c r="E4056" t="s">
        <v>23</v>
      </c>
      <c r="F4056" t="s">
        <v>40</v>
      </c>
      <c r="G4056" t="s">
        <v>8</v>
      </c>
      <c r="H4056">
        <v>1162.3900000000001</v>
      </c>
    </row>
    <row r="4057" spans="1:8" x14ac:dyDescent="0.3">
      <c r="A4057">
        <v>202312</v>
      </c>
      <c r="B4057" s="1">
        <v>45261</v>
      </c>
      <c r="C4057">
        <v>2023</v>
      </c>
      <c r="D4057" t="s">
        <v>19</v>
      </c>
      <c r="E4057" t="s">
        <v>23</v>
      </c>
      <c r="F4057" t="s">
        <v>40</v>
      </c>
      <c r="G4057" t="s">
        <v>8</v>
      </c>
      <c r="H4057">
        <v>445.04</v>
      </c>
    </row>
    <row r="4058" spans="1:8" x14ac:dyDescent="0.3">
      <c r="A4058">
        <v>202301</v>
      </c>
      <c r="B4058" s="1">
        <v>44927</v>
      </c>
      <c r="C4058">
        <v>2023</v>
      </c>
      <c r="D4058" t="s">
        <v>6</v>
      </c>
      <c r="E4058" t="s">
        <v>23</v>
      </c>
      <c r="F4058" t="s">
        <v>40</v>
      </c>
      <c r="G4058" t="s">
        <v>8</v>
      </c>
      <c r="H4058">
        <v>226.2</v>
      </c>
    </row>
    <row r="4059" spans="1:8" x14ac:dyDescent="0.3">
      <c r="A4059">
        <v>202302</v>
      </c>
      <c r="B4059" s="1">
        <v>44958</v>
      </c>
      <c r="C4059">
        <v>2023</v>
      </c>
      <c r="D4059" t="s">
        <v>9</v>
      </c>
      <c r="E4059" t="s">
        <v>23</v>
      </c>
      <c r="F4059" t="s">
        <v>40</v>
      </c>
      <c r="G4059" t="s">
        <v>8</v>
      </c>
      <c r="H4059">
        <v>136.69</v>
      </c>
    </row>
    <row r="4060" spans="1:8" x14ac:dyDescent="0.3">
      <c r="A4060">
        <v>202303</v>
      </c>
      <c r="B4060" s="1">
        <v>44986</v>
      </c>
      <c r="C4060">
        <v>2023</v>
      </c>
      <c r="D4060" t="s">
        <v>10</v>
      </c>
      <c r="E4060" t="s">
        <v>23</v>
      </c>
      <c r="F4060" t="s">
        <v>40</v>
      </c>
      <c r="G4060" t="s">
        <v>8</v>
      </c>
      <c r="H4060">
        <v>221.1</v>
      </c>
    </row>
    <row r="4061" spans="1:8" x14ac:dyDescent="0.3">
      <c r="A4061">
        <v>202304</v>
      </c>
      <c r="B4061" s="1">
        <v>45017</v>
      </c>
      <c r="C4061">
        <v>2023</v>
      </c>
      <c r="D4061" t="s">
        <v>11</v>
      </c>
      <c r="E4061" t="s">
        <v>23</v>
      </c>
      <c r="F4061" t="s">
        <v>40</v>
      </c>
      <c r="G4061" t="s">
        <v>8</v>
      </c>
      <c r="H4061">
        <v>325.01</v>
      </c>
    </row>
    <row r="4062" spans="1:8" x14ac:dyDescent="0.3">
      <c r="A4062">
        <v>202305</v>
      </c>
      <c r="B4062" s="1">
        <v>45047</v>
      </c>
      <c r="C4062">
        <v>2023</v>
      </c>
      <c r="D4062" t="s">
        <v>12</v>
      </c>
      <c r="E4062" t="s">
        <v>23</v>
      </c>
      <c r="F4062" t="s">
        <v>40</v>
      </c>
      <c r="G4062" t="s">
        <v>8</v>
      </c>
      <c r="H4062">
        <v>202.53</v>
      </c>
    </row>
    <row r="4063" spans="1:8" x14ac:dyDescent="0.3">
      <c r="A4063">
        <v>202306</v>
      </c>
      <c r="B4063" s="1">
        <v>45078</v>
      </c>
      <c r="C4063">
        <v>2023</v>
      </c>
      <c r="D4063" t="s">
        <v>13</v>
      </c>
      <c r="E4063" t="s">
        <v>23</v>
      </c>
      <c r="F4063" t="s">
        <v>40</v>
      </c>
      <c r="G4063" t="s">
        <v>8</v>
      </c>
      <c r="H4063">
        <v>318.01</v>
      </c>
    </row>
    <row r="4064" spans="1:8" x14ac:dyDescent="0.3">
      <c r="A4064">
        <v>202307</v>
      </c>
      <c r="B4064" s="1">
        <v>45108</v>
      </c>
      <c r="C4064">
        <v>2023</v>
      </c>
      <c r="D4064" t="s">
        <v>14</v>
      </c>
      <c r="E4064" t="s">
        <v>23</v>
      </c>
      <c r="F4064" t="s">
        <v>40</v>
      </c>
      <c r="G4064" t="s">
        <v>8</v>
      </c>
      <c r="H4064">
        <v>236.81</v>
      </c>
    </row>
    <row r="4065" spans="1:8" x14ac:dyDescent="0.3">
      <c r="A4065">
        <v>202308</v>
      </c>
      <c r="B4065" s="1">
        <v>45139</v>
      </c>
      <c r="C4065">
        <v>2023</v>
      </c>
      <c r="D4065" t="s">
        <v>15</v>
      </c>
      <c r="E4065" t="s">
        <v>23</v>
      </c>
      <c r="F4065" t="s">
        <v>40</v>
      </c>
      <c r="G4065" t="s">
        <v>8</v>
      </c>
      <c r="H4065">
        <v>174.46</v>
      </c>
    </row>
    <row r="4066" spans="1:8" x14ac:dyDescent="0.3">
      <c r="A4066">
        <v>202309</v>
      </c>
      <c r="B4066" s="1">
        <v>45170</v>
      </c>
      <c r="C4066">
        <v>2023</v>
      </c>
      <c r="D4066" t="s">
        <v>16</v>
      </c>
      <c r="E4066" t="s">
        <v>23</v>
      </c>
      <c r="F4066" t="s">
        <v>40</v>
      </c>
      <c r="G4066" t="s">
        <v>8</v>
      </c>
      <c r="H4066">
        <v>199.57</v>
      </c>
    </row>
    <row r="4067" spans="1:8" x14ac:dyDescent="0.3">
      <c r="A4067">
        <v>202310</v>
      </c>
      <c r="B4067" s="1">
        <v>45200</v>
      </c>
      <c r="C4067">
        <v>2023</v>
      </c>
      <c r="D4067" t="s">
        <v>17</v>
      </c>
      <c r="E4067" t="s">
        <v>23</v>
      </c>
      <c r="F4067" t="s">
        <v>40</v>
      </c>
      <c r="G4067" t="s">
        <v>8</v>
      </c>
      <c r="H4067">
        <v>321.54000000000002</v>
      </c>
    </row>
    <row r="4068" spans="1:8" x14ac:dyDescent="0.3">
      <c r="A4068">
        <v>202311</v>
      </c>
      <c r="B4068" s="1">
        <v>45231</v>
      </c>
      <c r="C4068">
        <v>2023</v>
      </c>
      <c r="D4068" t="s">
        <v>18</v>
      </c>
      <c r="E4068" t="s">
        <v>23</v>
      </c>
      <c r="F4068" t="s">
        <v>40</v>
      </c>
      <c r="G4068" t="s">
        <v>8</v>
      </c>
      <c r="H4068">
        <v>195.77</v>
      </c>
    </row>
    <row r="4069" spans="1:8" x14ac:dyDescent="0.3">
      <c r="A4069">
        <v>202312</v>
      </c>
      <c r="B4069" s="1">
        <v>45261</v>
      </c>
      <c r="C4069">
        <v>2023</v>
      </c>
      <c r="D4069" t="s">
        <v>19</v>
      </c>
      <c r="E4069" t="s">
        <v>23</v>
      </c>
      <c r="F4069" t="s">
        <v>40</v>
      </c>
      <c r="G4069" t="s">
        <v>8</v>
      </c>
      <c r="H4069">
        <v>239.64</v>
      </c>
    </row>
    <row r="4070" spans="1:8" x14ac:dyDescent="0.3">
      <c r="A4070">
        <v>202301</v>
      </c>
      <c r="B4070" s="1">
        <v>44927</v>
      </c>
      <c r="C4070">
        <v>2023</v>
      </c>
      <c r="D4070" t="s">
        <v>6</v>
      </c>
      <c r="E4070" t="s">
        <v>24</v>
      </c>
      <c r="F4070" t="s">
        <v>40</v>
      </c>
      <c r="G4070" t="s">
        <v>8</v>
      </c>
      <c r="H4070">
        <v>1967.72</v>
      </c>
    </row>
    <row r="4071" spans="1:8" x14ac:dyDescent="0.3">
      <c r="A4071">
        <v>202302</v>
      </c>
      <c r="B4071" s="1">
        <v>44958</v>
      </c>
      <c r="C4071">
        <v>2023</v>
      </c>
      <c r="D4071" t="s">
        <v>9</v>
      </c>
      <c r="E4071" t="s">
        <v>24</v>
      </c>
      <c r="F4071" t="s">
        <v>40</v>
      </c>
      <c r="G4071" t="s">
        <v>8</v>
      </c>
      <c r="H4071">
        <v>1111.4100000000001</v>
      </c>
    </row>
    <row r="4072" spans="1:8" x14ac:dyDescent="0.3">
      <c r="A4072">
        <v>202303</v>
      </c>
      <c r="B4072" s="1">
        <v>44986</v>
      </c>
      <c r="C4072">
        <v>2023</v>
      </c>
      <c r="D4072" t="s">
        <v>10</v>
      </c>
      <c r="E4072" t="s">
        <v>24</v>
      </c>
      <c r="F4072" t="s">
        <v>40</v>
      </c>
      <c r="G4072" t="s">
        <v>8</v>
      </c>
      <c r="H4072">
        <v>1551.56</v>
      </c>
    </row>
    <row r="4073" spans="1:8" x14ac:dyDescent="0.3">
      <c r="A4073">
        <v>202304</v>
      </c>
      <c r="B4073" s="1">
        <v>45017</v>
      </c>
      <c r="C4073">
        <v>2023</v>
      </c>
      <c r="D4073" t="s">
        <v>11</v>
      </c>
      <c r="E4073" t="s">
        <v>24</v>
      </c>
      <c r="F4073" t="s">
        <v>40</v>
      </c>
      <c r="G4073" t="s">
        <v>8</v>
      </c>
      <c r="H4073">
        <v>2595.52</v>
      </c>
    </row>
    <row r="4074" spans="1:8" x14ac:dyDescent="0.3">
      <c r="A4074">
        <v>202305</v>
      </c>
      <c r="B4074" s="1">
        <v>45047</v>
      </c>
      <c r="C4074">
        <v>2023</v>
      </c>
      <c r="D4074" t="s">
        <v>12</v>
      </c>
      <c r="E4074" t="s">
        <v>24</v>
      </c>
      <c r="F4074" t="s">
        <v>40</v>
      </c>
      <c r="G4074" t="s">
        <v>8</v>
      </c>
      <c r="H4074">
        <v>2106.13</v>
      </c>
    </row>
    <row r="4075" spans="1:8" x14ac:dyDescent="0.3">
      <c r="A4075">
        <v>202306</v>
      </c>
      <c r="B4075" s="1">
        <v>45078</v>
      </c>
      <c r="C4075">
        <v>2023</v>
      </c>
      <c r="D4075" t="s">
        <v>13</v>
      </c>
      <c r="E4075" t="s">
        <v>24</v>
      </c>
      <c r="F4075" t="s">
        <v>40</v>
      </c>
      <c r="G4075" t="s">
        <v>8</v>
      </c>
      <c r="H4075">
        <v>1430.4</v>
      </c>
    </row>
    <row r="4076" spans="1:8" x14ac:dyDescent="0.3">
      <c r="A4076">
        <v>202307</v>
      </c>
      <c r="B4076" s="1">
        <v>45108</v>
      </c>
      <c r="C4076">
        <v>2023</v>
      </c>
      <c r="D4076" t="s">
        <v>14</v>
      </c>
      <c r="E4076" t="s">
        <v>24</v>
      </c>
      <c r="F4076" t="s">
        <v>40</v>
      </c>
      <c r="G4076" t="s">
        <v>8</v>
      </c>
      <c r="H4076">
        <v>2077.7199999999998</v>
      </c>
    </row>
    <row r="4077" spans="1:8" x14ac:dyDescent="0.3">
      <c r="A4077">
        <v>202308</v>
      </c>
      <c r="B4077" s="1">
        <v>45139</v>
      </c>
      <c r="C4077">
        <v>2023</v>
      </c>
      <c r="D4077" t="s">
        <v>15</v>
      </c>
      <c r="E4077" t="s">
        <v>24</v>
      </c>
      <c r="F4077" t="s">
        <v>40</v>
      </c>
      <c r="G4077" t="s">
        <v>8</v>
      </c>
      <c r="H4077">
        <v>2005.93</v>
      </c>
    </row>
    <row r="4078" spans="1:8" x14ac:dyDescent="0.3">
      <c r="A4078">
        <v>202309</v>
      </c>
      <c r="B4078" s="1">
        <v>45170</v>
      </c>
      <c r="C4078">
        <v>2023</v>
      </c>
      <c r="D4078" t="s">
        <v>16</v>
      </c>
      <c r="E4078" t="s">
        <v>24</v>
      </c>
      <c r="F4078" t="s">
        <v>40</v>
      </c>
      <c r="G4078" t="s">
        <v>8</v>
      </c>
      <c r="H4078">
        <v>1289.46</v>
      </c>
    </row>
    <row r="4079" spans="1:8" x14ac:dyDescent="0.3">
      <c r="A4079">
        <v>202310</v>
      </c>
      <c r="B4079" s="1">
        <v>45200</v>
      </c>
      <c r="C4079">
        <v>2023</v>
      </c>
      <c r="D4079" t="s">
        <v>17</v>
      </c>
      <c r="E4079" t="s">
        <v>24</v>
      </c>
      <c r="F4079" t="s">
        <v>40</v>
      </c>
      <c r="G4079" t="s">
        <v>8</v>
      </c>
      <c r="H4079">
        <v>2100.09</v>
      </c>
    </row>
    <row r="4080" spans="1:8" x14ac:dyDescent="0.3">
      <c r="A4080">
        <v>202311</v>
      </c>
      <c r="B4080" s="1">
        <v>45231</v>
      </c>
      <c r="C4080">
        <v>2023</v>
      </c>
      <c r="D4080" t="s">
        <v>18</v>
      </c>
      <c r="E4080" t="s">
        <v>24</v>
      </c>
      <c r="F4080" t="s">
        <v>40</v>
      </c>
      <c r="G4080" t="s">
        <v>8</v>
      </c>
      <c r="H4080">
        <v>1875.81</v>
      </c>
    </row>
    <row r="4081" spans="1:8" x14ac:dyDescent="0.3">
      <c r="A4081">
        <v>202312</v>
      </c>
      <c r="B4081" s="1">
        <v>45261</v>
      </c>
      <c r="C4081">
        <v>2023</v>
      </c>
      <c r="D4081" t="s">
        <v>19</v>
      </c>
      <c r="E4081" t="s">
        <v>24</v>
      </c>
      <c r="F4081" t="s">
        <v>40</v>
      </c>
      <c r="G4081" t="s">
        <v>8</v>
      </c>
      <c r="H4081">
        <v>1398.69</v>
      </c>
    </row>
    <row r="4082" spans="1:8" x14ac:dyDescent="0.3">
      <c r="A4082">
        <v>202301</v>
      </c>
      <c r="B4082" s="1">
        <v>44927</v>
      </c>
      <c r="C4082">
        <v>2023</v>
      </c>
      <c r="D4082" t="s">
        <v>6</v>
      </c>
      <c r="E4082" t="s">
        <v>24</v>
      </c>
      <c r="F4082" t="s">
        <v>40</v>
      </c>
      <c r="G4082" t="s">
        <v>8</v>
      </c>
      <c r="H4082">
        <v>2782.69</v>
      </c>
    </row>
    <row r="4083" spans="1:8" x14ac:dyDescent="0.3">
      <c r="A4083">
        <v>202302</v>
      </c>
      <c r="B4083" s="1">
        <v>44958</v>
      </c>
      <c r="C4083">
        <v>2023</v>
      </c>
      <c r="D4083" t="s">
        <v>9</v>
      </c>
      <c r="E4083" t="s">
        <v>24</v>
      </c>
      <c r="F4083" t="s">
        <v>40</v>
      </c>
      <c r="G4083" t="s">
        <v>8</v>
      </c>
      <c r="H4083">
        <v>1405.67</v>
      </c>
    </row>
    <row r="4084" spans="1:8" x14ac:dyDescent="0.3">
      <c r="A4084">
        <v>202303</v>
      </c>
      <c r="B4084" s="1">
        <v>44986</v>
      </c>
      <c r="C4084">
        <v>2023</v>
      </c>
      <c r="D4084" t="s">
        <v>10</v>
      </c>
      <c r="E4084" t="s">
        <v>24</v>
      </c>
      <c r="F4084" t="s">
        <v>40</v>
      </c>
      <c r="G4084" t="s">
        <v>8</v>
      </c>
      <c r="H4084">
        <v>2322.6799999999998</v>
      </c>
    </row>
    <row r="4085" spans="1:8" x14ac:dyDescent="0.3">
      <c r="A4085">
        <v>202304</v>
      </c>
      <c r="B4085" s="1">
        <v>45017</v>
      </c>
      <c r="C4085">
        <v>2023</v>
      </c>
      <c r="D4085" t="s">
        <v>11</v>
      </c>
      <c r="E4085" t="s">
        <v>24</v>
      </c>
      <c r="F4085" t="s">
        <v>40</v>
      </c>
      <c r="G4085" t="s">
        <v>8</v>
      </c>
      <c r="H4085">
        <v>3297.63</v>
      </c>
    </row>
    <row r="4086" spans="1:8" x14ac:dyDescent="0.3">
      <c r="A4086">
        <v>202305</v>
      </c>
      <c r="B4086" s="1">
        <v>45047</v>
      </c>
      <c r="C4086">
        <v>2023</v>
      </c>
      <c r="D4086" t="s">
        <v>12</v>
      </c>
      <c r="E4086" t="s">
        <v>24</v>
      </c>
      <c r="F4086" t="s">
        <v>40</v>
      </c>
      <c r="G4086" t="s">
        <v>8</v>
      </c>
      <c r="H4086">
        <v>2939.39</v>
      </c>
    </row>
    <row r="4087" spans="1:8" x14ac:dyDescent="0.3">
      <c r="A4087">
        <v>202306</v>
      </c>
      <c r="B4087" s="1">
        <v>45078</v>
      </c>
      <c r="C4087">
        <v>2023</v>
      </c>
      <c r="D4087" t="s">
        <v>13</v>
      </c>
      <c r="E4087" t="s">
        <v>24</v>
      </c>
      <c r="F4087" t="s">
        <v>40</v>
      </c>
      <c r="G4087" t="s">
        <v>8</v>
      </c>
      <c r="H4087">
        <v>2640.54</v>
      </c>
    </row>
    <row r="4088" spans="1:8" x14ac:dyDescent="0.3">
      <c r="A4088">
        <v>202307</v>
      </c>
      <c r="B4088" s="1">
        <v>45108</v>
      </c>
      <c r="C4088">
        <v>2023</v>
      </c>
      <c r="D4088" t="s">
        <v>14</v>
      </c>
      <c r="E4088" t="s">
        <v>24</v>
      </c>
      <c r="F4088" t="s">
        <v>40</v>
      </c>
      <c r="G4088" t="s">
        <v>8</v>
      </c>
      <c r="H4088">
        <v>3070.51</v>
      </c>
    </row>
    <row r="4089" spans="1:8" x14ac:dyDescent="0.3">
      <c r="A4089">
        <v>202308</v>
      </c>
      <c r="B4089" s="1">
        <v>45139</v>
      </c>
      <c r="C4089">
        <v>2023</v>
      </c>
      <c r="D4089" t="s">
        <v>15</v>
      </c>
      <c r="E4089" t="s">
        <v>24</v>
      </c>
      <c r="F4089" t="s">
        <v>40</v>
      </c>
      <c r="G4089" t="s">
        <v>8</v>
      </c>
      <c r="H4089">
        <v>2200.9899999999998</v>
      </c>
    </row>
    <row r="4090" spans="1:8" x14ac:dyDescent="0.3">
      <c r="A4090">
        <v>202309</v>
      </c>
      <c r="B4090" s="1">
        <v>45170</v>
      </c>
      <c r="C4090">
        <v>2023</v>
      </c>
      <c r="D4090" t="s">
        <v>16</v>
      </c>
      <c r="E4090" t="s">
        <v>24</v>
      </c>
      <c r="F4090" t="s">
        <v>40</v>
      </c>
      <c r="G4090" t="s">
        <v>8</v>
      </c>
      <c r="H4090">
        <v>1794.53</v>
      </c>
    </row>
    <row r="4091" spans="1:8" x14ac:dyDescent="0.3">
      <c r="A4091">
        <v>202310</v>
      </c>
      <c r="B4091" s="1">
        <v>45200</v>
      </c>
      <c r="C4091">
        <v>2023</v>
      </c>
      <c r="D4091" t="s">
        <v>17</v>
      </c>
      <c r="E4091" t="s">
        <v>24</v>
      </c>
      <c r="F4091" t="s">
        <v>40</v>
      </c>
      <c r="G4091" t="s">
        <v>8</v>
      </c>
      <c r="H4091">
        <v>3022.91</v>
      </c>
    </row>
    <row r="4092" spans="1:8" x14ac:dyDescent="0.3">
      <c r="A4092">
        <v>202311</v>
      </c>
      <c r="B4092" s="1">
        <v>45231</v>
      </c>
      <c r="C4092">
        <v>2023</v>
      </c>
      <c r="D4092" t="s">
        <v>18</v>
      </c>
      <c r="E4092" t="s">
        <v>24</v>
      </c>
      <c r="F4092" t="s">
        <v>40</v>
      </c>
      <c r="G4092" t="s">
        <v>8</v>
      </c>
      <c r="H4092">
        <v>2242.67</v>
      </c>
    </row>
    <row r="4093" spans="1:8" x14ac:dyDescent="0.3">
      <c r="A4093">
        <v>202312</v>
      </c>
      <c r="B4093" s="1">
        <v>45261</v>
      </c>
      <c r="C4093">
        <v>2023</v>
      </c>
      <c r="D4093" t="s">
        <v>19</v>
      </c>
      <c r="E4093" t="s">
        <v>24</v>
      </c>
      <c r="F4093" t="s">
        <v>40</v>
      </c>
      <c r="G4093" t="s">
        <v>8</v>
      </c>
      <c r="H4093">
        <v>2045.69</v>
      </c>
    </row>
    <row r="4094" spans="1:8" x14ac:dyDescent="0.3">
      <c r="A4094">
        <v>202301</v>
      </c>
      <c r="B4094" s="1">
        <v>44927</v>
      </c>
      <c r="C4094">
        <v>2023</v>
      </c>
      <c r="D4094" t="s">
        <v>6</v>
      </c>
      <c r="E4094" t="s">
        <v>24</v>
      </c>
      <c r="F4094" t="s">
        <v>40</v>
      </c>
      <c r="G4094" t="s">
        <v>8</v>
      </c>
      <c r="H4094">
        <v>2974.62</v>
      </c>
    </row>
    <row r="4095" spans="1:8" x14ac:dyDescent="0.3">
      <c r="A4095">
        <v>202302</v>
      </c>
      <c r="B4095" s="1">
        <v>44958</v>
      </c>
      <c r="C4095">
        <v>2023</v>
      </c>
      <c r="D4095" t="s">
        <v>9</v>
      </c>
      <c r="E4095" t="s">
        <v>24</v>
      </c>
      <c r="F4095" t="s">
        <v>40</v>
      </c>
      <c r="G4095" t="s">
        <v>8</v>
      </c>
      <c r="H4095">
        <v>1618.83</v>
      </c>
    </row>
    <row r="4096" spans="1:8" x14ac:dyDescent="0.3">
      <c r="A4096">
        <v>202303</v>
      </c>
      <c r="B4096" s="1">
        <v>44986</v>
      </c>
      <c r="C4096">
        <v>2023</v>
      </c>
      <c r="D4096" t="s">
        <v>10</v>
      </c>
      <c r="E4096" t="s">
        <v>24</v>
      </c>
      <c r="F4096" t="s">
        <v>40</v>
      </c>
      <c r="G4096" t="s">
        <v>8</v>
      </c>
      <c r="H4096">
        <v>2085.19</v>
      </c>
    </row>
    <row r="4097" spans="1:8" x14ac:dyDescent="0.3">
      <c r="A4097">
        <v>202304</v>
      </c>
      <c r="B4097" s="1">
        <v>45017</v>
      </c>
      <c r="C4097">
        <v>2023</v>
      </c>
      <c r="D4097" t="s">
        <v>11</v>
      </c>
      <c r="E4097" t="s">
        <v>24</v>
      </c>
      <c r="F4097" t="s">
        <v>40</v>
      </c>
      <c r="G4097" t="s">
        <v>8</v>
      </c>
      <c r="H4097">
        <v>4314.74</v>
      </c>
    </row>
    <row r="4098" spans="1:8" x14ac:dyDescent="0.3">
      <c r="A4098">
        <v>202305</v>
      </c>
      <c r="B4098" s="1">
        <v>45047</v>
      </c>
      <c r="C4098">
        <v>2023</v>
      </c>
      <c r="D4098" t="s">
        <v>12</v>
      </c>
      <c r="E4098" t="s">
        <v>24</v>
      </c>
      <c r="F4098" t="s">
        <v>40</v>
      </c>
      <c r="G4098" t="s">
        <v>8</v>
      </c>
      <c r="H4098">
        <v>2832.34</v>
      </c>
    </row>
    <row r="4099" spans="1:8" x14ac:dyDescent="0.3">
      <c r="A4099">
        <v>202306</v>
      </c>
      <c r="B4099" s="1">
        <v>45078</v>
      </c>
      <c r="C4099">
        <v>2023</v>
      </c>
      <c r="D4099" t="s">
        <v>13</v>
      </c>
      <c r="E4099" t="s">
        <v>24</v>
      </c>
      <c r="F4099" t="s">
        <v>40</v>
      </c>
      <c r="G4099" t="s">
        <v>8</v>
      </c>
      <c r="H4099">
        <v>1982.61</v>
      </c>
    </row>
    <row r="4100" spans="1:8" x14ac:dyDescent="0.3">
      <c r="A4100">
        <v>202307</v>
      </c>
      <c r="B4100" s="1">
        <v>45108</v>
      </c>
      <c r="C4100">
        <v>2023</v>
      </c>
      <c r="D4100" t="s">
        <v>14</v>
      </c>
      <c r="E4100" t="s">
        <v>24</v>
      </c>
      <c r="F4100" t="s">
        <v>40</v>
      </c>
      <c r="G4100" t="s">
        <v>8</v>
      </c>
      <c r="H4100">
        <v>3221.14</v>
      </c>
    </row>
    <row r="4101" spans="1:8" x14ac:dyDescent="0.3">
      <c r="A4101">
        <v>202308</v>
      </c>
      <c r="B4101" s="1">
        <v>45139</v>
      </c>
      <c r="C4101">
        <v>2023</v>
      </c>
      <c r="D4101" t="s">
        <v>15</v>
      </c>
      <c r="E4101" t="s">
        <v>24</v>
      </c>
      <c r="F4101" t="s">
        <v>40</v>
      </c>
      <c r="G4101" t="s">
        <v>8</v>
      </c>
      <c r="H4101">
        <v>2674.56</v>
      </c>
    </row>
    <row r="4102" spans="1:8" x14ac:dyDescent="0.3">
      <c r="A4102">
        <v>202309</v>
      </c>
      <c r="B4102" s="1">
        <v>45170</v>
      </c>
      <c r="C4102">
        <v>2023</v>
      </c>
      <c r="D4102" t="s">
        <v>16</v>
      </c>
      <c r="E4102" t="s">
        <v>24</v>
      </c>
      <c r="F4102" t="s">
        <v>40</v>
      </c>
      <c r="G4102" t="s">
        <v>8</v>
      </c>
      <c r="H4102">
        <v>1816.6</v>
      </c>
    </row>
    <row r="4103" spans="1:8" x14ac:dyDescent="0.3">
      <c r="A4103">
        <v>202310</v>
      </c>
      <c r="B4103" s="1">
        <v>45200</v>
      </c>
      <c r="C4103">
        <v>2023</v>
      </c>
      <c r="D4103" t="s">
        <v>17</v>
      </c>
      <c r="E4103" t="s">
        <v>24</v>
      </c>
      <c r="F4103" t="s">
        <v>40</v>
      </c>
      <c r="G4103" t="s">
        <v>8</v>
      </c>
      <c r="H4103">
        <v>3649.7</v>
      </c>
    </row>
    <row r="4104" spans="1:8" x14ac:dyDescent="0.3">
      <c r="A4104">
        <v>202311</v>
      </c>
      <c r="B4104" s="1">
        <v>45231</v>
      </c>
      <c r="C4104">
        <v>2023</v>
      </c>
      <c r="D4104" t="s">
        <v>18</v>
      </c>
      <c r="E4104" t="s">
        <v>24</v>
      </c>
      <c r="F4104" t="s">
        <v>40</v>
      </c>
      <c r="G4104" t="s">
        <v>8</v>
      </c>
      <c r="H4104">
        <v>2843.78</v>
      </c>
    </row>
    <row r="4105" spans="1:8" x14ac:dyDescent="0.3">
      <c r="A4105">
        <v>202312</v>
      </c>
      <c r="B4105" s="1">
        <v>45261</v>
      </c>
      <c r="C4105">
        <v>2023</v>
      </c>
      <c r="D4105" t="s">
        <v>19</v>
      </c>
      <c r="E4105" t="s">
        <v>24</v>
      </c>
      <c r="F4105" t="s">
        <v>40</v>
      </c>
      <c r="G4105" t="s">
        <v>8</v>
      </c>
      <c r="H4105">
        <v>2463.0300000000002</v>
      </c>
    </row>
    <row r="4106" spans="1:8" x14ac:dyDescent="0.3">
      <c r="A4106">
        <v>202301</v>
      </c>
      <c r="B4106" s="1">
        <v>44927</v>
      </c>
      <c r="C4106">
        <v>2023</v>
      </c>
      <c r="D4106" t="s">
        <v>6</v>
      </c>
      <c r="E4106" t="s">
        <v>24</v>
      </c>
      <c r="F4106" t="s">
        <v>40</v>
      </c>
      <c r="G4106" t="s">
        <v>8</v>
      </c>
      <c r="H4106">
        <v>100.09</v>
      </c>
    </row>
    <row r="4107" spans="1:8" x14ac:dyDescent="0.3">
      <c r="A4107">
        <v>202302</v>
      </c>
      <c r="B4107" s="1">
        <v>44958</v>
      </c>
      <c r="C4107">
        <v>2023</v>
      </c>
      <c r="D4107" t="s">
        <v>9</v>
      </c>
      <c r="E4107" t="s">
        <v>24</v>
      </c>
      <c r="F4107" t="s">
        <v>40</v>
      </c>
      <c r="G4107" t="s">
        <v>8</v>
      </c>
      <c r="H4107">
        <v>49.91</v>
      </c>
    </row>
    <row r="4108" spans="1:8" x14ac:dyDescent="0.3">
      <c r="A4108">
        <v>202303</v>
      </c>
      <c r="B4108" s="1">
        <v>44986</v>
      </c>
      <c r="C4108">
        <v>2023</v>
      </c>
      <c r="D4108" t="s">
        <v>10</v>
      </c>
      <c r="E4108" t="s">
        <v>24</v>
      </c>
      <c r="F4108" t="s">
        <v>40</v>
      </c>
      <c r="G4108" t="s">
        <v>8</v>
      </c>
      <c r="H4108">
        <v>63.89</v>
      </c>
    </row>
    <row r="4109" spans="1:8" x14ac:dyDescent="0.3">
      <c r="A4109">
        <v>202304</v>
      </c>
      <c r="B4109" s="1">
        <v>45017</v>
      </c>
      <c r="C4109">
        <v>2023</v>
      </c>
      <c r="D4109" t="s">
        <v>11</v>
      </c>
      <c r="E4109" t="s">
        <v>24</v>
      </c>
      <c r="F4109" t="s">
        <v>40</v>
      </c>
      <c r="G4109" t="s">
        <v>8</v>
      </c>
      <c r="H4109">
        <v>166.73</v>
      </c>
    </row>
    <row r="4110" spans="1:8" x14ac:dyDescent="0.3">
      <c r="A4110">
        <v>202305</v>
      </c>
      <c r="B4110" s="1">
        <v>45047</v>
      </c>
      <c r="C4110">
        <v>2023</v>
      </c>
      <c r="D4110" t="s">
        <v>12</v>
      </c>
      <c r="E4110" t="s">
        <v>24</v>
      </c>
      <c r="F4110" t="s">
        <v>40</v>
      </c>
      <c r="G4110" t="s">
        <v>8</v>
      </c>
      <c r="H4110">
        <v>108.19</v>
      </c>
    </row>
    <row r="4111" spans="1:8" x14ac:dyDescent="0.3">
      <c r="A4111">
        <v>202306</v>
      </c>
      <c r="B4111" s="1">
        <v>45078</v>
      </c>
      <c r="C4111">
        <v>2023</v>
      </c>
      <c r="D4111" t="s">
        <v>13</v>
      </c>
      <c r="E4111" t="s">
        <v>24</v>
      </c>
      <c r="F4111" t="s">
        <v>40</v>
      </c>
      <c r="G4111" t="s">
        <v>8</v>
      </c>
      <c r="H4111">
        <v>76.989999999999995</v>
      </c>
    </row>
    <row r="4112" spans="1:8" x14ac:dyDescent="0.3">
      <c r="A4112">
        <v>202307</v>
      </c>
      <c r="B4112" s="1">
        <v>45108</v>
      </c>
      <c r="C4112">
        <v>2023</v>
      </c>
      <c r="D4112" t="s">
        <v>14</v>
      </c>
      <c r="E4112" t="s">
        <v>24</v>
      </c>
      <c r="F4112" t="s">
        <v>40</v>
      </c>
      <c r="G4112" t="s">
        <v>8</v>
      </c>
      <c r="H4112">
        <v>140.56</v>
      </c>
    </row>
    <row r="4113" spans="1:8" x14ac:dyDescent="0.3">
      <c r="A4113">
        <v>202308</v>
      </c>
      <c r="B4113" s="1">
        <v>45139</v>
      </c>
      <c r="C4113">
        <v>2023</v>
      </c>
      <c r="D4113" t="s">
        <v>15</v>
      </c>
      <c r="E4113" t="s">
        <v>24</v>
      </c>
      <c r="F4113" t="s">
        <v>40</v>
      </c>
      <c r="G4113" t="s">
        <v>8</v>
      </c>
      <c r="H4113">
        <v>94.2</v>
      </c>
    </row>
    <row r="4114" spans="1:8" x14ac:dyDescent="0.3">
      <c r="A4114">
        <v>202309</v>
      </c>
      <c r="B4114" s="1">
        <v>45170</v>
      </c>
      <c r="C4114">
        <v>2023</v>
      </c>
      <c r="D4114" t="s">
        <v>16</v>
      </c>
      <c r="E4114" t="s">
        <v>24</v>
      </c>
      <c r="F4114" t="s">
        <v>40</v>
      </c>
      <c r="G4114" t="s">
        <v>8</v>
      </c>
      <c r="H4114">
        <v>107.9</v>
      </c>
    </row>
    <row r="4115" spans="1:8" x14ac:dyDescent="0.3">
      <c r="A4115">
        <v>202310</v>
      </c>
      <c r="B4115" s="1">
        <v>45200</v>
      </c>
      <c r="C4115">
        <v>2023</v>
      </c>
      <c r="D4115" t="s">
        <v>17</v>
      </c>
      <c r="E4115" t="s">
        <v>24</v>
      </c>
      <c r="F4115" t="s">
        <v>40</v>
      </c>
      <c r="G4115" t="s">
        <v>8</v>
      </c>
      <c r="H4115">
        <v>121.12</v>
      </c>
    </row>
    <row r="4116" spans="1:8" x14ac:dyDescent="0.3">
      <c r="A4116">
        <v>202311</v>
      </c>
      <c r="B4116" s="1">
        <v>45231</v>
      </c>
      <c r="C4116">
        <v>2023</v>
      </c>
      <c r="D4116" t="s">
        <v>18</v>
      </c>
      <c r="E4116" t="s">
        <v>24</v>
      </c>
      <c r="F4116" t="s">
        <v>40</v>
      </c>
      <c r="G4116" t="s">
        <v>8</v>
      </c>
      <c r="H4116">
        <v>80.209999999999994</v>
      </c>
    </row>
    <row r="4117" spans="1:8" x14ac:dyDescent="0.3">
      <c r="A4117">
        <v>202312</v>
      </c>
      <c r="B4117" s="1">
        <v>45261</v>
      </c>
      <c r="C4117">
        <v>2023</v>
      </c>
      <c r="D4117" t="s">
        <v>19</v>
      </c>
      <c r="E4117" t="s">
        <v>24</v>
      </c>
      <c r="F4117" t="s">
        <v>40</v>
      </c>
      <c r="G4117" t="s">
        <v>8</v>
      </c>
      <c r="H4117">
        <v>123.12</v>
      </c>
    </row>
    <row r="4118" spans="1:8" x14ac:dyDescent="0.3">
      <c r="A4118">
        <v>202301</v>
      </c>
      <c r="B4118" s="1">
        <v>44927</v>
      </c>
      <c r="C4118">
        <v>2023</v>
      </c>
      <c r="D4118" t="s">
        <v>6</v>
      </c>
      <c r="E4118" t="s">
        <v>24</v>
      </c>
      <c r="F4118" t="s">
        <v>40</v>
      </c>
      <c r="G4118" t="s">
        <v>8</v>
      </c>
      <c r="H4118">
        <v>706.69</v>
      </c>
    </row>
    <row r="4119" spans="1:8" x14ac:dyDescent="0.3">
      <c r="A4119">
        <v>202302</v>
      </c>
      <c r="B4119" s="1">
        <v>44958</v>
      </c>
      <c r="C4119">
        <v>2023</v>
      </c>
      <c r="D4119" t="s">
        <v>9</v>
      </c>
      <c r="E4119" t="s">
        <v>24</v>
      </c>
      <c r="F4119" t="s">
        <v>40</v>
      </c>
      <c r="G4119" t="s">
        <v>8</v>
      </c>
      <c r="H4119">
        <v>357.89</v>
      </c>
    </row>
    <row r="4120" spans="1:8" x14ac:dyDescent="0.3">
      <c r="A4120">
        <v>202303</v>
      </c>
      <c r="B4120" s="1">
        <v>44986</v>
      </c>
      <c r="C4120">
        <v>2023</v>
      </c>
      <c r="D4120" t="s">
        <v>10</v>
      </c>
      <c r="E4120" t="s">
        <v>24</v>
      </c>
      <c r="F4120" t="s">
        <v>40</v>
      </c>
      <c r="G4120" t="s">
        <v>8</v>
      </c>
      <c r="H4120">
        <v>456.98</v>
      </c>
    </row>
    <row r="4121" spans="1:8" x14ac:dyDescent="0.3">
      <c r="A4121">
        <v>202304</v>
      </c>
      <c r="B4121" s="1">
        <v>45017</v>
      </c>
      <c r="C4121">
        <v>2023</v>
      </c>
      <c r="D4121" t="s">
        <v>11</v>
      </c>
      <c r="E4121" t="s">
        <v>24</v>
      </c>
      <c r="F4121" t="s">
        <v>40</v>
      </c>
      <c r="G4121" t="s">
        <v>8</v>
      </c>
      <c r="H4121">
        <v>955.85</v>
      </c>
    </row>
    <row r="4122" spans="1:8" x14ac:dyDescent="0.3">
      <c r="A4122">
        <v>202305</v>
      </c>
      <c r="B4122" s="1">
        <v>45047</v>
      </c>
      <c r="C4122">
        <v>2023</v>
      </c>
      <c r="D4122" t="s">
        <v>12</v>
      </c>
      <c r="E4122" t="s">
        <v>24</v>
      </c>
      <c r="F4122" t="s">
        <v>40</v>
      </c>
      <c r="G4122" t="s">
        <v>8</v>
      </c>
      <c r="H4122">
        <v>546.92999999999995</v>
      </c>
    </row>
    <row r="4123" spans="1:8" x14ac:dyDescent="0.3">
      <c r="A4123">
        <v>202306</v>
      </c>
      <c r="B4123" s="1">
        <v>45078</v>
      </c>
      <c r="C4123">
        <v>2023</v>
      </c>
      <c r="D4123" t="s">
        <v>13</v>
      </c>
      <c r="E4123" t="s">
        <v>24</v>
      </c>
      <c r="F4123" t="s">
        <v>40</v>
      </c>
      <c r="G4123" t="s">
        <v>8</v>
      </c>
      <c r="H4123">
        <v>480.09</v>
      </c>
    </row>
    <row r="4124" spans="1:8" x14ac:dyDescent="0.3">
      <c r="A4124">
        <v>202307</v>
      </c>
      <c r="B4124" s="1">
        <v>45108</v>
      </c>
      <c r="C4124">
        <v>2023</v>
      </c>
      <c r="D4124" t="s">
        <v>14</v>
      </c>
      <c r="E4124" t="s">
        <v>24</v>
      </c>
      <c r="F4124" t="s">
        <v>40</v>
      </c>
      <c r="G4124" t="s">
        <v>8</v>
      </c>
      <c r="H4124">
        <v>720.17</v>
      </c>
    </row>
    <row r="4125" spans="1:8" x14ac:dyDescent="0.3">
      <c r="A4125">
        <v>202308</v>
      </c>
      <c r="B4125" s="1">
        <v>45139</v>
      </c>
      <c r="C4125">
        <v>2023</v>
      </c>
      <c r="D4125" t="s">
        <v>15</v>
      </c>
      <c r="E4125" t="s">
        <v>24</v>
      </c>
      <c r="F4125" t="s">
        <v>40</v>
      </c>
      <c r="G4125" t="s">
        <v>8</v>
      </c>
      <c r="H4125">
        <v>550.42999999999995</v>
      </c>
    </row>
    <row r="4126" spans="1:8" x14ac:dyDescent="0.3">
      <c r="A4126">
        <v>202309</v>
      </c>
      <c r="B4126" s="1">
        <v>45170</v>
      </c>
      <c r="C4126">
        <v>2023</v>
      </c>
      <c r="D4126" t="s">
        <v>16</v>
      </c>
      <c r="E4126" t="s">
        <v>24</v>
      </c>
      <c r="F4126" t="s">
        <v>40</v>
      </c>
      <c r="G4126" t="s">
        <v>8</v>
      </c>
      <c r="H4126">
        <v>457.39</v>
      </c>
    </row>
    <row r="4127" spans="1:8" x14ac:dyDescent="0.3">
      <c r="A4127">
        <v>202310</v>
      </c>
      <c r="B4127" s="1">
        <v>45200</v>
      </c>
      <c r="C4127">
        <v>2023</v>
      </c>
      <c r="D4127" t="s">
        <v>17</v>
      </c>
      <c r="E4127" t="s">
        <v>24</v>
      </c>
      <c r="F4127" t="s">
        <v>40</v>
      </c>
      <c r="G4127" t="s">
        <v>8</v>
      </c>
      <c r="H4127">
        <v>964.04</v>
      </c>
    </row>
    <row r="4128" spans="1:8" x14ac:dyDescent="0.3">
      <c r="A4128">
        <v>202311</v>
      </c>
      <c r="B4128" s="1">
        <v>45231</v>
      </c>
      <c r="C4128">
        <v>2023</v>
      </c>
      <c r="D4128" t="s">
        <v>18</v>
      </c>
      <c r="E4128" t="s">
        <v>24</v>
      </c>
      <c r="F4128" t="s">
        <v>40</v>
      </c>
      <c r="G4128" t="s">
        <v>8</v>
      </c>
      <c r="H4128">
        <v>565.76</v>
      </c>
    </row>
    <row r="4129" spans="1:8" x14ac:dyDescent="0.3">
      <c r="A4129">
        <v>202312</v>
      </c>
      <c r="B4129" s="1">
        <v>45261</v>
      </c>
      <c r="C4129">
        <v>2023</v>
      </c>
      <c r="D4129" t="s">
        <v>19</v>
      </c>
      <c r="E4129" t="s">
        <v>24</v>
      </c>
      <c r="F4129" t="s">
        <v>40</v>
      </c>
      <c r="G4129" t="s">
        <v>8</v>
      </c>
      <c r="H4129">
        <v>549.77</v>
      </c>
    </row>
    <row r="4130" spans="1:8" x14ac:dyDescent="0.3">
      <c r="A4130">
        <v>202301</v>
      </c>
      <c r="B4130" s="1">
        <v>44927</v>
      </c>
      <c r="C4130">
        <v>2023</v>
      </c>
      <c r="D4130" t="s">
        <v>6</v>
      </c>
      <c r="E4130" t="s">
        <v>24</v>
      </c>
      <c r="F4130" t="s">
        <v>40</v>
      </c>
      <c r="G4130" t="s">
        <v>8</v>
      </c>
      <c r="H4130">
        <v>539.51</v>
      </c>
    </row>
    <row r="4131" spans="1:8" x14ac:dyDescent="0.3">
      <c r="A4131">
        <v>202302</v>
      </c>
      <c r="B4131" s="1">
        <v>44958</v>
      </c>
      <c r="C4131">
        <v>2023</v>
      </c>
      <c r="D4131" t="s">
        <v>9</v>
      </c>
      <c r="E4131" t="s">
        <v>24</v>
      </c>
      <c r="F4131" t="s">
        <v>40</v>
      </c>
      <c r="G4131" t="s">
        <v>8</v>
      </c>
      <c r="H4131">
        <v>288.75</v>
      </c>
    </row>
    <row r="4132" spans="1:8" x14ac:dyDescent="0.3">
      <c r="A4132">
        <v>202303</v>
      </c>
      <c r="B4132" s="1">
        <v>44986</v>
      </c>
      <c r="C4132">
        <v>2023</v>
      </c>
      <c r="D4132" t="s">
        <v>10</v>
      </c>
      <c r="E4132" t="s">
        <v>24</v>
      </c>
      <c r="F4132" t="s">
        <v>40</v>
      </c>
      <c r="G4132" t="s">
        <v>8</v>
      </c>
      <c r="H4132">
        <v>401.48</v>
      </c>
    </row>
    <row r="4133" spans="1:8" x14ac:dyDescent="0.3">
      <c r="A4133">
        <v>202304</v>
      </c>
      <c r="B4133" s="1">
        <v>45017</v>
      </c>
      <c r="C4133">
        <v>2023</v>
      </c>
      <c r="D4133" t="s">
        <v>11</v>
      </c>
      <c r="E4133" t="s">
        <v>24</v>
      </c>
      <c r="F4133" t="s">
        <v>40</v>
      </c>
      <c r="G4133" t="s">
        <v>8</v>
      </c>
      <c r="H4133">
        <v>626.98</v>
      </c>
    </row>
    <row r="4134" spans="1:8" x14ac:dyDescent="0.3">
      <c r="A4134">
        <v>202305</v>
      </c>
      <c r="B4134" s="1">
        <v>45047</v>
      </c>
      <c r="C4134">
        <v>2023</v>
      </c>
      <c r="D4134" t="s">
        <v>12</v>
      </c>
      <c r="E4134" t="s">
        <v>24</v>
      </c>
      <c r="F4134" t="s">
        <v>40</v>
      </c>
      <c r="G4134" t="s">
        <v>8</v>
      </c>
      <c r="H4134">
        <v>499.35</v>
      </c>
    </row>
    <row r="4135" spans="1:8" x14ac:dyDescent="0.3">
      <c r="A4135">
        <v>202306</v>
      </c>
      <c r="B4135" s="1">
        <v>45078</v>
      </c>
      <c r="C4135">
        <v>2023</v>
      </c>
      <c r="D4135" t="s">
        <v>13</v>
      </c>
      <c r="E4135" t="s">
        <v>24</v>
      </c>
      <c r="F4135" t="s">
        <v>40</v>
      </c>
      <c r="G4135" t="s">
        <v>8</v>
      </c>
      <c r="H4135">
        <v>398.38</v>
      </c>
    </row>
    <row r="4136" spans="1:8" x14ac:dyDescent="0.3">
      <c r="A4136">
        <v>202307</v>
      </c>
      <c r="B4136" s="1">
        <v>45108</v>
      </c>
      <c r="C4136">
        <v>2023</v>
      </c>
      <c r="D4136" t="s">
        <v>14</v>
      </c>
      <c r="E4136" t="s">
        <v>24</v>
      </c>
      <c r="F4136" t="s">
        <v>40</v>
      </c>
      <c r="G4136" t="s">
        <v>8</v>
      </c>
      <c r="H4136">
        <v>575.99</v>
      </c>
    </row>
    <row r="4137" spans="1:8" x14ac:dyDescent="0.3">
      <c r="A4137">
        <v>202308</v>
      </c>
      <c r="B4137" s="1">
        <v>45139</v>
      </c>
      <c r="C4137">
        <v>2023</v>
      </c>
      <c r="D4137" t="s">
        <v>15</v>
      </c>
      <c r="E4137" t="s">
        <v>24</v>
      </c>
      <c r="F4137" t="s">
        <v>40</v>
      </c>
      <c r="G4137" t="s">
        <v>8</v>
      </c>
      <c r="H4137">
        <v>473.31</v>
      </c>
    </row>
    <row r="4138" spans="1:8" x14ac:dyDescent="0.3">
      <c r="A4138">
        <v>202309</v>
      </c>
      <c r="B4138" s="1">
        <v>45170</v>
      </c>
      <c r="C4138">
        <v>2023</v>
      </c>
      <c r="D4138" t="s">
        <v>16</v>
      </c>
      <c r="E4138" t="s">
        <v>24</v>
      </c>
      <c r="F4138" t="s">
        <v>40</v>
      </c>
      <c r="G4138" t="s">
        <v>8</v>
      </c>
      <c r="H4138">
        <v>427.38</v>
      </c>
    </row>
    <row r="4139" spans="1:8" x14ac:dyDescent="0.3">
      <c r="A4139">
        <v>202310</v>
      </c>
      <c r="B4139" s="1">
        <v>45200</v>
      </c>
      <c r="C4139">
        <v>2023</v>
      </c>
      <c r="D4139" t="s">
        <v>17</v>
      </c>
      <c r="E4139" t="s">
        <v>24</v>
      </c>
      <c r="F4139" t="s">
        <v>40</v>
      </c>
      <c r="G4139" t="s">
        <v>8</v>
      </c>
      <c r="H4139">
        <v>607.72</v>
      </c>
    </row>
    <row r="4140" spans="1:8" x14ac:dyDescent="0.3">
      <c r="A4140">
        <v>202311</v>
      </c>
      <c r="B4140" s="1">
        <v>45231</v>
      </c>
      <c r="C4140">
        <v>2023</v>
      </c>
      <c r="D4140" t="s">
        <v>18</v>
      </c>
      <c r="E4140" t="s">
        <v>24</v>
      </c>
      <c r="F4140" t="s">
        <v>40</v>
      </c>
      <c r="G4140" t="s">
        <v>8</v>
      </c>
      <c r="H4140">
        <v>494.5</v>
      </c>
    </row>
    <row r="4141" spans="1:8" x14ac:dyDescent="0.3">
      <c r="A4141">
        <v>202312</v>
      </c>
      <c r="B4141" s="1">
        <v>45261</v>
      </c>
      <c r="C4141">
        <v>2023</v>
      </c>
      <c r="D4141" t="s">
        <v>19</v>
      </c>
      <c r="E4141" t="s">
        <v>24</v>
      </c>
      <c r="F4141" t="s">
        <v>40</v>
      </c>
      <c r="G4141" t="s">
        <v>8</v>
      </c>
      <c r="H4141">
        <v>563.66999999999996</v>
      </c>
    </row>
    <row r="4142" spans="1:8" x14ac:dyDescent="0.3">
      <c r="A4142">
        <v>202301</v>
      </c>
      <c r="B4142" s="1">
        <v>44927</v>
      </c>
      <c r="C4142">
        <v>2023</v>
      </c>
      <c r="D4142" t="s">
        <v>6</v>
      </c>
      <c r="E4142" t="s">
        <v>25</v>
      </c>
      <c r="F4142" t="s">
        <v>40</v>
      </c>
      <c r="G4142" t="s">
        <v>8</v>
      </c>
      <c r="H4142">
        <v>50.31</v>
      </c>
    </row>
    <row r="4143" spans="1:8" x14ac:dyDescent="0.3">
      <c r="A4143">
        <v>202302</v>
      </c>
      <c r="B4143" s="1">
        <v>44958</v>
      </c>
      <c r="C4143">
        <v>2023</v>
      </c>
      <c r="D4143" t="s">
        <v>9</v>
      </c>
      <c r="E4143" t="s">
        <v>25</v>
      </c>
      <c r="F4143" t="s">
        <v>40</v>
      </c>
      <c r="G4143" t="s">
        <v>8</v>
      </c>
      <c r="H4143">
        <v>27.61</v>
      </c>
    </row>
    <row r="4144" spans="1:8" x14ac:dyDescent="0.3">
      <c r="A4144">
        <v>202303</v>
      </c>
      <c r="B4144" s="1">
        <v>44986</v>
      </c>
      <c r="C4144">
        <v>2023</v>
      </c>
      <c r="D4144" t="s">
        <v>10</v>
      </c>
      <c r="E4144" t="s">
        <v>25</v>
      </c>
      <c r="F4144" t="s">
        <v>40</v>
      </c>
      <c r="G4144" t="s">
        <v>8</v>
      </c>
      <c r="H4144">
        <v>38.130000000000003</v>
      </c>
    </row>
    <row r="4145" spans="1:8" x14ac:dyDescent="0.3">
      <c r="A4145">
        <v>202304</v>
      </c>
      <c r="B4145" s="1">
        <v>45017</v>
      </c>
      <c r="C4145">
        <v>2023</v>
      </c>
      <c r="D4145" t="s">
        <v>11</v>
      </c>
      <c r="E4145" t="s">
        <v>25</v>
      </c>
      <c r="F4145" t="s">
        <v>40</v>
      </c>
      <c r="G4145" t="s">
        <v>8</v>
      </c>
      <c r="H4145">
        <v>66.3</v>
      </c>
    </row>
    <row r="4146" spans="1:8" x14ac:dyDescent="0.3">
      <c r="A4146">
        <v>202305</v>
      </c>
      <c r="B4146" s="1">
        <v>45047</v>
      </c>
      <c r="C4146">
        <v>2023</v>
      </c>
      <c r="D4146" t="s">
        <v>12</v>
      </c>
      <c r="E4146" t="s">
        <v>25</v>
      </c>
      <c r="F4146" t="s">
        <v>40</v>
      </c>
      <c r="G4146" t="s">
        <v>8</v>
      </c>
      <c r="H4146">
        <v>87.89</v>
      </c>
    </row>
    <row r="4147" spans="1:8" x14ac:dyDescent="0.3">
      <c r="A4147">
        <v>202306</v>
      </c>
      <c r="B4147" s="1">
        <v>45078</v>
      </c>
      <c r="C4147">
        <v>2023</v>
      </c>
      <c r="D4147" t="s">
        <v>13</v>
      </c>
      <c r="E4147" t="s">
        <v>25</v>
      </c>
      <c r="F4147" t="s">
        <v>40</v>
      </c>
      <c r="G4147" t="s">
        <v>8</v>
      </c>
      <c r="H4147">
        <v>56.14</v>
      </c>
    </row>
    <row r="4148" spans="1:8" x14ac:dyDescent="0.3">
      <c r="A4148">
        <v>202307</v>
      </c>
      <c r="B4148" s="1">
        <v>45108</v>
      </c>
      <c r="C4148">
        <v>2023</v>
      </c>
      <c r="D4148" t="s">
        <v>14</v>
      </c>
      <c r="E4148" t="s">
        <v>25</v>
      </c>
      <c r="F4148" t="s">
        <v>40</v>
      </c>
      <c r="G4148" t="s">
        <v>8</v>
      </c>
      <c r="H4148">
        <v>64.98</v>
      </c>
    </row>
    <row r="4149" spans="1:8" x14ac:dyDescent="0.3">
      <c r="A4149">
        <v>202308</v>
      </c>
      <c r="B4149" s="1">
        <v>45139</v>
      </c>
      <c r="C4149">
        <v>2023</v>
      </c>
      <c r="D4149" t="s">
        <v>15</v>
      </c>
      <c r="E4149" t="s">
        <v>25</v>
      </c>
      <c r="F4149" t="s">
        <v>40</v>
      </c>
      <c r="G4149" t="s">
        <v>8</v>
      </c>
      <c r="H4149">
        <v>22.55</v>
      </c>
    </row>
    <row r="4150" spans="1:8" x14ac:dyDescent="0.3">
      <c r="A4150">
        <v>202309</v>
      </c>
      <c r="B4150" s="1">
        <v>45170</v>
      </c>
      <c r="C4150">
        <v>2023</v>
      </c>
      <c r="D4150" t="s">
        <v>16</v>
      </c>
      <c r="E4150" t="s">
        <v>25</v>
      </c>
      <c r="F4150" t="s">
        <v>40</v>
      </c>
      <c r="G4150" t="s">
        <v>8</v>
      </c>
      <c r="H4150">
        <v>62.2</v>
      </c>
    </row>
    <row r="4151" spans="1:8" x14ac:dyDescent="0.3">
      <c r="A4151">
        <v>202310</v>
      </c>
      <c r="B4151" s="1">
        <v>45200</v>
      </c>
      <c r="C4151">
        <v>2023</v>
      </c>
      <c r="D4151" t="s">
        <v>17</v>
      </c>
      <c r="E4151" t="s">
        <v>25</v>
      </c>
      <c r="F4151" t="s">
        <v>40</v>
      </c>
      <c r="G4151" t="s">
        <v>8</v>
      </c>
      <c r="H4151">
        <v>65.91</v>
      </c>
    </row>
    <row r="4152" spans="1:8" x14ac:dyDescent="0.3">
      <c r="A4152">
        <v>202311</v>
      </c>
      <c r="B4152" s="1">
        <v>45231</v>
      </c>
      <c r="C4152">
        <v>2023</v>
      </c>
      <c r="D4152" t="s">
        <v>18</v>
      </c>
      <c r="E4152" t="s">
        <v>25</v>
      </c>
      <c r="F4152" t="s">
        <v>40</v>
      </c>
      <c r="G4152" t="s">
        <v>8</v>
      </c>
      <c r="H4152">
        <v>42.09</v>
      </c>
    </row>
    <row r="4153" spans="1:8" x14ac:dyDescent="0.3">
      <c r="A4153">
        <v>202312</v>
      </c>
      <c r="B4153" s="1">
        <v>45261</v>
      </c>
      <c r="C4153">
        <v>2023</v>
      </c>
      <c r="D4153" t="s">
        <v>19</v>
      </c>
      <c r="E4153" t="s">
        <v>25</v>
      </c>
      <c r="F4153" t="s">
        <v>40</v>
      </c>
      <c r="G4153" t="s">
        <v>8</v>
      </c>
      <c r="H4153">
        <v>51.33</v>
      </c>
    </row>
    <row r="4154" spans="1:8" x14ac:dyDescent="0.3">
      <c r="A4154">
        <v>202301</v>
      </c>
      <c r="B4154" s="1">
        <v>44927</v>
      </c>
      <c r="C4154">
        <v>2023</v>
      </c>
      <c r="D4154" t="s">
        <v>6</v>
      </c>
      <c r="E4154" t="s">
        <v>25</v>
      </c>
      <c r="F4154" t="s">
        <v>40</v>
      </c>
      <c r="G4154" t="s">
        <v>8</v>
      </c>
      <c r="H4154">
        <v>91.72</v>
      </c>
    </row>
    <row r="4155" spans="1:8" x14ac:dyDescent="0.3">
      <c r="A4155">
        <v>202302</v>
      </c>
      <c r="B4155" s="1">
        <v>44958</v>
      </c>
      <c r="C4155">
        <v>2023</v>
      </c>
      <c r="D4155" t="s">
        <v>9</v>
      </c>
      <c r="E4155" t="s">
        <v>25</v>
      </c>
      <c r="F4155" t="s">
        <v>40</v>
      </c>
      <c r="G4155" t="s">
        <v>8</v>
      </c>
      <c r="H4155">
        <v>68.67</v>
      </c>
    </row>
    <row r="4156" spans="1:8" x14ac:dyDescent="0.3">
      <c r="A4156">
        <v>202303</v>
      </c>
      <c r="B4156" s="1">
        <v>44986</v>
      </c>
      <c r="C4156">
        <v>2023</v>
      </c>
      <c r="D4156" t="s">
        <v>10</v>
      </c>
      <c r="E4156" t="s">
        <v>25</v>
      </c>
      <c r="F4156" t="s">
        <v>40</v>
      </c>
      <c r="G4156" t="s">
        <v>8</v>
      </c>
      <c r="H4156">
        <v>70.45</v>
      </c>
    </row>
    <row r="4157" spans="1:8" x14ac:dyDescent="0.3">
      <c r="A4157">
        <v>202304</v>
      </c>
      <c r="B4157" s="1">
        <v>45017</v>
      </c>
      <c r="C4157">
        <v>2023</v>
      </c>
      <c r="D4157" t="s">
        <v>11</v>
      </c>
      <c r="E4157" t="s">
        <v>25</v>
      </c>
      <c r="F4157" t="s">
        <v>40</v>
      </c>
      <c r="G4157" t="s">
        <v>8</v>
      </c>
      <c r="H4157">
        <v>113.99</v>
      </c>
    </row>
    <row r="4158" spans="1:8" x14ac:dyDescent="0.3">
      <c r="A4158">
        <v>202305</v>
      </c>
      <c r="B4158" s="1">
        <v>45047</v>
      </c>
      <c r="C4158">
        <v>2023</v>
      </c>
      <c r="D4158" t="s">
        <v>12</v>
      </c>
      <c r="E4158" t="s">
        <v>25</v>
      </c>
      <c r="F4158" t="s">
        <v>40</v>
      </c>
      <c r="G4158" t="s">
        <v>8</v>
      </c>
      <c r="H4158">
        <v>91.41</v>
      </c>
    </row>
    <row r="4159" spans="1:8" x14ac:dyDescent="0.3">
      <c r="A4159">
        <v>202306</v>
      </c>
      <c r="B4159" s="1">
        <v>45078</v>
      </c>
      <c r="C4159">
        <v>2023</v>
      </c>
      <c r="D4159" t="s">
        <v>13</v>
      </c>
      <c r="E4159" t="s">
        <v>25</v>
      </c>
      <c r="F4159" t="s">
        <v>40</v>
      </c>
      <c r="G4159" t="s">
        <v>8</v>
      </c>
      <c r="H4159">
        <v>63.44</v>
      </c>
    </row>
    <row r="4160" spans="1:8" x14ac:dyDescent="0.3">
      <c r="A4160">
        <v>202307</v>
      </c>
      <c r="B4160" s="1">
        <v>45108</v>
      </c>
      <c r="C4160">
        <v>2023</v>
      </c>
      <c r="D4160" t="s">
        <v>14</v>
      </c>
      <c r="E4160" t="s">
        <v>25</v>
      </c>
      <c r="F4160" t="s">
        <v>40</v>
      </c>
      <c r="G4160" t="s">
        <v>8</v>
      </c>
      <c r="H4160">
        <v>89.31</v>
      </c>
    </row>
    <row r="4161" spans="1:8" x14ac:dyDescent="0.3">
      <c r="A4161">
        <v>202308</v>
      </c>
      <c r="B4161" s="1">
        <v>45139</v>
      </c>
      <c r="C4161">
        <v>2023</v>
      </c>
      <c r="D4161" t="s">
        <v>15</v>
      </c>
      <c r="E4161" t="s">
        <v>25</v>
      </c>
      <c r="F4161" t="s">
        <v>40</v>
      </c>
      <c r="G4161" t="s">
        <v>8</v>
      </c>
      <c r="H4161">
        <v>78.55</v>
      </c>
    </row>
    <row r="4162" spans="1:8" x14ac:dyDescent="0.3">
      <c r="A4162">
        <v>202309</v>
      </c>
      <c r="B4162" s="1">
        <v>45170</v>
      </c>
      <c r="C4162">
        <v>2023</v>
      </c>
      <c r="D4162" t="s">
        <v>16</v>
      </c>
      <c r="E4162" t="s">
        <v>25</v>
      </c>
      <c r="F4162" t="s">
        <v>40</v>
      </c>
      <c r="G4162" t="s">
        <v>8</v>
      </c>
      <c r="H4162">
        <v>69.34</v>
      </c>
    </row>
    <row r="4163" spans="1:8" x14ac:dyDescent="0.3">
      <c r="A4163">
        <v>202310</v>
      </c>
      <c r="B4163" s="1">
        <v>45200</v>
      </c>
      <c r="C4163">
        <v>2023</v>
      </c>
      <c r="D4163" t="s">
        <v>17</v>
      </c>
      <c r="E4163" t="s">
        <v>25</v>
      </c>
      <c r="F4163" t="s">
        <v>40</v>
      </c>
      <c r="G4163" t="s">
        <v>8</v>
      </c>
      <c r="H4163">
        <v>106.4</v>
      </c>
    </row>
    <row r="4164" spans="1:8" x14ac:dyDescent="0.3">
      <c r="A4164">
        <v>202311</v>
      </c>
      <c r="B4164" s="1">
        <v>45231</v>
      </c>
      <c r="C4164">
        <v>2023</v>
      </c>
      <c r="D4164" t="s">
        <v>18</v>
      </c>
      <c r="E4164" t="s">
        <v>25</v>
      </c>
      <c r="F4164" t="s">
        <v>40</v>
      </c>
      <c r="G4164" t="s">
        <v>8</v>
      </c>
      <c r="H4164">
        <v>81.09</v>
      </c>
    </row>
    <row r="4165" spans="1:8" x14ac:dyDescent="0.3">
      <c r="A4165">
        <v>202312</v>
      </c>
      <c r="B4165" s="1">
        <v>45261</v>
      </c>
      <c r="C4165">
        <v>2023</v>
      </c>
      <c r="D4165" t="s">
        <v>19</v>
      </c>
      <c r="E4165" t="s">
        <v>25</v>
      </c>
      <c r="F4165" t="s">
        <v>40</v>
      </c>
      <c r="G4165" t="s">
        <v>8</v>
      </c>
      <c r="H4165">
        <v>82.16</v>
      </c>
    </row>
    <row r="4166" spans="1:8" x14ac:dyDescent="0.3">
      <c r="A4166">
        <v>202301</v>
      </c>
      <c r="B4166" s="1">
        <v>44927</v>
      </c>
      <c r="C4166">
        <v>2023</v>
      </c>
      <c r="D4166" t="s">
        <v>6</v>
      </c>
      <c r="E4166" t="s">
        <v>25</v>
      </c>
      <c r="F4166" t="s">
        <v>40</v>
      </c>
      <c r="G4166" t="s">
        <v>8</v>
      </c>
      <c r="H4166">
        <v>228.21</v>
      </c>
    </row>
    <row r="4167" spans="1:8" x14ac:dyDescent="0.3">
      <c r="A4167">
        <v>202302</v>
      </c>
      <c r="B4167" s="1">
        <v>44958</v>
      </c>
      <c r="C4167">
        <v>2023</v>
      </c>
      <c r="D4167" t="s">
        <v>9</v>
      </c>
      <c r="E4167" t="s">
        <v>25</v>
      </c>
      <c r="F4167" t="s">
        <v>40</v>
      </c>
      <c r="G4167" t="s">
        <v>8</v>
      </c>
      <c r="H4167">
        <v>112.3</v>
      </c>
    </row>
    <row r="4168" spans="1:8" x14ac:dyDescent="0.3">
      <c r="A4168">
        <v>202303</v>
      </c>
      <c r="B4168" s="1">
        <v>44986</v>
      </c>
      <c r="C4168">
        <v>2023</v>
      </c>
      <c r="D4168" t="s">
        <v>10</v>
      </c>
      <c r="E4168" t="s">
        <v>25</v>
      </c>
      <c r="F4168" t="s">
        <v>40</v>
      </c>
      <c r="G4168" t="s">
        <v>8</v>
      </c>
      <c r="H4168">
        <v>173.66</v>
      </c>
    </row>
    <row r="4169" spans="1:8" x14ac:dyDescent="0.3">
      <c r="A4169">
        <v>202304</v>
      </c>
      <c r="B4169" s="1">
        <v>45017</v>
      </c>
      <c r="C4169">
        <v>2023</v>
      </c>
      <c r="D4169" t="s">
        <v>11</v>
      </c>
      <c r="E4169" t="s">
        <v>25</v>
      </c>
      <c r="F4169" t="s">
        <v>40</v>
      </c>
      <c r="G4169" t="s">
        <v>8</v>
      </c>
      <c r="H4169">
        <v>326.01</v>
      </c>
    </row>
    <row r="4170" spans="1:8" x14ac:dyDescent="0.3">
      <c r="A4170">
        <v>202305</v>
      </c>
      <c r="B4170" s="1">
        <v>45047</v>
      </c>
      <c r="C4170">
        <v>2023</v>
      </c>
      <c r="D4170" t="s">
        <v>12</v>
      </c>
      <c r="E4170" t="s">
        <v>25</v>
      </c>
      <c r="F4170" t="s">
        <v>40</v>
      </c>
      <c r="G4170" t="s">
        <v>8</v>
      </c>
      <c r="H4170">
        <v>252.08</v>
      </c>
    </row>
    <row r="4171" spans="1:8" x14ac:dyDescent="0.3">
      <c r="A4171">
        <v>202306</v>
      </c>
      <c r="B4171" s="1">
        <v>45078</v>
      </c>
      <c r="C4171">
        <v>2023</v>
      </c>
      <c r="D4171" t="s">
        <v>13</v>
      </c>
      <c r="E4171" t="s">
        <v>25</v>
      </c>
      <c r="F4171" t="s">
        <v>40</v>
      </c>
      <c r="G4171" t="s">
        <v>8</v>
      </c>
      <c r="H4171">
        <v>186.2</v>
      </c>
    </row>
    <row r="4172" spans="1:8" x14ac:dyDescent="0.3">
      <c r="A4172">
        <v>202307</v>
      </c>
      <c r="B4172" s="1">
        <v>45108</v>
      </c>
      <c r="C4172">
        <v>2023</v>
      </c>
      <c r="D4172" t="s">
        <v>14</v>
      </c>
      <c r="E4172" t="s">
        <v>25</v>
      </c>
      <c r="F4172" t="s">
        <v>40</v>
      </c>
      <c r="G4172" t="s">
        <v>8</v>
      </c>
      <c r="H4172">
        <v>257.25</v>
      </c>
    </row>
    <row r="4173" spans="1:8" x14ac:dyDescent="0.3">
      <c r="A4173">
        <v>202308</v>
      </c>
      <c r="B4173" s="1">
        <v>45139</v>
      </c>
      <c r="C4173">
        <v>2023</v>
      </c>
      <c r="D4173" t="s">
        <v>15</v>
      </c>
      <c r="E4173" t="s">
        <v>25</v>
      </c>
      <c r="F4173" t="s">
        <v>40</v>
      </c>
      <c r="G4173" t="s">
        <v>8</v>
      </c>
      <c r="H4173">
        <v>182.92</v>
      </c>
    </row>
    <row r="4174" spans="1:8" x14ac:dyDescent="0.3">
      <c r="A4174">
        <v>202309</v>
      </c>
      <c r="B4174" s="1">
        <v>45170</v>
      </c>
      <c r="C4174">
        <v>2023</v>
      </c>
      <c r="D4174" t="s">
        <v>16</v>
      </c>
      <c r="E4174" t="s">
        <v>25</v>
      </c>
      <c r="F4174" t="s">
        <v>40</v>
      </c>
      <c r="G4174" t="s">
        <v>8</v>
      </c>
      <c r="H4174">
        <v>182.33</v>
      </c>
    </row>
    <row r="4175" spans="1:8" x14ac:dyDescent="0.3">
      <c r="A4175">
        <v>202310</v>
      </c>
      <c r="B4175" s="1">
        <v>45200</v>
      </c>
      <c r="C4175">
        <v>2023</v>
      </c>
      <c r="D4175" t="s">
        <v>17</v>
      </c>
      <c r="E4175" t="s">
        <v>25</v>
      </c>
      <c r="F4175" t="s">
        <v>40</v>
      </c>
      <c r="G4175" t="s">
        <v>8</v>
      </c>
      <c r="H4175">
        <v>237.43</v>
      </c>
    </row>
    <row r="4176" spans="1:8" x14ac:dyDescent="0.3">
      <c r="A4176">
        <v>202311</v>
      </c>
      <c r="B4176" s="1">
        <v>45231</v>
      </c>
      <c r="C4176">
        <v>2023</v>
      </c>
      <c r="D4176" t="s">
        <v>18</v>
      </c>
      <c r="E4176" t="s">
        <v>25</v>
      </c>
      <c r="F4176" t="s">
        <v>40</v>
      </c>
      <c r="G4176" t="s">
        <v>8</v>
      </c>
      <c r="H4176">
        <v>187</v>
      </c>
    </row>
    <row r="4177" spans="1:8" x14ac:dyDescent="0.3">
      <c r="A4177">
        <v>202312</v>
      </c>
      <c r="B4177" s="1">
        <v>45261</v>
      </c>
      <c r="C4177">
        <v>2023</v>
      </c>
      <c r="D4177" t="s">
        <v>19</v>
      </c>
      <c r="E4177" t="s">
        <v>25</v>
      </c>
      <c r="F4177" t="s">
        <v>40</v>
      </c>
      <c r="G4177" t="s">
        <v>8</v>
      </c>
      <c r="H4177">
        <v>171.75</v>
      </c>
    </row>
    <row r="4178" spans="1:8" x14ac:dyDescent="0.3">
      <c r="A4178">
        <v>202301</v>
      </c>
      <c r="B4178" s="1">
        <v>44927</v>
      </c>
      <c r="C4178">
        <v>2023</v>
      </c>
      <c r="D4178" t="s">
        <v>6</v>
      </c>
      <c r="E4178" t="s">
        <v>25</v>
      </c>
      <c r="F4178" t="s">
        <v>40</v>
      </c>
      <c r="G4178" t="s">
        <v>8</v>
      </c>
      <c r="H4178">
        <v>426.52</v>
      </c>
    </row>
    <row r="4179" spans="1:8" x14ac:dyDescent="0.3">
      <c r="A4179">
        <v>202302</v>
      </c>
      <c r="B4179" s="1">
        <v>44958</v>
      </c>
      <c r="C4179">
        <v>2023</v>
      </c>
      <c r="D4179" t="s">
        <v>9</v>
      </c>
      <c r="E4179" t="s">
        <v>25</v>
      </c>
      <c r="F4179" t="s">
        <v>40</v>
      </c>
      <c r="G4179" t="s">
        <v>8</v>
      </c>
      <c r="H4179">
        <v>193.1</v>
      </c>
    </row>
    <row r="4180" spans="1:8" x14ac:dyDescent="0.3">
      <c r="A4180">
        <v>202303</v>
      </c>
      <c r="B4180" s="1">
        <v>44986</v>
      </c>
      <c r="C4180">
        <v>2023</v>
      </c>
      <c r="D4180" t="s">
        <v>10</v>
      </c>
      <c r="E4180" t="s">
        <v>25</v>
      </c>
      <c r="F4180" t="s">
        <v>40</v>
      </c>
      <c r="G4180" t="s">
        <v>8</v>
      </c>
      <c r="H4180">
        <v>272.67</v>
      </c>
    </row>
    <row r="4181" spans="1:8" x14ac:dyDescent="0.3">
      <c r="A4181">
        <v>202304</v>
      </c>
      <c r="B4181" s="1">
        <v>45017</v>
      </c>
      <c r="C4181">
        <v>2023</v>
      </c>
      <c r="D4181" t="s">
        <v>11</v>
      </c>
      <c r="E4181" t="s">
        <v>25</v>
      </c>
      <c r="F4181" t="s">
        <v>40</v>
      </c>
      <c r="G4181" t="s">
        <v>8</v>
      </c>
      <c r="H4181">
        <v>499.85</v>
      </c>
    </row>
    <row r="4182" spans="1:8" x14ac:dyDescent="0.3">
      <c r="A4182">
        <v>202305</v>
      </c>
      <c r="B4182" s="1">
        <v>45047</v>
      </c>
      <c r="C4182">
        <v>2023</v>
      </c>
      <c r="D4182" t="s">
        <v>12</v>
      </c>
      <c r="E4182" t="s">
        <v>25</v>
      </c>
      <c r="F4182" t="s">
        <v>40</v>
      </c>
      <c r="G4182" t="s">
        <v>8</v>
      </c>
      <c r="H4182">
        <v>312.24</v>
      </c>
    </row>
    <row r="4183" spans="1:8" x14ac:dyDescent="0.3">
      <c r="A4183">
        <v>202306</v>
      </c>
      <c r="B4183" s="1">
        <v>45078</v>
      </c>
      <c r="C4183">
        <v>2023</v>
      </c>
      <c r="D4183" t="s">
        <v>13</v>
      </c>
      <c r="E4183" t="s">
        <v>25</v>
      </c>
      <c r="F4183" t="s">
        <v>40</v>
      </c>
      <c r="G4183" t="s">
        <v>8</v>
      </c>
      <c r="H4183">
        <v>275.99</v>
      </c>
    </row>
    <row r="4184" spans="1:8" x14ac:dyDescent="0.3">
      <c r="A4184">
        <v>202307</v>
      </c>
      <c r="B4184" s="1">
        <v>45108</v>
      </c>
      <c r="C4184">
        <v>2023</v>
      </c>
      <c r="D4184" t="s">
        <v>14</v>
      </c>
      <c r="E4184" t="s">
        <v>25</v>
      </c>
      <c r="F4184" t="s">
        <v>40</v>
      </c>
      <c r="G4184" t="s">
        <v>8</v>
      </c>
      <c r="H4184">
        <v>366.68</v>
      </c>
    </row>
    <row r="4185" spans="1:8" x14ac:dyDescent="0.3">
      <c r="A4185">
        <v>202308</v>
      </c>
      <c r="B4185" s="1">
        <v>45139</v>
      </c>
      <c r="C4185">
        <v>2023</v>
      </c>
      <c r="D4185" t="s">
        <v>15</v>
      </c>
      <c r="E4185" t="s">
        <v>25</v>
      </c>
      <c r="F4185" t="s">
        <v>40</v>
      </c>
      <c r="G4185" t="s">
        <v>8</v>
      </c>
      <c r="H4185">
        <v>333.31</v>
      </c>
    </row>
    <row r="4186" spans="1:8" x14ac:dyDescent="0.3">
      <c r="A4186">
        <v>202309</v>
      </c>
      <c r="B4186" s="1">
        <v>45170</v>
      </c>
      <c r="C4186">
        <v>2023</v>
      </c>
      <c r="D4186" t="s">
        <v>16</v>
      </c>
      <c r="E4186" t="s">
        <v>25</v>
      </c>
      <c r="F4186" t="s">
        <v>40</v>
      </c>
      <c r="G4186" t="s">
        <v>8</v>
      </c>
      <c r="H4186">
        <v>257.36</v>
      </c>
    </row>
    <row r="4187" spans="1:8" x14ac:dyDescent="0.3">
      <c r="A4187">
        <v>202310</v>
      </c>
      <c r="B4187" s="1">
        <v>45200</v>
      </c>
      <c r="C4187">
        <v>2023</v>
      </c>
      <c r="D4187" t="s">
        <v>17</v>
      </c>
      <c r="E4187" t="s">
        <v>25</v>
      </c>
      <c r="F4187" t="s">
        <v>40</v>
      </c>
      <c r="G4187" t="s">
        <v>8</v>
      </c>
      <c r="H4187">
        <v>408.74</v>
      </c>
    </row>
    <row r="4188" spans="1:8" x14ac:dyDescent="0.3">
      <c r="A4188">
        <v>202311</v>
      </c>
      <c r="B4188" s="1">
        <v>45231</v>
      </c>
      <c r="C4188">
        <v>2023</v>
      </c>
      <c r="D4188" t="s">
        <v>18</v>
      </c>
      <c r="E4188" t="s">
        <v>25</v>
      </c>
      <c r="F4188" t="s">
        <v>40</v>
      </c>
      <c r="G4188" t="s">
        <v>8</v>
      </c>
      <c r="H4188">
        <v>286.99</v>
      </c>
    </row>
    <row r="4189" spans="1:8" x14ac:dyDescent="0.3">
      <c r="A4189">
        <v>202312</v>
      </c>
      <c r="B4189" s="1">
        <v>45261</v>
      </c>
      <c r="C4189">
        <v>2023</v>
      </c>
      <c r="D4189" t="s">
        <v>19</v>
      </c>
      <c r="E4189" t="s">
        <v>25</v>
      </c>
      <c r="F4189" t="s">
        <v>40</v>
      </c>
      <c r="G4189" t="s">
        <v>8</v>
      </c>
      <c r="H4189">
        <v>341.34</v>
      </c>
    </row>
    <row r="4190" spans="1:8" x14ac:dyDescent="0.3">
      <c r="A4190">
        <v>202301</v>
      </c>
      <c r="B4190" s="1">
        <v>44927</v>
      </c>
      <c r="C4190">
        <v>2023</v>
      </c>
      <c r="D4190" t="s">
        <v>6</v>
      </c>
      <c r="E4190" t="s">
        <v>25</v>
      </c>
      <c r="F4190" t="s">
        <v>40</v>
      </c>
      <c r="G4190" t="s">
        <v>8</v>
      </c>
      <c r="H4190">
        <v>160.47999999999999</v>
      </c>
    </row>
    <row r="4191" spans="1:8" x14ac:dyDescent="0.3">
      <c r="A4191">
        <v>202302</v>
      </c>
      <c r="B4191" s="1">
        <v>44958</v>
      </c>
      <c r="C4191">
        <v>2023</v>
      </c>
      <c r="D4191" t="s">
        <v>9</v>
      </c>
      <c r="E4191" t="s">
        <v>25</v>
      </c>
      <c r="F4191" t="s">
        <v>40</v>
      </c>
      <c r="G4191" t="s">
        <v>8</v>
      </c>
      <c r="H4191">
        <v>32.03</v>
      </c>
    </row>
    <row r="4192" spans="1:8" x14ac:dyDescent="0.3">
      <c r="A4192">
        <v>202303</v>
      </c>
      <c r="B4192" s="1">
        <v>44986</v>
      </c>
      <c r="C4192">
        <v>2023</v>
      </c>
      <c r="D4192" t="s">
        <v>10</v>
      </c>
      <c r="E4192" t="s">
        <v>25</v>
      </c>
      <c r="F4192" t="s">
        <v>40</v>
      </c>
      <c r="G4192" t="s">
        <v>8</v>
      </c>
      <c r="H4192">
        <v>40.46</v>
      </c>
    </row>
    <row r="4193" spans="1:8" x14ac:dyDescent="0.3">
      <c r="A4193">
        <v>202304</v>
      </c>
      <c r="B4193" s="1">
        <v>45017</v>
      </c>
      <c r="C4193">
        <v>2023</v>
      </c>
      <c r="D4193" t="s">
        <v>11</v>
      </c>
      <c r="E4193" t="s">
        <v>25</v>
      </c>
      <c r="F4193" t="s">
        <v>40</v>
      </c>
      <c r="G4193" t="s">
        <v>8</v>
      </c>
      <c r="H4193">
        <v>77.23</v>
      </c>
    </row>
    <row r="4194" spans="1:8" x14ac:dyDescent="0.3">
      <c r="A4194">
        <v>202305</v>
      </c>
      <c r="B4194" s="1">
        <v>45047</v>
      </c>
      <c r="C4194">
        <v>2023</v>
      </c>
      <c r="D4194" t="s">
        <v>12</v>
      </c>
      <c r="E4194" t="s">
        <v>25</v>
      </c>
      <c r="F4194" t="s">
        <v>40</v>
      </c>
      <c r="G4194" t="s">
        <v>8</v>
      </c>
      <c r="H4194">
        <v>59.35</v>
      </c>
    </row>
    <row r="4195" spans="1:8" x14ac:dyDescent="0.3">
      <c r="A4195">
        <v>202306</v>
      </c>
      <c r="B4195" s="1">
        <v>45078</v>
      </c>
      <c r="C4195">
        <v>2023</v>
      </c>
      <c r="D4195" t="s">
        <v>13</v>
      </c>
      <c r="E4195" t="s">
        <v>25</v>
      </c>
      <c r="F4195" t="s">
        <v>40</v>
      </c>
      <c r="G4195" t="s">
        <v>8</v>
      </c>
      <c r="H4195">
        <v>139.96</v>
      </c>
    </row>
    <row r="4196" spans="1:8" x14ac:dyDescent="0.3">
      <c r="A4196">
        <v>202307</v>
      </c>
      <c r="B4196" s="1">
        <v>45108</v>
      </c>
      <c r="C4196">
        <v>2023</v>
      </c>
      <c r="D4196" t="s">
        <v>14</v>
      </c>
      <c r="E4196" t="s">
        <v>25</v>
      </c>
      <c r="F4196" t="s">
        <v>40</v>
      </c>
      <c r="G4196" t="s">
        <v>8</v>
      </c>
      <c r="H4196">
        <v>162.91999999999999</v>
      </c>
    </row>
    <row r="4197" spans="1:8" x14ac:dyDescent="0.3">
      <c r="A4197">
        <v>202308</v>
      </c>
      <c r="B4197" s="1">
        <v>45139</v>
      </c>
      <c r="C4197">
        <v>2023</v>
      </c>
      <c r="D4197" t="s">
        <v>15</v>
      </c>
      <c r="E4197" t="s">
        <v>25</v>
      </c>
      <c r="F4197" t="s">
        <v>40</v>
      </c>
      <c r="G4197" t="s">
        <v>8</v>
      </c>
      <c r="H4197">
        <v>43.84</v>
      </c>
    </row>
    <row r="4198" spans="1:8" x14ac:dyDescent="0.3">
      <c r="A4198">
        <v>202309</v>
      </c>
      <c r="B4198" s="1">
        <v>45170</v>
      </c>
      <c r="C4198">
        <v>2023</v>
      </c>
      <c r="D4198" t="s">
        <v>16</v>
      </c>
      <c r="E4198" t="s">
        <v>25</v>
      </c>
      <c r="F4198" t="s">
        <v>40</v>
      </c>
      <c r="G4198" t="s">
        <v>8</v>
      </c>
      <c r="H4198">
        <v>41.15</v>
      </c>
    </row>
    <row r="4199" spans="1:8" x14ac:dyDescent="0.3">
      <c r="A4199">
        <v>202310</v>
      </c>
      <c r="B4199" s="1">
        <v>45200</v>
      </c>
      <c r="C4199">
        <v>2023</v>
      </c>
      <c r="D4199" t="s">
        <v>17</v>
      </c>
      <c r="E4199" t="s">
        <v>25</v>
      </c>
      <c r="F4199" t="s">
        <v>40</v>
      </c>
      <c r="G4199" t="s">
        <v>8</v>
      </c>
      <c r="H4199">
        <v>145.53</v>
      </c>
    </row>
    <row r="4200" spans="1:8" x14ac:dyDescent="0.3">
      <c r="A4200">
        <v>202311</v>
      </c>
      <c r="B4200" s="1">
        <v>45231</v>
      </c>
      <c r="C4200">
        <v>2023</v>
      </c>
      <c r="D4200" t="s">
        <v>18</v>
      </c>
      <c r="E4200" t="s">
        <v>25</v>
      </c>
      <c r="F4200" t="s">
        <v>40</v>
      </c>
      <c r="G4200" t="s">
        <v>8</v>
      </c>
      <c r="H4200">
        <v>38.049999999999997</v>
      </c>
    </row>
    <row r="4201" spans="1:8" x14ac:dyDescent="0.3">
      <c r="A4201">
        <v>202312</v>
      </c>
      <c r="B4201" s="1">
        <v>45261</v>
      </c>
      <c r="C4201">
        <v>2023</v>
      </c>
      <c r="D4201" t="s">
        <v>19</v>
      </c>
      <c r="E4201" t="s">
        <v>25</v>
      </c>
      <c r="F4201" t="s">
        <v>40</v>
      </c>
      <c r="G4201" t="s">
        <v>8</v>
      </c>
      <c r="H4201">
        <v>39.07</v>
      </c>
    </row>
    <row r="4202" spans="1:8" x14ac:dyDescent="0.3">
      <c r="A4202">
        <v>202301</v>
      </c>
      <c r="B4202" s="1">
        <v>44927</v>
      </c>
      <c r="C4202">
        <v>2023</v>
      </c>
      <c r="D4202" t="s">
        <v>6</v>
      </c>
      <c r="E4202" t="s">
        <v>26</v>
      </c>
      <c r="F4202" t="s">
        <v>40</v>
      </c>
      <c r="G4202" t="s">
        <v>8</v>
      </c>
      <c r="H4202">
        <v>509.6</v>
      </c>
    </row>
    <row r="4203" spans="1:8" x14ac:dyDescent="0.3">
      <c r="A4203">
        <v>202302</v>
      </c>
      <c r="B4203" s="1">
        <v>44958</v>
      </c>
      <c r="C4203">
        <v>2023</v>
      </c>
      <c r="D4203" t="s">
        <v>9</v>
      </c>
      <c r="E4203" t="s">
        <v>26</v>
      </c>
      <c r="F4203" t="s">
        <v>40</v>
      </c>
      <c r="G4203" t="s">
        <v>8</v>
      </c>
      <c r="H4203">
        <v>350.32</v>
      </c>
    </row>
    <row r="4204" spans="1:8" x14ac:dyDescent="0.3">
      <c r="A4204">
        <v>202303</v>
      </c>
      <c r="B4204" s="1">
        <v>44986</v>
      </c>
      <c r="C4204">
        <v>2023</v>
      </c>
      <c r="D4204" t="s">
        <v>10</v>
      </c>
      <c r="E4204" t="s">
        <v>26</v>
      </c>
      <c r="F4204" t="s">
        <v>40</v>
      </c>
      <c r="G4204" t="s">
        <v>8</v>
      </c>
      <c r="H4204">
        <v>358.79</v>
      </c>
    </row>
    <row r="4205" spans="1:8" x14ac:dyDescent="0.3">
      <c r="A4205">
        <v>202304</v>
      </c>
      <c r="B4205" s="1">
        <v>45017</v>
      </c>
      <c r="C4205">
        <v>2023</v>
      </c>
      <c r="D4205" t="s">
        <v>11</v>
      </c>
      <c r="E4205" t="s">
        <v>26</v>
      </c>
      <c r="F4205" t="s">
        <v>40</v>
      </c>
      <c r="G4205" t="s">
        <v>8</v>
      </c>
      <c r="H4205">
        <v>569.85</v>
      </c>
    </row>
    <row r="4206" spans="1:8" x14ac:dyDescent="0.3">
      <c r="A4206">
        <v>202305</v>
      </c>
      <c r="B4206" s="1">
        <v>45047</v>
      </c>
      <c r="C4206">
        <v>2023</v>
      </c>
      <c r="D4206" t="s">
        <v>12</v>
      </c>
      <c r="E4206" t="s">
        <v>26</v>
      </c>
      <c r="F4206" t="s">
        <v>40</v>
      </c>
      <c r="G4206" t="s">
        <v>8</v>
      </c>
      <c r="H4206">
        <v>418.74</v>
      </c>
    </row>
    <row r="4207" spans="1:8" x14ac:dyDescent="0.3">
      <c r="A4207">
        <v>202306</v>
      </c>
      <c r="B4207" s="1">
        <v>45078</v>
      </c>
      <c r="C4207">
        <v>2023</v>
      </c>
      <c r="D4207" t="s">
        <v>13</v>
      </c>
      <c r="E4207" t="s">
        <v>26</v>
      </c>
      <c r="F4207" t="s">
        <v>40</v>
      </c>
      <c r="G4207" t="s">
        <v>8</v>
      </c>
      <c r="H4207">
        <v>576.45000000000005</v>
      </c>
    </row>
    <row r="4208" spans="1:8" x14ac:dyDescent="0.3">
      <c r="A4208">
        <v>202307</v>
      </c>
      <c r="B4208" s="1">
        <v>45108</v>
      </c>
      <c r="C4208">
        <v>2023</v>
      </c>
      <c r="D4208" t="s">
        <v>14</v>
      </c>
      <c r="E4208" t="s">
        <v>26</v>
      </c>
      <c r="F4208" t="s">
        <v>40</v>
      </c>
      <c r="G4208" t="s">
        <v>8</v>
      </c>
      <c r="H4208">
        <v>657.04</v>
      </c>
    </row>
    <row r="4209" spans="1:8" x14ac:dyDescent="0.3">
      <c r="A4209">
        <v>202308</v>
      </c>
      <c r="B4209" s="1">
        <v>45139</v>
      </c>
      <c r="C4209">
        <v>2023</v>
      </c>
      <c r="D4209" t="s">
        <v>15</v>
      </c>
      <c r="E4209" t="s">
        <v>26</v>
      </c>
      <c r="F4209" t="s">
        <v>40</v>
      </c>
      <c r="G4209" t="s">
        <v>8</v>
      </c>
      <c r="H4209">
        <v>455.1</v>
      </c>
    </row>
    <row r="4210" spans="1:8" x14ac:dyDescent="0.3">
      <c r="A4210">
        <v>202309</v>
      </c>
      <c r="B4210" s="1">
        <v>45170</v>
      </c>
      <c r="C4210">
        <v>2023</v>
      </c>
      <c r="D4210" t="s">
        <v>16</v>
      </c>
      <c r="E4210" t="s">
        <v>26</v>
      </c>
      <c r="F4210" t="s">
        <v>40</v>
      </c>
      <c r="G4210" t="s">
        <v>8</v>
      </c>
      <c r="H4210">
        <v>585.29999999999995</v>
      </c>
    </row>
    <row r="4211" spans="1:8" x14ac:dyDescent="0.3">
      <c r="A4211">
        <v>202310</v>
      </c>
      <c r="B4211" s="1">
        <v>45200</v>
      </c>
      <c r="C4211">
        <v>2023</v>
      </c>
      <c r="D4211" t="s">
        <v>17</v>
      </c>
      <c r="E4211" t="s">
        <v>26</v>
      </c>
      <c r="F4211" t="s">
        <v>40</v>
      </c>
      <c r="G4211" t="s">
        <v>8</v>
      </c>
      <c r="H4211">
        <v>584.05999999999995</v>
      </c>
    </row>
    <row r="4212" spans="1:8" x14ac:dyDescent="0.3">
      <c r="A4212">
        <v>202311</v>
      </c>
      <c r="B4212" s="1">
        <v>45231</v>
      </c>
      <c r="C4212">
        <v>2023</v>
      </c>
      <c r="D4212" t="s">
        <v>18</v>
      </c>
      <c r="E4212" t="s">
        <v>26</v>
      </c>
      <c r="F4212" t="s">
        <v>40</v>
      </c>
      <c r="G4212" t="s">
        <v>8</v>
      </c>
      <c r="H4212">
        <v>395.99</v>
      </c>
    </row>
    <row r="4213" spans="1:8" x14ac:dyDescent="0.3">
      <c r="A4213">
        <v>202312</v>
      </c>
      <c r="B4213" s="1">
        <v>45261</v>
      </c>
      <c r="C4213">
        <v>2023</v>
      </c>
      <c r="D4213" t="s">
        <v>19</v>
      </c>
      <c r="E4213" t="s">
        <v>26</v>
      </c>
      <c r="F4213" t="s">
        <v>40</v>
      </c>
      <c r="G4213" t="s">
        <v>8</v>
      </c>
      <c r="H4213">
        <v>759.63</v>
      </c>
    </row>
    <row r="4214" spans="1:8" x14ac:dyDescent="0.3">
      <c r="A4214">
        <v>202301</v>
      </c>
      <c r="B4214" s="1">
        <v>44927</v>
      </c>
      <c r="C4214">
        <v>2023</v>
      </c>
      <c r="D4214" t="s">
        <v>6</v>
      </c>
      <c r="E4214" t="s">
        <v>26</v>
      </c>
      <c r="F4214" t="s">
        <v>40</v>
      </c>
      <c r="G4214" t="s">
        <v>8</v>
      </c>
      <c r="H4214">
        <v>107.15</v>
      </c>
    </row>
    <row r="4215" spans="1:8" x14ac:dyDescent="0.3">
      <c r="A4215">
        <v>202302</v>
      </c>
      <c r="B4215" s="1">
        <v>44958</v>
      </c>
      <c r="C4215">
        <v>2023</v>
      </c>
      <c r="D4215" t="s">
        <v>9</v>
      </c>
      <c r="E4215" t="s">
        <v>26</v>
      </c>
      <c r="F4215" t="s">
        <v>40</v>
      </c>
      <c r="G4215" t="s">
        <v>8</v>
      </c>
      <c r="H4215">
        <v>70.3</v>
      </c>
    </row>
    <row r="4216" spans="1:8" x14ac:dyDescent="0.3">
      <c r="A4216">
        <v>202303</v>
      </c>
      <c r="B4216" s="1">
        <v>44986</v>
      </c>
      <c r="C4216">
        <v>2023</v>
      </c>
      <c r="D4216" t="s">
        <v>10</v>
      </c>
      <c r="E4216" t="s">
        <v>26</v>
      </c>
      <c r="F4216" t="s">
        <v>40</v>
      </c>
      <c r="G4216" t="s">
        <v>8</v>
      </c>
      <c r="H4216">
        <v>92.99</v>
      </c>
    </row>
    <row r="4217" spans="1:8" x14ac:dyDescent="0.3">
      <c r="A4217">
        <v>202304</v>
      </c>
      <c r="B4217" s="1">
        <v>45017</v>
      </c>
      <c r="C4217">
        <v>2023</v>
      </c>
      <c r="D4217" t="s">
        <v>11</v>
      </c>
      <c r="E4217" t="s">
        <v>26</v>
      </c>
      <c r="F4217" t="s">
        <v>40</v>
      </c>
      <c r="G4217" t="s">
        <v>8</v>
      </c>
      <c r="H4217">
        <v>138.52000000000001</v>
      </c>
    </row>
    <row r="4218" spans="1:8" x14ac:dyDescent="0.3">
      <c r="A4218">
        <v>202305</v>
      </c>
      <c r="B4218" s="1">
        <v>45047</v>
      </c>
      <c r="C4218">
        <v>2023</v>
      </c>
      <c r="D4218" t="s">
        <v>12</v>
      </c>
      <c r="E4218" t="s">
        <v>26</v>
      </c>
      <c r="F4218" t="s">
        <v>40</v>
      </c>
      <c r="G4218" t="s">
        <v>8</v>
      </c>
      <c r="H4218">
        <v>95.65</v>
      </c>
    </row>
    <row r="4219" spans="1:8" x14ac:dyDescent="0.3">
      <c r="A4219">
        <v>202306</v>
      </c>
      <c r="B4219" s="1">
        <v>45078</v>
      </c>
      <c r="C4219">
        <v>2023</v>
      </c>
      <c r="D4219" t="s">
        <v>13</v>
      </c>
      <c r="E4219" t="s">
        <v>26</v>
      </c>
      <c r="F4219" t="s">
        <v>40</v>
      </c>
      <c r="G4219" t="s">
        <v>8</v>
      </c>
      <c r="H4219">
        <v>90.68</v>
      </c>
    </row>
    <row r="4220" spans="1:8" x14ac:dyDescent="0.3">
      <c r="A4220">
        <v>202307</v>
      </c>
      <c r="B4220" s="1">
        <v>45108</v>
      </c>
      <c r="C4220">
        <v>2023</v>
      </c>
      <c r="D4220" t="s">
        <v>14</v>
      </c>
      <c r="E4220" t="s">
        <v>26</v>
      </c>
      <c r="F4220" t="s">
        <v>40</v>
      </c>
      <c r="G4220" t="s">
        <v>8</v>
      </c>
      <c r="H4220">
        <v>110.61</v>
      </c>
    </row>
    <row r="4221" spans="1:8" x14ac:dyDescent="0.3">
      <c r="A4221">
        <v>202308</v>
      </c>
      <c r="B4221" s="1">
        <v>45139</v>
      </c>
      <c r="C4221">
        <v>2023</v>
      </c>
      <c r="D4221" t="s">
        <v>15</v>
      </c>
      <c r="E4221" t="s">
        <v>26</v>
      </c>
      <c r="F4221" t="s">
        <v>40</v>
      </c>
      <c r="G4221" t="s">
        <v>8</v>
      </c>
      <c r="H4221">
        <v>124.43</v>
      </c>
    </row>
    <row r="4222" spans="1:8" x14ac:dyDescent="0.3">
      <c r="A4222">
        <v>202309</v>
      </c>
      <c r="B4222" s="1">
        <v>45170</v>
      </c>
      <c r="C4222">
        <v>2023</v>
      </c>
      <c r="D4222" t="s">
        <v>16</v>
      </c>
      <c r="E4222" t="s">
        <v>26</v>
      </c>
      <c r="F4222" t="s">
        <v>40</v>
      </c>
      <c r="G4222" t="s">
        <v>8</v>
      </c>
      <c r="H4222">
        <v>95.68</v>
      </c>
    </row>
    <row r="4223" spans="1:8" x14ac:dyDescent="0.3">
      <c r="A4223">
        <v>202310</v>
      </c>
      <c r="B4223" s="1">
        <v>45200</v>
      </c>
      <c r="C4223">
        <v>2023</v>
      </c>
      <c r="D4223" t="s">
        <v>17</v>
      </c>
      <c r="E4223" t="s">
        <v>26</v>
      </c>
      <c r="F4223" t="s">
        <v>40</v>
      </c>
      <c r="G4223" t="s">
        <v>8</v>
      </c>
      <c r="H4223">
        <v>140.15</v>
      </c>
    </row>
    <row r="4224" spans="1:8" x14ac:dyDescent="0.3">
      <c r="A4224">
        <v>202311</v>
      </c>
      <c r="B4224" s="1">
        <v>45231</v>
      </c>
      <c r="C4224">
        <v>2023</v>
      </c>
      <c r="D4224" t="s">
        <v>18</v>
      </c>
      <c r="E4224" t="s">
        <v>26</v>
      </c>
      <c r="F4224" t="s">
        <v>40</v>
      </c>
      <c r="G4224" t="s">
        <v>8</v>
      </c>
      <c r="H4224">
        <v>87.69</v>
      </c>
    </row>
    <row r="4225" spans="1:8" x14ac:dyDescent="0.3">
      <c r="A4225">
        <v>202312</v>
      </c>
      <c r="B4225" s="1">
        <v>45261</v>
      </c>
      <c r="C4225">
        <v>2023</v>
      </c>
      <c r="D4225" t="s">
        <v>19</v>
      </c>
      <c r="E4225" t="s">
        <v>26</v>
      </c>
      <c r="F4225" t="s">
        <v>40</v>
      </c>
      <c r="G4225" t="s">
        <v>8</v>
      </c>
      <c r="H4225">
        <v>165.84</v>
      </c>
    </row>
    <row r="4226" spans="1:8" x14ac:dyDescent="0.3">
      <c r="A4226">
        <v>202301</v>
      </c>
      <c r="B4226" s="1">
        <v>44927</v>
      </c>
      <c r="C4226">
        <v>2023</v>
      </c>
      <c r="D4226" t="s">
        <v>6</v>
      </c>
      <c r="E4226" t="s">
        <v>26</v>
      </c>
      <c r="F4226" t="s">
        <v>40</v>
      </c>
      <c r="G4226" t="s">
        <v>8</v>
      </c>
      <c r="H4226">
        <v>606.91999999999996</v>
      </c>
    </row>
    <row r="4227" spans="1:8" x14ac:dyDescent="0.3">
      <c r="A4227">
        <v>202302</v>
      </c>
      <c r="B4227" s="1">
        <v>44958</v>
      </c>
      <c r="C4227">
        <v>2023</v>
      </c>
      <c r="D4227" t="s">
        <v>9</v>
      </c>
      <c r="E4227" t="s">
        <v>26</v>
      </c>
      <c r="F4227" t="s">
        <v>40</v>
      </c>
      <c r="G4227" t="s">
        <v>8</v>
      </c>
      <c r="H4227">
        <v>252.53</v>
      </c>
    </row>
    <row r="4228" spans="1:8" x14ac:dyDescent="0.3">
      <c r="A4228">
        <v>202303</v>
      </c>
      <c r="B4228" s="1">
        <v>44986</v>
      </c>
      <c r="C4228">
        <v>2023</v>
      </c>
      <c r="D4228" t="s">
        <v>10</v>
      </c>
      <c r="E4228" t="s">
        <v>26</v>
      </c>
      <c r="F4228" t="s">
        <v>40</v>
      </c>
      <c r="G4228" t="s">
        <v>8</v>
      </c>
      <c r="H4228">
        <v>400.64</v>
      </c>
    </row>
    <row r="4229" spans="1:8" x14ac:dyDescent="0.3">
      <c r="A4229">
        <v>202304</v>
      </c>
      <c r="B4229" s="1">
        <v>45017</v>
      </c>
      <c r="C4229">
        <v>2023</v>
      </c>
      <c r="D4229" t="s">
        <v>11</v>
      </c>
      <c r="E4229" t="s">
        <v>26</v>
      </c>
      <c r="F4229" t="s">
        <v>40</v>
      </c>
      <c r="G4229" t="s">
        <v>8</v>
      </c>
      <c r="H4229">
        <v>579.69000000000005</v>
      </c>
    </row>
    <row r="4230" spans="1:8" x14ac:dyDescent="0.3">
      <c r="A4230">
        <v>202305</v>
      </c>
      <c r="B4230" s="1">
        <v>45047</v>
      </c>
      <c r="C4230">
        <v>2023</v>
      </c>
      <c r="D4230" t="s">
        <v>12</v>
      </c>
      <c r="E4230" t="s">
        <v>26</v>
      </c>
      <c r="F4230" t="s">
        <v>40</v>
      </c>
      <c r="G4230" t="s">
        <v>8</v>
      </c>
      <c r="H4230">
        <v>424.87</v>
      </c>
    </row>
    <row r="4231" spans="1:8" x14ac:dyDescent="0.3">
      <c r="A4231">
        <v>202306</v>
      </c>
      <c r="B4231" s="1">
        <v>45078</v>
      </c>
      <c r="C4231">
        <v>2023</v>
      </c>
      <c r="D4231" t="s">
        <v>13</v>
      </c>
      <c r="E4231" t="s">
        <v>26</v>
      </c>
      <c r="F4231" t="s">
        <v>40</v>
      </c>
      <c r="G4231" t="s">
        <v>8</v>
      </c>
      <c r="H4231">
        <v>406.45</v>
      </c>
    </row>
    <row r="4232" spans="1:8" x14ac:dyDescent="0.3">
      <c r="A4232">
        <v>202307</v>
      </c>
      <c r="B4232" s="1">
        <v>45108</v>
      </c>
      <c r="C4232">
        <v>2023</v>
      </c>
      <c r="D4232" t="s">
        <v>14</v>
      </c>
      <c r="E4232" t="s">
        <v>26</v>
      </c>
      <c r="F4232" t="s">
        <v>40</v>
      </c>
      <c r="G4232" t="s">
        <v>8</v>
      </c>
      <c r="H4232">
        <v>649.41999999999996</v>
      </c>
    </row>
    <row r="4233" spans="1:8" x14ac:dyDescent="0.3">
      <c r="A4233">
        <v>202308</v>
      </c>
      <c r="B4233" s="1">
        <v>45139</v>
      </c>
      <c r="C4233">
        <v>2023</v>
      </c>
      <c r="D4233" t="s">
        <v>15</v>
      </c>
      <c r="E4233" t="s">
        <v>26</v>
      </c>
      <c r="F4233" t="s">
        <v>40</v>
      </c>
      <c r="G4233" t="s">
        <v>8</v>
      </c>
      <c r="H4233">
        <v>399.95</v>
      </c>
    </row>
    <row r="4234" spans="1:8" x14ac:dyDescent="0.3">
      <c r="A4234">
        <v>202309</v>
      </c>
      <c r="B4234" s="1">
        <v>45170</v>
      </c>
      <c r="C4234">
        <v>2023</v>
      </c>
      <c r="D4234" t="s">
        <v>16</v>
      </c>
      <c r="E4234" t="s">
        <v>26</v>
      </c>
      <c r="F4234" t="s">
        <v>40</v>
      </c>
      <c r="G4234" t="s">
        <v>8</v>
      </c>
      <c r="H4234">
        <v>390.1</v>
      </c>
    </row>
    <row r="4235" spans="1:8" x14ac:dyDescent="0.3">
      <c r="A4235">
        <v>202310</v>
      </c>
      <c r="B4235" s="1">
        <v>45200</v>
      </c>
      <c r="C4235">
        <v>2023</v>
      </c>
      <c r="D4235" t="s">
        <v>17</v>
      </c>
      <c r="E4235" t="s">
        <v>26</v>
      </c>
      <c r="F4235" t="s">
        <v>40</v>
      </c>
      <c r="G4235" t="s">
        <v>8</v>
      </c>
      <c r="H4235">
        <v>619.75</v>
      </c>
    </row>
    <row r="4236" spans="1:8" x14ac:dyDescent="0.3">
      <c r="A4236">
        <v>202311</v>
      </c>
      <c r="B4236" s="1">
        <v>45231</v>
      </c>
      <c r="C4236">
        <v>2023</v>
      </c>
      <c r="D4236" t="s">
        <v>18</v>
      </c>
      <c r="E4236" t="s">
        <v>26</v>
      </c>
      <c r="F4236" t="s">
        <v>40</v>
      </c>
      <c r="G4236" t="s">
        <v>8</v>
      </c>
      <c r="H4236">
        <v>471.41</v>
      </c>
    </row>
    <row r="4237" spans="1:8" x14ac:dyDescent="0.3">
      <c r="A4237">
        <v>202312</v>
      </c>
      <c r="B4237" s="1">
        <v>45261</v>
      </c>
      <c r="C4237">
        <v>2023</v>
      </c>
      <c r="D4237" t="s">
        <v>19</v>
      </c>
      <c r="E4237" t="s">
        <v>26</v>
      </c>
      <c r="F4237" t="s">
        <v>40</v>
      </c>
      <c r="G4237" t="s">
        <v>8</v>
      </c>
      <c r="H4237">
        <v>441.68</v>
      </c>
    </row>
    <row r="4238" spans="1:8" x14ac:dyDescent="0.3">
      <c r="A4238">
        <v>202301</v>
      </c>
      <c r="B4238" s="1">
        <v>44927</v>
      </c>
      <c r="C4238">
        <v>2023</v>
      </c>
      <c r="D4238" t="s">
        <v>6</v>
      </c>
      <c r="E4238" t="s">
        <v>26</v>
      </c>
      <c r="F4238" t="s">
        <v>40</v>
      </c>
      <c r="G4238" t="s">
        <v>8</v>
      </c>
      <c r="H4238">
        <v>105.32</v>
      </c>
    </row>
    <row r="4239" spans="1:8" x14ac:dyDescent="0.3">
      <c r="A4239">
        <v>202302</v>
      </c>
      <c r="B4239" s="1">
        <v>44958</v>
      </c>
      <c r="C4239">
        <v>2023</v>
      </c>
      <c r="D4239" t="s">
        <v>9</v>
      </c>
      <c r="E4239" t="s">
        <v>26</v>
      </c>
      <c r="F4239" t="s">
        <v>40</v>
      </c>
      <c r="G4239" t="s">
        <v>8</v>
      </c>
      <c r="H4239">
        <v>46.17</v>
      </c>
    </row>
    <row r="4240" spans="1:8" x14ac:dyDescent="0.3">
      <c r="A4240">
        <v>202303</v>
      </c>
      <c r="B4240" s="1">
        <v>44986</v>
      </c>
      <c r="C4240">
        <v>2023</v>
      </c>
      <c r="D4240" t="s">
        <v>10</v>
      </c>
      <c r="E4240" t="s">
        <v>26</v>
      </c>
      <c r="F4240" t="s">
        <v>40</v>
      </c>
      <c r="G4240" t="s">
        <v>8</v>
      </c>
      <c r="H4240">
        <v>58.6</v>
      </c>
    </row>
    <row r="4241" spans="1:8" x14ac:dyDescent="0.3">
      <c r="A4241">
        <v>202304</v>
      </c>
      <c r="B4241" s="1">
        <v>45017</v>
      </c>
      <c r="C4241">
        <v>2023</v>
      </c>
      <c r="D4241" t="s">
        <v>11</v>
      </c>
      <c r="E4241" t="s">
        <v>26</v>
      </c>
      <c r="F4241" t="s">
        <v>40</v>
      </c>
      <c r="G4241" t="s">
        <v>8</v>
      </c>
      <c r="H4241">
        <v>82.41</v>
      </c>
    </row>
    <row r="4242" spans="1:8" x14ac:dyDescent="0.3">
      <c r="A4242">
        <v>202305</v>
      </c>
      <c r="B4242" s="1">
        <v>45047</v>
      </c>
      <c r="C4242">
        <v>2023</v>
      </c>
      <c r="D4242" t="s">
        <v>12</v>
      </c>
      <c r="E4242" t="s">
        <v>26</v>
      </c>
      <c r="F4242" t="s">
        <v>40</v>
      </c>
      <c r="G4242" t="s">
        <v>8</v>
      </c>
      <c r="H4242">
        <v>69.73</v>
      </c>
    </row>
    <row r="4243" spans="1:8" x14ac:dyDescent="0.3">
      <c r="A4243">
        <v>202306</v>
      </c>
      <c r="B4243" s="1">
        <v>45078</v>
      </c>
      <c r="C4243">
        <v>2023</v>
      </c>
      <c r="D4243" t="s">
        <v>13</v>
      </c>
      <c r="E4243" t="s">
        <v>26</v>
      </c>
      <c r="F4243" t="s">
        <v>40</v>
      </c>
      <c r="G4243" t="s">
        <v>8</v>
      </c>
      <c r="H4243">
        <v>53.56</v>
      </c>
    </row>
    <row r="4244" spans="1:8" x14ac:dyDescent="0.3">
      <c r="A4244">
        <v>202307</v>
      </c>
      <c r="B4244" s="1">
        <v>45108</v>
      </c>
      <c r="C4244">
        <v>2023</v>
      </c>
      <c r="D4244" t="s">
        <v>14</v>
      </c>
      <c r="E4244" t="s">
        <v>26</v>
      </c>
      <c r="F4244" t="s">
        <v>40</v>
      </c>
      <c r="G4244" t="s">
        <v>8</v>
      </c>
      <c r="H4244">
        <v>86.79</v>
      </c>
    </row>
    <row r="4245" spans="1:8" x14ac:dyDescent="0.3">
      <c r="A4245">
        <v>202308</v>
      </c>
      <c r="B4245" s="1">
        <v>45139</v>
      </c>
      <c r="C4245">
        <v>2023</v>
      </c>
      <c r="D4245" t="s">
        <v>15</v>
      </c>
      <c r="E4245" t="s">
        <v>26</v>
      </c>
      <c r="F4245" t="s">
        <v>40</v>
      </c>
      <c r="G4245" t="s">
        <v>8</v>
      </c>
      <c r="H4245">
        <v>60.83</v>
      </c>
    </row>
    <row r="4246" spans="1:8" x14ac:dyDescent="0.3">
      <c r="A4246">
        <v>202309</v>
      </c>
      <c r="B4246" s="1">
        <v>45170</v>
      </c>
      <c r="C4246">
        <v>2023</v>
      </c>
      <c r="D4246" t="s">
        <v>16</v>
      </c>
      <c r="E4246" t="s">
        <v>26</v>
      </c>
      <c r="F4246" t="s">
        <v>40</v>
      </c>
      <c r="G4246" t="s">
        <v>8</v>
      </c>
      <c r="H4246">
        <v>60.5</v>
      </c>
    </row>
    <row r="4247" spans="1:8" x14ac:dyDescent="0.3">
      <c r="A4247">
        <v>202310</v>
      </c>
      <c r="B4247" s="1">
        <v>45200</v>
      </c>
      <c r="C4247">
        <v>2023</v>
      </c>
      <c r="D4247" t="s">
        <v>17</v>
      </c>
      <c r="E4247" t="s">
        <v>26</v>
      </c>
      <c r="F4247" t="s">
        <v>40</v>
      </c>
      <c r="G4247" t="s">
        <v>8</v>
      </c>
      <c r="H4247">
        <v>85.43</v>
      </c>
    </row>
    <row r="4248" spans="1:8" x14ac:dyDescent="0.3">
      <c r="A4248">
        <v>202311</v>
      </c>
      <c r="B4248" s="1">
        <v>45231</v>
      </c>
      <c r="C4248">
        <v>2023</v>
      </c>
      <c r="D4248" t="s">
        <v>18</v>
      </c>
      <c r="E4248" t="s">
        <v>26</v>
      </c>
      <c r="F4248" t="s">
        <v>40</v>
      </c>
      <c r="G4248" t="s">
        <v>8</v>
      </c>
      <c r="H4248">
        <v>66.97</v>
      </c>
    </row>
    <row r="4249" spans="1:8" x14ac:dyDescent="0.3">
      <c r="A4249">
        <v>202312</v>
      </c>
      <c r="B4249" s="1">
        <v>45261</v>
      </c>
      <c r="C4249">
        <v>2023</v>
      </c>
      <c r="D4249" t="s">
        <v>19</v>
      </c>
      <c r="E4249" t="s">
        <v>26</v>
      </c>
      <c r="F4249" t="s">
        <v>40</v>
      </c>
      <c r="G4249" t="s">
        <v>8</v>
      </c>
      <c r="H4249">
        <v>65.349999999999994</v>
      </c>
    </row>
    <row r="4250" spans="1:8" x14ac:dyDescent="0.3">
      <c r="A4250">
        <v>202301</v>
      </c>
      <c r="B4250" s="1">
        <v>44927</v>
      </c>
      <c r="C4250">
        <v>2023</v>
      </c>
      <c r="D4250" t="s">
        <v>6</v>
      </c>
      <c r="E4250" t="s">
        <v>26</v>
      </c>
      <c r="F4250" t="s">
        <v>40</v>
      </c>
      <c r="G4250" t="s">
        <v>8</v>
      </c>
      <c r="H4250">
        <v>184.58</v>
      </c>
    </row>
    <row r="4251" spans="1:8" x14ac:dyDescent="0.3">
      <c r="A4251">
        <v>202302</v>
      </c>
      <c r="B4251" s="1">
        <v>44958</v>
      </c>
      <c r="C4251">
        <v>2023</v>
      </c>
      <c r="D4251" t="s">
        <v>9</v>
      </c>
      <c r="E4251" t="s">
        <v>26</v>
      </c>
      <c r="F4251" t="s">
        <v>40</v>
      </c>
      <c r="G4251" t="s">
        <v>8</v>
      </c>
      <c r="H4251">
        <v>62.34</v>
      </c>
    </row>
    <row r="4252" spans="1:8" x14ac:dyDescent="0.3">
      <c r="A4252">
        <v>202303</v>
      </c>
      <c r="B4252" s="1">
        <v>44986</v>
      </c>
      <c r="C4252">
        <v>2023</v>
      </c>
      <c r="D4252" t="s">
        <v>10</v>
      </c>
      <c r="E4252" t="s">
        <v>26</v>
      </c>
      <c r="F4252" t="s">
        <v>40</v>
      </c>
      <c r="G4252" t="s">
        <v>8</v>
      </c>
      <c r="H4252">
        <v>67.849999999999994</v>
      </c>
    </row>
    <row r="4253" spans="1:8" x14ac:dyDescent="0.3">
      <c r="A4253">
        <v>202304</v>
      </c>
      <c r="B4253" s="1">
        <v>45017</v>
      </c>
      <c r="C4253">
        <v>2023</v>
      </c>
      <c r="D4253" t="s">
        <v>11</v>
      </c>
      <c r="E4253" t="s">
        <v>26</v>
      </c>
      <c r="F4253" t="s">
        <v>40</v>
      </c>
      <c r="G4253" t="s">
        <v>8</v>
      </c>
      <c r="H4253">
        <v>115.95</v>
      </c>
    </row>
    <row r="4254" spans="1:8" x14ac:dyDescent="0.3">
      <c r="A4254">
        <v>202305</v>
      </c>
      <c r="B4254" s="1">
        <v>45047</v>
      </c>
      <c r="C4254">
        <v>2023</v>
      </c>
      <c r="D4254" t="s">
        <v>12</v>
      </c>
      <c r="E4254" t="s">
        <v>26</v>
      </c>
      <c r="F4254" t="s">
        <v>40</v>
      </c>
      <c r="G4254" t="s">
        <v>8</v>
      </c>
      <c r="H4254">
        <v>107.79</v>
      </c>
    </row>
    <row r="4255" spans="1:8" x14ac:dyDescent="0.3">
      <c r="A4255">
        <v>202306</v>
      </c>
      <c r="B4255" s="1">
        <v>45078</v>
      </c>
      <c r="C4255">
        <v>2023</v>
      </c>
      <c r="D4255" t="s">
        <v>13</v>
      </c>
      <c r="E4255" t="s">
        <v>26</v>
      </c>
      <c r="F4255" t="s">
        <v>40</v>
      </c>
      <c r="G4255" t="s">
        <v>8</v>
      </c>
      <c r="H4255">
        <v>111.95</v>
      </c>
    </row>
    <row r="4256" spans="1:8" x14ac:dyDescent="0.3">
      <c r="A4256">
        <v>202307</v>
      </c>
      <c r="B4256" s="1">
        <v>45108</v>
      </c>
      <c r="C4256">
        <v>2023</v>
      </c>
      <c r="D4256" t="s">
        <v>14</v>
      </c>
      <c r="E4256" t="s">
        <v>26</v>
      </c>
      <c r="F4256" t="s">
        <v>40</v>
      </c>
      <c r="G4256" t="s">
        <v>8</v>
      </c>
      <c r="H4256">
        <v>142.38</v>
      </c>
    </row>
    <row r="4257" spans="1:8" x14ac:dyDescent="0.3">
      <c r="A4257">
        <v>202308</v>
      </c>
      <c r="B4257" s="1">
        <v>45139</v>
      </c>
      <c r="C4257">
        <v>2023</v>
      </c>
      <c r="D4257" t="s">
        <v>15</v>
      </c>
      <c r="E4257" t="s">
        <v>26</v>
      </c>
      <c r="F4257" t="s">
        <v>40</v>
      </c>
      <c r="G4257" t="s">
        <v>8</v>
      </c>
      <c r="H4257">
        <v>85.94</v>
      </c>
    </row>
    <row r="4258" spans="1:8" x14ac:dyDescent="0.3">
      <c r="A4258">
        <v>202309</v>
      </c>
      <c r="B4258" s="1">
        <v>45170</v>
      </c>
      <c r="C4258">
        <v>2023</v>
      </c>
      <c r="D4258" t="s">
        <v>16</v>
      </c>
      <c r="E4258" t="s">
        <v>26</v>
      </c>
      <c r="F4258" t="s">
        <v>40</v>
      </c>
      <c r="G4258" t="s">
        <v>8</v>
      </c>
      <c r="H4258">
        <v>106.13</v>
      </c>
    </row>
    <row r="4259" spans="1:8" x14ac:dyDescent="0.3">
      <c r="A4259">
        <v>202310</v>
      </c>
      <c r="B4259" s="1">
        <v>45200</v>
      </c>
      <c r="C4259">
        <v>2023</v>
      </c>
      <c r="D4259" t="s">
        <v>17</v>
      </c>
      <c r="E4259" t="s">
        <v>26</v>
      </c>
      <c r="F4259" t="s">
        <v>40</v>
      </c>
      <c r="G4259" t="s">
        <v>8</v>
      </c>
      <c r="H4259">
        <v>172.05</v>
      </c>
    </row>
    <row r="4260" spans="1:8" x14ac:dyDescent="0.3">
      <c r="A4260">
        <v>202311</v>
      </c>
      <c r="B4260" s="1">
        <v>45231</v>
      </c>
      <c r="C4260">
        <v>2023</v>
      </c>
      <c r="D4260" t="s">
        <v>18</v>
      </c>
      <c r="E4260" t="s">
        <v>26</v>
      </c>
      <c r="F4260" t="s">
        <v>40</v>
      </c>
      <c r="G4260" t="s">
        <v>8</v>
      </c>
      <c r="H4260">
        <v>139.24</v>
      </c>
    </row>
    <row r="4261" spans="1:8" x14ac:dyDescent="0.3">
      <c r="A4261">
        <v>202312</v>
      </c>
      <c r="B4261" s="1">
        <v>45261</v>
      </c>
      <c r="C4261">
        <v>2023</v>
      </c>
      <c r="D4261" t="s">
        <v>19</v>
      </c>
      <c r="E4261" t="s">
        <v>26</v>
      </c>
      <c r="F4261" t="s">
        <v>40</v>
      </c>
      <c r="G4261" t="s">
        <v>8</v>
      </c>
      <c r="H4261">
        <v>95.71</v>
      </c>
    </row>
    <row r="4262" spans="1:8" x14ac:dyDescent="0.3">
      <c r="A4262">
        <v>202301</v>
      </c>
      <c r="B4262" s="1">
        <v>44927</v>
      </c>
      <c r="C4262">
        <v>2023</v>
      </c>
      <c r="D4262" t="s">
        <v>6</v>
      </c>
      <c r="E4262" t="s">
        <v>26</v>
      </c>
      <c r="F4262" t="s">
        <v>40</v>
      </c>
      <c r="G4262" t="s">
        <v>8</v>
      </c>
      <c r="H4262">
        <v>158.63</v>
      </c>
    </row>
    <row r="4263" spans="1:8" x14ac:dyDescent="0.3">
      <c r="A4263">
        <v>202302</v>
      </c>
      <c r="B4263" s="1">
        <v>44958</v>
      </c>
      <c r="C4263">
        <v>2023</v>
      </c>
      <c r="D4263" t="s">
        <v>9</v>
      </c>
      <c r="E4263" t="s">
        <v>26</v>
      </c>
      <c r="F4263" t="s">
        <v>40</v>
      </c>
      <c r="G4263" t="s">
        <v>8</v>
      </c>
      <c r="H4263">
        <v>103.99</v>
      </c>
    </row>
    <row r="4264" spans="1:8" x14ac:dyDescent="0.3">
      <c r="A4264">
        <v>202303</v>
      </c>
      <c r="B4264" s="1">
        <v>44986</v>
      </c>
      <c r="C4264">
        <v>2023</v>
      </c>
      <c r="D4264" t="s">
        <v>10</v>
      </c>
      <c r="E4264" t="s">
        <v>26</v>
      </c>
      <c r="F4264" t="s">
        <v>40</v>
      </c>
      <c r="G4264" t="s">
        <v>8</v>
      </c>
      <c r="H4264">
        <v>105.22</v>
      </c>
    </row>
    <row r="4265" spans="1:8" x14ac:dyDescent="0.3">
      <c r="A4265">
        <v>202304</v>
      </c>
      <c r="B4265" s="1">
        <v>45017</v>
      </c>
      <c r="C4265">
        <v>2023</v>
      </c>
      <c r="D4265" t="s">
        <v>11</v>
      </c>
      <c r="E4265" t="s">
        <v>26</v>
      </c>
      <c r="F4265" t="s">
        <v>40</v>
      </c>
      <c r="G4265" t="s">
        <v>8</v>
      </c>
      <c r="H4265">
        <v>193.18</v>
      </c>
    </row>
    <row r="4266" spans="1:8" x14ac:dyDescent="0.3">
      <c r="A4266">
        <v>202305</v>
      </c>
      <c r="B4266" s="1">
        <v>45047</v>
      </c>
      <c r="C4266">
        <v>2023</v>
      </c>
      <c r="D4266" t="s">
        <v>12</v>
      </c>
      <c r="E4266" t="s">
        <v>26</v>
      </c>
      <c r="F4266" t="s">
        <v>40</v>
      </c>
      <c r="G4266" t="s">
        <v>8</v>
      </c>
      <c r="H4266">
        <v>159.16</v>
      </c>
    </row>
    <row r="4267" spans="1:8" x14ac:dyDescent="0.3">
      <c r="A4267">
        <v>202306</v>
      </c>
      <c r="B4267" s="1">
        <v>45078</v>
      </c>
      <c r="C4267">
        <v>2023</v>
      </c>
      <c r="D4267" t="s">
        <v>13</v>
      </c>
      <c r="E4267" t="s">
        <v>26</v>
      </c>
      <c r="F4267" t="s">
        <v>40</v>
      </c>
      <c r="G4267" t="s">
        <v>8</v>
      </c>
      <c r="H4267">
        <v>151.22999999999999</v>
      </c>
    </row>
    <row r="4268" spans="1:8" x14ac:dyDescent="0.3">
      <c r="A4268">
        <v>202307</v>
      </c>
      <c r="B4268" s="1">
        <v>45108</v>
      </c>
      <c r="C4268">
        <v>2023</v>
      </c>
      <c r="D4268" t="s">
        <v>14</v>
      </c>
      <c r="E4268" t="s">
        <v>26</v>
      </c>
      <c r="F4268" t="s">
        <v>40</v>
      </c>
      <c r="G4268" t="s">
        <v>8</v>
      </c>
      <c r="H4268">
        <v>172.39</v>
      </c>
    </row>
    <row r="4269" spans="1:8" x14ac:dyDescent="0.3">
      <c r="A4269">
        <v>202308</v>
      </c>
      <c r="B4269" s="1">
        <v>45139</v>
      </c>
      <c r="C4269">
        <v>2023</v>
      </c>
      <c r="D4269" t="s">
        <v>15</v>
      </c>
      <c r="E4269" t="s">
        <v>26</v>
      </c>
      <c r="F4269" t="s">
        <v>40</v>
      </c>
      <c r="G4269" t="s">
        <v>8</v>
      </c>
      <c r="H4269">
        <v>161.04</v>
      </c>
    </row>
    <row r="4270" spans="1:8" x14ac:dyDescent="0.3">
      <c r="A4270">
        <v>202309</v>
      </c>
      <c r="B4270" s="1">
        <v>45170</v>
      </c>
      <c r="C4270">
        <v>2023</v>
      </c>
      <c r="D4270" t="s">
        <v>16</v>
      </c>
      <c r="E4270" t="s">
        <v>26</v>
      </c>
      <c r="F4270" t="s">
        <v>40</v>
      </c>
      <c r="G4270" t="s">
        <v>8</v>
      </c>
      <c r="H4270">
        <v>174.42</v>
      </c>
    </row>
    <row r="4271" spans="1:8" x14ac:dyDescent="0.3">
      <c r="A4271">
        <v>202310</v>
      </c>
      <c r="B4271" s="1">
        <v>45200</v>
      </c>
      <c r="C4271">
        <v>2023</v>
      </c>
      <c r="D4271" t="s">
        <v>17</v>
      </c>
      <c r="E4271" t="s">
        <v>26</v>
      </c>
      <c r="F4271" t="s">
        <v>40</v>
      </c>
      <c r="G4271" t="s">
        <v>8</v>
      </c>
      <c r="H4271">
        <v>214.62</v>
      </c>
    </row>
    <row r="4272" spans="1:8" x14ac:dyDescent="0.3">
      <c r="A4272">
        <v>202311</v>
      </c>
      <c r="B4272" s="1">
        <v>45231</v>
      </c>
      <c r="C4272">
        <v>2023</v>
      </c>
      <c r="D4272" t="s">
        <v>18</v>
      </c>
      <c r="E4272" t="s">
        <v>26</v>
      </c>
      <c r="F4272" t="s">
        <v>40</v>
      </c>
      <c r="G4272" t="s">
        <v>8</v>
      </c>
      <c r="H4272">
        <v>146.91999999999999</v>
      </c>
    </row>
    <row r="4273" spans="1:8" x14ac:dyDescent="0.3">
      <c r="A4273">
        <v>202312</v>
      </c>
      <c r="B4273" s="1">
        <v>45261</v>
      </c>
      <c r="C4273">
        <v>2023</v>
      </c>
      <c r="D4273" t="s">
        <v>19</v>
      </c>
      <c r="E4273" t="s">
        <v>26</v>
      </c>
      <c r="F4273" t="s">
        <v>40</v>
      </c>
      <c r="G4273" t="s">
        <v>8</v>
      </c>
      <c r="H4273">
        <v>247.28</v>
      </c>
    </row>
    <row r="4274" spans="1:8" x14ac:dyDescent="0.3">
      <c r="A4274">
        <v>202301</v>
      </c>
      <c r="B4274" s="1">
        <v>44927</v>
      </c>
      <c r="C4274">
        <v>2023</v>
      </c>
      <c r="D4274" t="s">
        <v>6</v>
      </c>
      <c r="E4274" t="s">
        <v>27</v>
      </c>
      <c r="F4274" t="s">
        <v>40</v>
      </c>
      <c r="G4274" t="s">
        <v>28</v>
      </c>
      <c r="H4274">
        <v>275.77</v>
      </c>
    </row>
    <row r="4275" spans="1:8" x14ac:dyDescent="0.3">
      <c r="A4275">
        <v>202302</v>
      </c>
      <c r="B4275" s="1">
        <v>44958</v>
      </c>
      <c r="C4275">
        <v>2023</v>
      </c>
      <c r="D4275" t="s">
        <v>9</v>
      </c>
      <c r="E4275" t="s">
        <v>27</v>
      </c>
      <c r="F4275" t="s">
        <v>40</v>
      </c>
      <c r="G4275" t="s">
        <v>28</v>
      </c>
      <c r="H4275">
        <v>174.21</v>
      </c>
    </row>
    <row r="4276" spans="1:8" x14ac:dyDescent="0.3">
      <c r="A4276">
        <v>202303</v>
      </c>
      <c r="B4276" s="1">
        <v>44986</v>
      </c>
      <c r="C4276">
        <v>2023</v>
      </c>
      <c r="D4276" t="s">
        <v>10</v>
      </c>
      <c r="E4276" t="s">
        <v>27</v>
      </c>
      <c r="F4276" t="s">
        <v>40</v>
      </c>
      <c r="G4276" t="s">
        <v>28</v>
      </c>
      <c r="H4276">
        <v>140.96</v>
      </c>
    </row>
    <row r="4277" spans="1:8" x14ac:dyDescent="0.3">
      <c r="A4277">
        <v>202304</v>
      </c>
      <c r="B4277" s="1">
        <v>45017</v>
      </c>
      <c r="C4277">
        <v>2023</v>
      </c>
      <c r="D4277" t="s">
        <v>11</v>
      </c>
      <c r="E4277" t="s">
        <v>27</v>
      </c>
      <c r="F4277" t="s">
        <v>40</v>
      </c>
      <c r="G4277" t="s">
        <v>28</v>
      </c>
      <c r="H4277">
        <v>285.05</v>
      </c>
    </row>
    <row r="4278" spans="1:8" x14ac:dyDescent="0.3">
      <c r="A4278">
        <v>202305</v>
      </c>
      <c r="B4278" s="1">
        <v>45047</v>
      </c>
      <c r="C4278">
        <v>2023</v>
      </c>
      <c r="D4278" t="s">
        <v>12</v>
      </c>
      <c r="E4278" t="s">
        <v>27</v>
      </c>
      <c r="F4278" t="s">
        <v>40</v>
      </c>
      <c r="G4278" t="s">
        <v>28</v>
      </c>
      <c r="H4278">
        <v>191.41</v>
      </c>
    </row>
    <row r="4279" spans="1:8" x14ac:dyDescent="0.3">
      <c r="A4279">
        <v>202306</v>
      </c>
      <c r="B4279" s="1">
        <v>45078</v>
      </c>
      <c r="C4279">
        <v>2023</v>
      </c>
      <c r="D4279" t="s">
        <v>13</v>
      </c>
      <c r="E4279" t="s">
        <v>27</v>
      </c>
      <c r="F4279" t="s">
        <v>40</v>
      </c>
      <c r="G4279" t="s">
        <v>28</v>
      </c>
      <c r="H4279">
        <v>183.62</v>
      </c>
    </row>
    <row r="4280" spans="1:8" x14ac:dyDescent="0.3">
      <c r="A4280">
        <v>202307</v>
      </c>
      <c r="B4280" s="1">
        <v>45108</v>
      </c>
      <c r="C4280">
        <v>2023</v>
      </c>
      <c r="D4280" t="s">
        <v>14</v>
      </c>
      <c r="E4280" t="s">
        <v>27</v>
      </c>
      <c r="F4280" t="s">
        <v>40</v>
      </c>
      <c r="G4280" t="s">
        <v>28</v>
      </c>
      <c r="H4280">
        <v>277.22000000000003</v>
      </c>
    </row>
    <row r="4281" spans="1:8" x14ac:dyDescent="0.3">
      <c r="A4281">
        <v>202308</v>
      </c>
      <c r="B4281" s="1">
        <v>45139</v>
      </c>
      <c r="C4281">
        <v>2023</v>
      </c>
      <c r="D4281" t="s">
        <v>15</v>
      </c>
      <c r="E4281" t="s">
        <v>27</v>
      </c>
      <c r="F4281" t="s">
        <v>40</v>
      </c>
      <c r="G4281" t="s">
        <v>28</v>
      </c>
      <c r="H4281">
        <v>187.08</v>
      </c>
    </row>
    <row r="4282" spans="1:8" x14ac:dyDescent="0.3">
      <c r="A4282">
        <v>202309</v>
      </c>
      <c r="B4282" s="1">
        <v>45170</v>
      </c>
      <c r="C4282">
        <v>2023</v>
      </c>
      <c r="D4282" t="s">
        <v>16</v>
      </c>
      <c r="E4282" t="s">
        <v>27</v>
      </c>
      <c r="F4282" t="s">
        <v>40</v>
      </c>
      <c r="G4282" t="s">
        <v>28</v>
      </c>
      <c r="H4282">
        <v>171.95</v>
      </c>
    </row>
    <row r="4283" spans="1:8" x14ac:dyDescent="0.3">
      <c r="A4283">
        <v>202310</v>
      </c>
      <c r="B4283" s="1">
        <v>45200</v>
      </c>
      <c r="C4283">
        <v>2023</v>
      </c>
      <c r="D4283" t="s">
        <v>17</v>
      </c>
      <c r="E4283" t="s">
        <v>27</v>
      </c>
      <c r="F4283" t="s">
        <v>40</v>
      </c>
      <c r="G4283" t="s">
        <v>28</v>
      </c>
      <c r="H4283">
        <v>284.97000000000003</v>
      </c>
    </row>
    <row r="4284" spans="1:8" x14ac:dyDescent="0.3">
      <c r="A4284">
        <v>202311</v>
      </c>
      <c r="B4284" s="1">
        <v>45231</v>
      </c>
      <c r="C4284">
        <v>2023</v>
      </c>
      <c r="D4284" t="s">
        <v>18</v>
      </c>
      <c r="E4284" t="s">
        <v>27</v>
      </c>
      <c r="F4284" t="s">
        <v>40</v>
      </c>
      <c r="G4284" t="s">
        <v>28</v>
      </c>
      <c r="H4284">
        <v>155.54</v>
      </c>
    </row>
    <row r="4285" spans="1:8" x14ac:dyDescent="0.3">
      <c r="A4285">
        <v>202312</v>
      </c>
      <c r="B4285" s="1">
        <v>45261</v>
      </c>
      <c r="C4285">
        <v>2023</v>
      </c>
      <c r="D4285" t="s">
        <v>19</v>
      </c>
      <c r="E4285" t="s">
        <v>27</v>
      </c>
      <c r="F4285" t="s">
        <v>40</v>
      </c>
      <c r="G4285" t="s">
        <v>28</v>
      </c>
      <c r="H4285">
        <v>168.76</v>
      </c>
    </row>
    <row r="4286" spans="1:8" x14ac:dyDescent="0.3">
      <c r="A4286">
        <v>202301</v>
      </c>
      <c r="B4286" s="1">
        <v>44927</v>
      </c>
      <c r="C4286">
        <v>2023</v>
      </c>
      <c r="D4286" t="s">
        <v>6</v>
      </c>
      <c r="E4286" t="s">
        <v>27</v>
      </c>
      <c r="F4286" t="s">
        <v>40</v>
      </c>
      <c r="G4286" t="s">
        <v>28</v>
      </c>
      <c r="H4286">
        <v>102.05</v>
      </c>
    </row>
    <row r="4287" spans="1:8" x14ac:dyDescent="0.3">
      <c r="A4287">
        <v>202302</v>
      </c>
      <c r="B4287" s="1">
        <v>44958</v>
      </c>
      <c r="C4287">
        <v>2023</v>
      </c>
      <c r="D4287" t="s">
        <v>9</v>
      </c>
      <c r="E4287" t="s">
        <v>27</v>
      </c>
      <c r="F4287" t="s">
        <v>40</v>
      </c>
      <c r="G4287" t="s">
        <v>28</v>
      </c>
      <c r="H4287">
        <v>43.22</v>
      </c>
    </row>
    <row r="4288" spans="1:8" x14ac:dyDescent="0.3">
      <c r="A4288">
        <v>202303</v>
      </c>
      <c r="B4288" s="1">
        <v>44986</v>
      </c>
      <c r="C4288">
        <v>2023</v>
      </c>
      <c r="D4288" t="s">
        <v>10</v>
      </c>
      <c r="E4288" t="s">
        <v>27</v>
      </c>
      <c r="F4288" t="s">
        <v>40</v>
      </c>
      <c r="G4288" t="s">
        <v>28</v>
      </c>
      <c r="H4288">
        <v>69.569999999999993</v>
      </c>
    </row>
    <row r="4289" spans="1:8" x14ac:dyDescent="0.3">
      <c r="A4289">
        <v>202304</v>
      </c>
      <c r="B4289" s="1">
        <v>45017</v>
      </c>
      <c r="C4289">
        <v>2023</v>
      </c>
      <c r="D4289" t="s">
        <v>11</v>
      </c>
      <c r="E4289" t="s">
        <v>27</v>
      </c>
      <c r="F4289" t="s">
        <v>40</v>
      </c>
      <c r="G4289" t="s">
        <v>28</v>
      </c>
      <c r="H4289">
        <v>92.03</v>
      </c>
    </row>
    <row r="4290" spans="1:8" x14ac:dyDescent="0.3">
      <c r="A4290">
        <v>202305</v>
      </c>
      <c r="B4290" s="1">
        <v>45047</v>
      </c>
      <c r="C4290">
        <v>2023</v>
      </c>
      <c r="D4290" t="s">
        <v>12</v>
      </c>
      <c r="E4290" t="s">
        <v>27</v>
      </c>
      <c r="F4290" t="s">
        <v>40</v>
      </c>
      <c r="G4290" t="s">
        <v>28</v>
      </c>
      <c r="H4290">
        <v>89.6</v>
      </c>
    </row>
    <row r="4291" spans="1:8" x14ac:dyDescent="0.3">
      <c r="A4291">
        <v>202306</v>
      </c>
      <c r="B4291" s="1">
        <v>45078</v>
      </c>
      <c r="C4291">
        <v>2023</v>
      </c>
      <c r="D4291" t="s">
        <v>13</v>
      </c>
      <c r="E4291" t="s">
        <v>27</v>
      </c>
      <c r="F4291" t="s">
        <v>40</v>
      </c>
      <c r="G4291" t="s">
        <v>28</v>
      </c>
      <c r="H4291">
        <v>97.93</v>
      </c>
    </row>
    <row r="4292" spans="1:8" x14ac:dyDescent="0.3">
      <c r="A4292">
        <v>202307</v>
      </c>
      <c r="B4292" s="1">
        <v>45108</v>
      </c>
      <c r="C4292">
        <v>2023</v>
      </c>
      <c r="D4292" t="s">
        <v>14</v>
      </c>
      <c r="E4292" t="s">
        <v>27</v>
      </c>
      <c r="F4292" t="s">
        <v>40</v>
      </c>
      <c r="G4292" t="s">
        <v>28</v>
      </c>
      <c r="H4292">
        <v>75.709999999999994</v>
      </c>
    </row>
    <row r="4293" spans="1:8" x14ac:dyDescent="0.3">
      <c r="A4293">
        <v>202308</v>
      </c>
      <c r="B4293" s="1">
        <v>45139</v>
      </c>
      <c r="C4293">
        <v>2023</v>
      </c>
      <c r="D4293" t="s">
        <v>15</v>
      </c>
      <c r="E4293" t="s">
        <v>27</v>
      </c>
      <c r="F4293" t="s">
        <v>40</v>
      </c>
      <c r="G4293" t="s">
        <v>28</v>
      </c>
      <c r="H4293">
        <v>105.66</v>
      </c>
    </row>
    <row r="4294" spans="1:8" x14ac:dyDescent="0.3">
      <c r="A4294">
        <v>202309</v>
      </c>
      <c r="B4294" s="1">
        <v>45170</v>
      </c>
      <c r="C4294">
        <v>2023</v>
      </c>
      <c r="D4294" t="s">
        <v>16</v>
      </c>
      <c r="E4294" t="s">
        <v>27</v>
      </c>
      <c r="F4294" t="s">
        <v>40</v>
      </c>
      <c r="G4294" t="s">
        <v>28</v>
      </c>
      <c r="H4294">
        <v>86.31</v>
      </c>
    </row>
    <row r="4295" spans="1:8" x14ac:dyDescent="0.3">
      <c r="A4295">
        <v>202310</v>
      </c>
      <c r="B4295" s="1">
        <v>45200</v>
      </c>
      <c r="C4295">
        <v>2023</v>
      </c>
      <c r="D4295" t="s">
        <v>17</v>
      </c>
      <c r="E4295" t="s">
        <v>27</v>
      </c>
      <c r="F4295" t="s">
        <v>40</v>
      </c>
      <c r="G4295" t="s">
        <v>28</v>
      </c>
      <c r="H4295">
        <v>95.49</v>
      </c>
    </row>
    <row r="4296" spans="1:8" x14ac:dyDescent="0.3">
      <c r="A4296">
        <v>202311</v>
      </c>
      <c r="B4296" s="1">
        <v>45231</v>
      </c>
      <c r="C4296">
        <v>2023</v>
      </c>
      <c r="D4296" t="s">
        <v>18</v>
      </c>
      <c r="E4296" t="s">
        <v>27</v>
      </c>
      <c r="F4296" t="s">
        <v>40</v>
      </c>
      <c r="G4296" t="s">
        <v>28</v>
      </c>
      <c r="H4296">
        <v>79.45</v>
      </c>
    </row>
    <row r="4297" spans="1:8" x14ac:dyDescent="0.3">
      <c r="A4297">
        <v>202312</v>
      </c>
      <c r="B4297" s="1">
        <v>45261</v>
      </c>
      <c r="C4297">
        <v>2023</v>
      </c>
      <c r="D4297" t="s">
        <v>19</v>
      </c>
      <c r="E4297" t="s">
        <v>27</v>
      </c>
      <c r="F4297" t="s">
        <v>40</v>
      </c>
      <c r="G4297" t="s">
        <v>28</v>
      </c>
      <c r="H4297">
        <v>119.35</v>
      </c>
    </row>
    <row r="4298" spans="1:8" x14ac:dyDescent="0.3">
      <c r="A4298">
        <v>202301</v>
      </c>
      <c r="B4298" s="1">
        <v>44927</v>
      </c>
      <c r="C4298">
        <v>2023</v>
      </c>
      <c r="D4298" t="s">
        <v>6</v>
      </c>
      <c r="E4298" t="s">
        <v>27</v>
      </c>
      <c r="F4298" t="s">
        <v>40</v>
      </c>
      <c r="G4298" t="s">
        <v>28</v>
      </c>
      <c r="H4298">
        <v>176.13</v>
      </c>
    </row>
    <row r="4299" spans="1:8" x14ac:dyDescent="0.3">
      <c r="A4299">
        <v>202302</v>
      </c>
      <c r="B4299" s="1">
        <v>44958</v>
      </c>
      <c r="C4299">
        <v>2023</v>
      </c>
      <c r="D4299" t="s">
        <v>9</v>
      </c>
      <c r="E4299" t="s">
        <v>27</v>
      </c>
      <c r="F4299" t="s">
        <v>40</v>
      </c>
      <c r="G4299" t="s">
        <v>28</v>
      </c>
      <c r="H4299">
        <v>93.73</v>
      </c>
    </row>
    <row r="4300" spans="1:8" x14ac:dyDescent="0.3">
      <c r="A4300">
        <v>202303</v>
      </c>
      <c r="B4300" s="1">
        <v>44986</v>
      </c>
      <c r="C4300">
        <v>2023</v>
      </c>
      <c r="D4300" t="s">
        <v>10</v>
      </c>
      <c r="E4300" t="s">
        <v>27</v>
      </c>
      <c r="F4300" t="s">
        <v>40</v>
      </c>
      <c r="G4300" t="s">
        <v>28</v>
      </c>
      <c r="H4300">
        <v>109.91</v>
      </c>
    </row>
    <row r="4301" spans="1:8" x14ac:dyDescent="0.3">
      <c r="A4301">
        <v>202304</v>
      </c>
      <c r="B4301" s="1">
        <v>45017</v>
      </c>
      <c r="C4301">
        <v>2023</v>
      </c>
      <c r="D4301" t="s">
        <v>11</v>
      </c>
      <c r="E4301" t="s">
        <v>27</v>
      </c>
      <c r="F4301" t="s">
        <v>40</v>
      </c>
      <c r="G4301" t="s">
        <v>28</v>
      </c>
      <c r="H4301">
        <v>172.32</v>
      </c>
    </row>
    <row r="4302" spans="1:8" x14ac:dyDescent="0.3">
      <c r="A4302">
        <v>202305</v>
      </c>
      <c r="B4302" s="1">
        <v>45047</v>
      </c>
      <c r="C4302">
        <v>2023</v>
      </c>
      <c r="D4302" t="s">
        <v>12</v>
      </c>
      <c r="E4302" t="s">
        <v>27</v>
      </c>
      <c r="F4302" t="s">
        <v>40</v>
      </c>
      <c r="G4302" t="s">
        <v>28</v>
      </c>
      <c r="H4302">
        <v>134.11000000000001</v>
      </c>
    </row>
    <row r="4303" spans="1:8" x14ac:dyDescent="0.3">
      <c r="A4303">
        <v>202306</v>
      </c>
      <c r="B4303" s="1">
        <v>45078</v>
      </c>
      <c r="C4303">
        <v>2023</v>
      </c>
      <c r="D4303" t="s">
        <v>13</v>
      </c>
      <c r="E4303" t="s">
        <v>27</v>
      </c>
      <c r="F4303" t="s">
        <v>40</v>
      </c>
      <c r="G4303" t="s">
        <v>28</v>
      </c>
      <c r="H4303">
        <v>122.87</v>
      </c>
    </row>
    <row r="4304" spans="1:8" x14ac:dyDescent="0.3">
      <c r="A4304">
        <v>202307</v>
      </c>
      <c r="B4304" s="1">
        <v>45108</v>
      </c>
      <c r="C4304">
        <v>2023</v>
      </c>
      <c r="D4304" t="s">
        <v>14</v>
      </c>
      <c r="E4304" t="s">
        <v>27</v>
      </c>
      <c r="F4304" t="s">
        <v>40</v>
      </c>
      <c r="G4304" t="s">
        <v>28</v>
      </c>
      <c r="H4304">
        <v>159.88999999999999</v>
      </c>
    </row>
    <row r="4305" spans="1:8" x14ac:dyDescent="0.3">
      <c r="A4305">
        <v>202308</v>
      </c>
      <c r="B4305" s="1">
        <v>45139</v>
      </c>
      <c r="C4305">
        <v>2023</v>
      </c>
      <c r="D4305" t="s">
        <v>15</v>
      </c>
      <c r="E4305" t="s">
        <v>27</v>
      </c>
      <c r="F4305" t="s">
        <v>40</v>
      </c>
      <c r="G4305" t="s">
        <v>28</v>
      </c>
      <c r="H4305">
        <v>118.67</v>
      </c>
    </row>
    <row r="4306" spans="1:8" x14ac:dyDescent="0.3">
      <c r="A4306">
        <v>202309</v>
      </c>
      <c r="B4306" s="1">
        <v>45170</v>
      </c>
      <c r="C4306">
        <v>2023</v>
      </c>
      <c r="D4306" t="s">
        <v>16</v>
      </c>
      <c r="E4306" t="s">
        <v>27</v>
      </c>
      <c r="F4306" t="s">
        <v>40</v>
      </c>
      <c r="G4306" t="s">
        <v>28</v>
      </c>
      <c r="H4306">
        <v>123.72</v>
      </c>
    </row>
    <row r="4307" spans="1:8" x14ac:dyDescent="0.3">
      <c r="A4307">
        <v>202310</v>
      </c>
      <c r="B4307" s="1">
        <v>45200</v>
      </c>
      <c r="C4307">
        <v>2023</v>
      </c>
      <c r="D4307" t="s">
        <v>17</v>
      </c>
      <c r="E4307" t="s">
        <v>27</v>
      </c>
      <c r="F4307" t="s">
        <v>40</v>
      </c>
      <c r="G4307" t="s">
        <v>28</v>
      </c>
      <c r="H4307">
        <v>216.49</v>
      </c>
    </row>
    <row r="4308" spans="1:8" x14ac:dyDescent="0.3">
      <c r="A4308">
        <v>202311</v>
      </c>
      <c r="B4308" s="1">
        <v>45231</v>
      </c>
      <c r="C4308">
        <v>2023</v>
      </c>
      <c r="D4308" t="s">
        <v>18</v>
      </c>
      <c r="E4308" t="s">
        <v>27</v>
      </c>
      <c r="F4308" t="s">
        <v>40</v>
      </c>
      <c r="G4308" t="s">
        <v>28</v>
      </c>
      <c r="H4308">
        <v>114.71</v>
      </c>
    </row>
    <row r="4309" spans="1:8" x14ac:dyDescent="0.3">
      <c r="A4309">
        <v>202312</v>
      </c>
      <c r="B4309" s="1">
        <v>45261</v>
      </c>
      <c r="C4309">
        <v>2023</v>
      </c>
      <c r="D4309" t="s">
        <v>19</v>
      </c>
      <c r="E4309" t="s">
        <v>27</v>
      </c>
      <c r="F4309" t="s">
        <v>40</v>
      </c>
      <c r="G4309" t="s">
        <v>28</v>
      </c>
      <c r="H4309">
        <v>152.57</v>
      </c>
    </row>
    <row r="4310" spans="1:8" x14ac:dyDescent="0.3">
      <c r="A4310">
        <v>202301</v>
      </c>
      <c r="B4310" s="1">
        <v>44927</v>
      </c>
      <c r="C4310">
        <v>2023</v>
      </c>
      <c r="D4310" t="s">
        <v>6</v>
      </c>
      <c r="E4310" t="s">
        <v>27</v>
      </c>
      <c r="F4310" t="s">
        <v>40</v>
      </c>
      <c r="G4310" t="s">
        <v>28</v>
      </c>
      <c r="H4310">
        <v>159.99</v>
      </c>
    </row>
    <row r="4311" spans="1:8" x14ac:dyDescent="0.3">
      <c r="A4311">
        <v>202302</v>
      </c>
      <c r="B4311" s="1">
        <v>44958</v>
      </c>
      <c r="C4311">
        <v>2023</v>
      </c>
      <c r="D4311" t="s">
        <v>9</v>
      </c>
      <c r="E4311" t="s">
        <v>27</v>
      </c>
      <c r="F4311" t="s">
        <v>40</v>
      </c>
      <c r="G4311" t="s">
        <v>28</v>
      </c>
      <c r="H4311">
        <v>89.01</v>
      </c>
    </row>
    <row r="4312" spans="1:8" x14ac:dyDescent="0.3">
      <c r="A4312">
        <v>202303</v>
      </c>
      <c r="B4312" s="1">
        <v>44986</v>
      </c>
      <c r="C4312">
        <v>2023</v>
      </c>
      <c r="D4312" t="s">
        <v>10</v>
      </c>
      <c r="E4312" t="s">
        <v>27</v>
      </c>
      <c r="F4312" t="s">
        <v>40</v>
      </c>
      <c r="G4312" t="s">
        <v>28</v>
      </c>
      <c r="H4312">
        <v>110.11</v>
      </c>
    </row>
    <row r="4313" spans="1:8" x14ac:dyDescent="0.3">
      <c r="A4313">
        <v>202304</v>
      </c>
      <c r="B4313" s="1">
        <v>45017</v>
      </c>
      <c r="C4313">
        <v>2023</v>
      </c>
      <c r="D4313" t="s">
        <v>11</v>
      </c>
      <c r="E4313" t="s">
        <v>27</v>
      </c>
      <c r="F4313" t="s">
        <v>40</v>
      </c>
      <c r="G4313" t="s">
        <v>28</v>
      </c>
      <c r="H4313">
        <v>202.02</v>
      </c>
    </row>
    <row r="4314" spans="1:8" x14ac:dyDescent="0.3">
      <c r="A4314">
        <v>202305</v>
      </c>
      <c r="B4314" s="1">
        <v>45047</v>
      </c>
      <c r="C4314">
        <v>2023</v>
      </c>
      <c r="D4314" t="s">
        <v>12</v>
      </c>
      <c r="E4314" t="s">
        <v>27</v>
      </c>
      <c r="F4314" t="s">
        <v>40</v>
      </c>
      <c r="G4314" t="s">
        <v>28</v>
      </c>
      <c r="H4314">
        <v>145.01</v>
      </c>
    </row>
    <row r="4315" spans="1:8" x14ac:dyDescent="0.3">
      <c r="A4315">
        <v>202306</v>
      </c>
      <c r="B4315" s="1">
        <v>45078</v>
      </c>
      <c r="C4315">
        <v>2023</v>
      </c>
      <c r="D4315" t="s">
        <v>13</v>
      </c>
      <c r="E4315" t="s">
        <v>27</v>
      </c>
      <c r="F4315" t="s">
        <v>40</v>
      </c>
      <c r="G4315" t="s">
        <v>28</v>
      </c>
      <c r="H4315">
        <v>191.86</v>
      </c>
    </row>
    <row r="4316" spans="1:8" x14ac:dyDescent="0.3">
      <c r="A4316">
        <v>202307</v>
      </c>
      <c r="B4316" s="1">
        <v>45108</v>
      </c>
      <c r="C4316">
        <v>2023</v>
      </c>
      <c r="D4316" t="s">
        <v>14</v>
      </c>
      <c r="E4316" t="s">
        <v>27</v>
      </c>
      <c r="F4316" t="s">
        <v>40</v>
      </c>
      <c r="G4316" t="s">
        <v>28</v>
      </c>
      <c r="H4316">
        <v>130.63999999999999</v>
      </c>
    </row>
    <row r="4317" spans="1:8" x14ac:dyDescent="0.3">
      <c r="A4317">
        <v>202308</v>
      </c>
      <c r="B4317" s="1">
        <v>45139</v>
      </c>
      <c r="C4317">
        <v>2023</v>
      </c>
      <c r="D4317" t="s">
        <v>15</v>
      </c>
      <c r="E4317" t="s">
        <v>27</v>
      </c>
      <c r="F4317" t="s">
        <v>40</v>
      </c>
      <c r="G4317" t="s">
        <v>28</v>
      </c>
      <c r="H4317">
        <v>147.47</v>
      </c>
    </row>
    <row r="4318" spans="1:8" x14ac:dyDescent="0.3">
      <c r="A4318">
        <v>202309</v>
      </c>
      <c r="B4318" s="1">
        <v>45170</v>
      </c>
      <c r="C4318">
        <v>2023</v>
      </c>
      <c r="D4318" t="s">
        <v>16</v>
      </c>
      <c r="E4318" t="s">
        <v>27</v>
      </c>
      <c r="F4318" t="s">
        <v>40</v>
      </c>
      <c r="G4318" t="s">
        <v>28</v>
      </c>
      <c r="H4318">
        <v>130.88</v>
      </c>
    </row>
    <row r="4319" spans="1:8" x14ac:dyDescent="0.3">
      <c r="A4319">
        <v>202310</v>
      </c>
      <c r="B4319" s="1">
        <v>45200</v>
      </c>
      <c r="C4319">
        <v>2023</v>
      </c>
      <c r="D4319" t="s">
        <v>17</v>
      </c>
      <c r="E4319" t="s">
        <v>27</v>
      </c>
      <c r="F4319" t="s">
        <v>40</v>
      </c>
      <c r="G4319" t="s">
        <v>28</v>
      </c>
      <c r="H4319">
        <v>165.89</v>
      </c>
    </row>
    <row r="4320" spans="1:8" x14ac:dyDescent="0.3">
      <c r="A4320">
        <v>202311</v>
      </c>
      <c r="B4320" s="1">
        <v>45231</v>
      </c>
      <c r="C4320">
        <v>2023</v>
      </c>
      <c r="D4320" t="s">
        <v>18</v>
      </c>
      <c r="E4320" t="s">
        <v>27</v>
      </c>
      <c r="F4320" t="s">
        <v>40</v>
      </c>
      <c r="G4320" t="s">
        <v>28</v>
      </c>
      <c r="H4320">
        <v>112.88</v>
      </c>
    </row>
    <row r="4321" spans="1:8" x14ac:dyDescent="0.3">
      <c r="A4321">
        <v>202312</v>
      </c>
      <c r="B4321" s="1">
        <v>45261</v>
      </c>
      <c r="C4321">
        <v>2023</v>
      </c>
      <c r="D4321" t="s">
        <v>19</v>
      </c>
      <c r="E4321" t="s">
        <v>27</v>
      </c>
      <c r="F4321" t="s">
        <v>40</v>
      </c>
      <c r="G4321" t="s">
        <v>28</v>
      </c>
      <c r="H4321">
        <v>133.18</v>
      </c>
    </row>
    <row r="4322" spans="1:8" x14ac:dyDescent="0.3">
      <c r="A4322">
        <v>202301</v>
      </c>
      <c r="B4322" s="1">
        <v>44927</v>
      </c>
      <c r="C4322">
        <v>2023</v>
      </c>
      <c r="D4322" t="s">
        <v>6</v>
      </c>
      <c r="E4322" t="s">
        <v>27</v>
      </c>
      <c r="F4322" t="s">
        <v>40</v>
      </c>
      <c r="G4322" t="s">
        <v>28</v>
      </c>
      <c r="H4322">
        <v>991.44</v>
      </c>
    </row>
    <row r="4323" spans="1:8" x14ac:dyDescent="0.3">
      <c r="A4323">
        <v>202302</v>
      </c>
      <c r="B4323" s="1">
        <v>44958</v>
      </c>
      <c r="C4323">
        <v>2023</v>
      </c>
      <c r="D4323" t="s">
        <v>9</v>
      </c>
      <c r="E4323" t="s">
        <v>27</v>
      </c>
      <c r="F4323" t="s">
        <v>40</v>
      </c>
      <c r="G4323" t="s">
        <v>28</v>
      </c>
      <c r="H4323">
        <v>413.22</v>
      </c>
    </row>
    <row r="4324" spans="1:8" x14ac:dyDescent="0.3">
      <c r="A4324">
        <v>202303</v>
      </c>
      <c r="B4324" s="1">
        <v>44986</v>
      </c>
      <c r="C4324">
        <v>2023</v>
      </c>
      <c r="D4324" t="s">
        <v>10</v>
      </c>
      <c r="E4324" t="s">
        <v>27</v>
      </c>
      <c r="F4324" t="s">
        <v>40</v>
      </c>
      <c r="G4324" t="s">
        <v>28</v>
      </c>
      <c r="H4324">
        <v>588.24</v>
      </c>
    </row>
    <row r="4325" spans="1:8" x14ac:dyDescent="0.3">
      <c r="A4325">
        <v>202304</v>
      </c>
      <c r="B4325" s="1">
        <v>45017</v>
      </c>
      <c r="C4325">
        <v>2023</v>
      </c>
      <c r="D4325" t="s">
        <v>11</v>
      </c>
      <c r="E4325" t="s">
        <v>27</v>
      </c>
      <c r="F4325" t="s">
        <v>40</v>
      </c>
      <c r="G4325" t="s">
        <v>28</v>
      </c>
      <c r="H4325">
        <v>1058.6099999999999</v>
      </c>
    </row>
    <row r="4326" spans="1:8" x14ac:dyDescent="0.3">
      <c r="A4326">
        <v>202305</v>
      </c>
      <c r="B4326" s="1">
        <v>45047</v>
      </c>
      <c r="C4326">
        <v>2023</v>
      </c>
      <c r="D4326" t="s">
        <v>12</v>
      </c>
      <c r="E4326" t="s">
        <v>27</v>
      </c>
      <c r="F4326" t="s">
        <v>40</v>
      </c>
      <c r="G4326" t="s">
        <v>28</v>
      </c>
      <c r="H4326">
        <v>700.27</v>
      </c>
    </row>
    <row r="4327" spans="1:8" x14ac:dyDescent="0.3">
      <c r="A4327">
        <v>202306</v>
      </c>
      <c r="B4327" s="1">
        <v>45078</v>
      </c>
      <c r="C4327">
        <v>2023</v>
      </c>
      <c r="D4327" t="s">
        <v>13</v>
      </c>
      <c r="E4327" t="s">
        <v>27</v>
      </c>
      <c r="F4327" t="s">
        <v>40</v>
      </c>
      <c r="G4327" t="s">
        <v>28</v>
      </c>
      <c r="H4327">
        <v>681.16</v>
      </c>
    </row>
    <row r="4328" spans="1:8" x14ac:dyDescent="0.3">
      <c r="A4328">
        <v>202307</v>
      </c>
      <c r="B4328" s="1">
        <v>45108</v>
      </c>
      <c r="C4328">
        <v>2023</v>
      </c>
      <c r="D4328" t="s">
        <v>14</v>
      </c>
      <c r="E4328" t="s">
        <v>27</v>
      </c>
      <c r="F4328" t="s">
        <v>40</v>
      </c>
      <c r="G4328" t="s">
        <v>28</v>
      </c>
      <c r="H4328">
        <v>862.51</v>
      </c>
    </row>
    <row r="4329" spans="1:8" x14ac:dyDescent="0.3">
      <c r="A4329">
        <v>202308</v>
      </c>
      <c r="B4329" s="1">
        <v>45139</v>
      </c>
      <c r="C4329">
        <v>2023</v>
      </c>
      <c r="D4329" t="s">
        <v>15</v>
      </c>
      <c r="E4329" t="s">
        <v>27</v>
      </c>
      <c r="F4329" t="s">
        <v>40</v>
      </c>
      <c r="G4329" t="s">
        <v>28</v>
      </c>
      <c r="H4329">
        <v>640.9</v>
      </c>
    </row>
    <row r="4330" spans="1:8" x14ac:dyDescent="0.3">
      <c r="A4330">
        <v>202309</v>
      </c>
      <c r="B4330" s="1">
        <v>45170</v>
      </c>
      <c r="C4330">
        <v>2023</v>
      </c>
      <c r="D4330" t="s">
        <v>16</v>
      </c>
      <c r="E4330" t="s">
        <v>27</v>
      </c>
      <c r="F4330" t="s">
        <v>40</v>
      </c>
      <c r="G4330" t="s">
        <v>28</v>
      </c>
      <c r="H4330">
        <v>739.45</v>
      </c>
    </row>
    <row r="4331" spans="1:8" x14ac:dyDescent="0.3">
      <c r="A4331">
        <v>202310</v>
      </c>
      <c r="B4331" s="1">
        <v>45200</v>
      </c>
      <c r="C4331">
        <v>2023</v>
      </c>
      <c r="D4331" t="s">
        <v>17</v>
      </c>
      <c r="E4331" t="s">
        <v>27</v>
      </c>
      <c r="F4331" t="s">
        <v>40</v>
      </c>
      <c r="G4331" t="s">
        <v>28</v>
      </c>
      <c r="H4331">
        <v>895.71</v>
      </c>
    </row>
    <row r="4332" spans="1:8" x14ac:dyDescent="0.3">
      <c r="A4332">
        <v>202311</v>
      </c>
      <c r="B4332" s="1">
        <v>45231</v>
      </c>
      <c r="C4332">
        <v>2023</v>
      </c>
      <c r="D4332" t="s">
        <v>18</v>
      </c>
      <c r="E4332" t="s">
        <v>27</v>
      </c>
      <c r="F4332" t="s">
        <v>40</v>
      </c>
      <c r="G4332" t="s">
        <v>28</v>
      </c>
      <c r="H4332">
        <v>633.21</v>
      </c>
    </row>
    <row r="4333" spans="1:8" x14ac:dyDescent="0.3">
      <c r="A4333">
        <v>202312</v>
      </c>
      <c r="B4333" s="1">
        <v>45261</v>
      </c>
      <c r="C4333">
        <v>2023</v>
      </c>
      <c r="D4333" t="s">
        <v>19</v>
      </c>
      <c r="E4333" t="s">
        <v>27</v>
      </c>
      <c r="F4333" t="s">
        <v>40</v>
      </c>
      <c r="G4333" t="s">
        <v>28</v>
      </c>
      <c r="H4333">
        <v>796.64</v>
      </c>
    </row>
    <row r="4334" spans="1:8" x14ac:dyDescent="0.3">
      <c r="A4334">
        <v>202301</v>
      </c>
      <c r="B4334" s="1">
        <v>44927</v>
      </c>
      <c r="C4334">
        <v>2023</v>
      </c>
      <c r="D4334" t="s">
        <v>6</v>
      </c>
      <c r="E4334" t="s">
        <v>29</v>
      </c>
      <c r="F4334" t="s">
        <v>40</v>
      </c>
      <c r="G4334" t="s">
        <v>28</v>
      </c>
      <c r="H4334">
        <v>990.44</v>
      </c>
    </row>
    <row r="4335" spans="1:8" x14ac:dyDescent="0.3">
      <c r="A4335">
        <v>202302</v>
      </c>
      <c r="B4335" s="1">
        <v>44958</v>
      </c>
      <c r="C4335">
        <v>2023</v>
      </c>
      <c r="D4335" t="s">
        <v>9</v>
      </c>
      <c r="E4335" t="s">
        <v>29</v>
      </c>
      <c r="F4335" t="s">
        <v>40</v>
      </c>
      <c r="G4335" t="s">
        <v>28</v>
      </c>
      <c r="H4335">
        <v>577.72</v>
      </c>
    </row>
    <row r="4336" spans="1:8" x14ac:dyDescent="0.3">
      <c r="A4336">
        <v>202303</v>
      </c>
      <c r="B4336" s="1">
        <v>44986</v>
      </c>
      <c r="C4336">
        <v>2023</v>
      </c>
      <c r="D4336" t="s">
        <v>10</v>
      </c>
      <c r="E4336" t="s">
        <v>29</v>
      </c>
      <c r="F4336" t="s">
        <v>40</v>
      </c>
      <c r="G4336" t="s">
        <v>28</v>
      </c>
      <c r="H4336">
        <v>732.71</v>
      </c>
    </row>
    <row r="4337" spans="1:8" x14ac:dyDescent="0.3">
      <c r="A4337">
        <v>202304</v>
      </c>
      <c r="B4337" s="1">
        <v>45017</v>
      </c>
      <c r="C4337">
        <v>2023</v>
      </c>
      <c r="D4337" t="s">
        <v>11</v>
      </c>
      <c r="E4337" t="s">
        <v>29</v>
      </c>
      <c r="F4337" t="s">
        <v>40</v>
      </c>
      <c r="G4337" t="s">
        <v>28</v>
      </c>
      <c r="H4337">
        <v>1634.15</v>
      </c>
    </row>
    <row r="4338" spans="1:8" x14ac:dyDescent="0.3">
      <c r="A4338">
        <v>202305</v>
      </c>
      <c r="B4338" s="1">
        <v>45047</v>
      </c>
      <c r="C4338">
        <v>2023</v>
      </c>
      <c r="D4338" t="s">
        <v>12</v>
      </c>
      <c r="E4338" t="s">
        <v>29</v>
      </c>
      <c r="F4338" t="s">
        <v>40</v>
      </c>
      <c r="G4338" t="s">
        <v>28</v>
      </c>
      <c r="H4338">
        <v>777.43</v>
      </c>
    </row>
    <row r="4339" spans="1:8" x14ac:dyDescent="0.3">
      <c r="A4339">
        <v>202306</v>
      </c>
      <c r="B4339" s="1">
        <v>45078</v>
      </c>
      <c r="C4339">
        <v>2023</v>
      </c>
      <c r="D4339" t="s">
        <v>13</v>
      </c>
      <c r="E4339" t="s">
        <v>29</v>
      </c>
      <c r="F4339" t="s">
        <v>40</v>
      </c>
      <c r="G4339" t="s">
        <v>28</v>
      </c>
      <c r="H4339">
        <v>699.28</v>
      </c>
    </row>
    <row r="4340" spans="1:8" x14ac:dyDescent="0.3">
      <c r="A4340">
        <v>202307</v>
      </c>
      <c r="B4340" s="1">
        <v>45108</v>
      </c>
      <c r="C4340">
        <v>2023</v>
      </c>
      <c r="D4340" t="s">
        <v>14</v>
      </c>
      <c r="E4340" t="s">
        <v>29</v>
      </c>
      <c r="F4340" t="s">
        <v>40</v>
      </c>
      <c r="G4340" t="s">
        <v>28</v>
      </c>
      <c r="H4340">
        <v>955.71</v>
      </c>
    </row>
    <row r="4341" spans="1:8" x14ac:dyDescent="0.3">
      <c r="A4341">
        <v>202308</v>
      </c>
      <c r="B4341" s="1">
        <v>45139</v>
      </c>
      <c r="C4341">
        <v>2023</v>
      </c>
      <c r="D4341" t="s">
        <v>15</v>
      </c>
      <c r="E4341" t="s">
        <v>29</v>
      </c>
      <c r="F4341" t="s">
        <v>40</v>
      </c>
      <c r="G4341" t="s">
        <v>28</v>
      </c>
      <c r="H4341">
        <v>793.25</v>
      </c>
    </row>
    <row r="4342" spans="1:8" x14ac:dyDescent="0.3">
      <c r="A4342">
        <v>202309</v>
      </c>
      <c r="B4342" s="1">
        <v>45170</v>
      </c>
      <c r="C4342">
        <v>2023</v>
      </c>
      <c r="D4342" t="s">
        <v>16</v>
      </c>
      <c r="E4342" t="s">
        <v>29</v>
      </c>
      <c r="F4342" t="s">
        <v>40</v>
      </c>
      <c r="G4342" t="s">
        <v>28</v>
      </c>
      <c r="H4342">
        <v>669.31</v>
      </c>
    </row>
    <row r="4343" spans="1:8" x14ac:dyDescent="0.3">
      <c r="A4343">
        <v>202310</v>
      </c>
      <c r="B4343" s="1">
        <v>45200</v>
      </c>
      <c r="C4343">
        <v>2023</v>
      </c>
      <c r="D4343" t="s">
        <v>17</v>
      </c>
      <c r="E4343" t="s">
        <v>29</v>
      </c>
      <c r="F4343" t="s">
        <v>40</v>
      </c>
      <c r="G4343" t="s">
        <v>28</v>
      </c>
      <c r="H4343">
        <v>1142.5</v>
      </c>
    </row>
    <row r="4344" spans="1:8" x14ac:dyDescent="0.3">
      <c r="A4344">
        <v>202311</v>
      </c>
      <c r="B4344" s="1">
        <v>45231</v>
      </c>
      <c r="C4344">
        <v>2023</v>
      </c>
      <c r="D4344" t="s">
        <v>18</v>
      </c>
      <c r="E4344" t="s">
        <v>29</v>
      </c>
      <c r="F4344" t="s">
        <v>40</v>
      </c>
      <c r="G4344" t="s">
        <v>28</v>
      </c>
      <c r="H4344">
        <v>814.05</v>
      </c>
    </row>
    <row r="4345" spans="1:8" x14ac:dyDescent="0.3">
      <c r="A4345">
        <v>202312</v>
      </c>
      <c r="B4345" s="1">
        <v>45261</v>
      </c>
      <c r="C4345">
        <v>2023</v>
      </c>
      <c r="D4345" t="s">
        <v>19</v>
      </c>
      <c r="E4345" t="s">
        <v>29</v>
      </c>
      <c r="F4345" t="s">
        <v>40</v>
      </c>
      <c r="G4345" t="s">
        <v>28</v>
      </c>
      <c r="H4345">
        <v>711.11</v>
      </c>
    </row>
    <row r="4346" spans="1:8" x14ac:dyDescent="0.3">
      <c r="A4346">
        <v>202301</v>
      </c>
      <c r="B4346" s="1">
        <v>44927</v>
      </c>
      <c r="C4346">
        <v>2023</v>
      </c>
      <c r="D4346" t="s">
        <v>6</v>
      </c>
      <c r="E4346" t="s">
        <v>29</v>
      </c>
      <c r="F4346" t="s">
        <v>40</v>
      </c>
      <c r="G4346" t="s">
        <v>28</v>
      </c>
      <c r="H4346">
        <v>285.14</v>
      </c>
    </row>
    <row r="4347" spans="1:8" x14ac:dyDescent="0.3">
      <c r="A4347">
        <v>202302</v>
      </c>
      <c r="B4347" s="1">
        <v>44958</v>
      </c>
      <c r="C4347">
        <v>2023</v>
      </c>
      <c r="D4347" t="s">
        <v>9</v>
      </c>
      <c r="E4347" t="s">
        <v>29</v>
      </c>
      <c r="F4347" t="s">
        <v>40</v>
      </c>
      <c r="G4347" t="s">
        <v>28</v>
      </c>
      <c r="H4347">
        <v>202.7</v>
      </c>
    </row>
    <row r="4348" spans="1:8" x14ac:dyDescent="0.3">
      <c r="A4348">
        <v>202303</v>
      </c>
      <c r="B4348" s="1">
        <v>44986</v>
      </c>
      <c r="C4348">
        <v>2023</v>
      </c>
      <c r="D4348" t="s">
        <v>10</v>
      </c>
      <c r="E4348" t="s">
        <v>29</v>
      </c>
      <c r="F4348" t="s">
        <v>40</v>
      </c>
      <c r="G4348" t="s">
        <v>28</v>
      </c>
      <c r="H4348">
        <v>289.08999999999997</v>
      </c>
    </row>
    <row r="4349" spans="1:8" x14ac:dyDescent="0.3">
      <c r="A4349">
        <v>202304</v>
      </c>
      <c r="B4349" s="1">
        <v>45017</v>
      </c>
      <c r="C4349">
        <v>2023</v>
      </c>
      <c r="D4349" t="s">
        <v>11</v>
      </c>
      <c r="E4349" t="s">
        <v>29</v>
      </c>
      <c r="F4349" t="s">
        <v>40</v>
      </c>
      <c r="G4349" t="s">
        <v>28</v>
      </c>
      <c r="H4349">
        <v>428.28</v>
      </c>
    </row>
    <row r="4350" spans="1:8" x14ac:dyDescent="0.3">
      <c r="A4350">
        <v>202305</v>
      </c>
      <c r="B4350" s="1">
        <v>45047</v>
      </c>
      <c r="C4350">
        <v>2023</v>
      </c>
      <c r="D4350" t="s">
        <v>12</v>
      </c>
      <c r="E4350" t="s">
        <v>29</v>
      </c>
      <c r="F4350" t="s">
        <v>40</v>
      </c>
      <c r="G4350" t="s">
        <v>28</v>
      </c>
      <c r="H4350">
        <v>302.95</v>
      </c>
    </row>
    <row r="4351" spans="1:8" x14ac:dyDescent="0.3">
      <c r="A4351">
        <v>202306</v>
      </c>
      <c r="B4351" s="1">
        <v>45078</v>
      </c>
      <c r="C4351">
        <v>2023</v>
      </c>
      <c r="D4351" t="s">
        <v>13</v>
      </c>
      <c r="E4351" t="s">
        <v>29</v>
      </c>
      <c r="F4351" t="s">
        <v>40</v>
      </c>
      <c r="G4351" t="s">
        <v>28</v>
      </c>
      <c r="H4351">
        <v>252.46</v>
      </c>
    </row>
    <row r="4352" spans="1:8" x14ac:dyDescent="0.3">
      <c r="A4352">
        <v>202307</v>
      </c>
      <c r="B4352" s="1">
        <v>45108</v>
      </c>
      <c r="C4352">
        <v>2023</v>
      </c>
      <c r="D4352" t="s">
        <v>14</v>
      </c>
      <c r="E4352" t="s">
        <v>29</v>
      </c>
      <c r="F4352" t="s">
        <v>40</v>
      </c>
      <c r="G4352" t="s">
        <v>28</v>
      </c>
      <c r="H4352">
        <v>354.45</v>
      </c>
    </row>
    <row r="4353" spans="1:8" x14ac:dyDescent="0.3">
      <c r="A4353">
        <v>202308</v>
      </c>
      <c r="B4353" s="1">
        <v>45139</v>
      </c>
      <c r="C4353">
        <v>2023</v>
      </c>
      <c r="D4353" t="s">
        <v>15</v>
      </c>
      <c r="E4353" t="s">
        <v>29</v>
      </c>
      <c r="F4353" t="s">
        <v>40</v>
      </c>
      <c r="G4353" t="s">
        <v>28</v>
      </c>
      <c r="H4353">
        <v>335.93</v>
      </c>
    </row>
    <row r="4354" spans="1:8" x14ac:dyDescent="0.3">
      <c r="A4354">
        <v>202309</v>
      </c>
      <c r="B4354" s="1">
        <v>45170</v>
      </c>
      <c r="C4354">
        <v>2023</v>
      </c>
      <c r="D4354" t="s">
        <v>16</v>
      </c>
      <c r="E4354" t="s">
        <v>29</v>
      </c>
      <c r="F4354" t="s">
        <v>40</v>
      </c>
      <c r="G4354" t="s">
        <v>28</v>
      </c>
      <c r="H4354">
        <v>288.56</v>
      </c>
    </row>
    <row r="4355" spans="1:8" x14ac:dyDescent="0.3">
      <c r="A4355">
        <v>202310</v>
      </c>
      <c r="B4355" s="1">
        <v>45200</v>
      </c>
      <c r="C4355">
        <v>2023</v>
      </c>
      <c r="D4355" t="s">
        <v>17</v>
      </c>
      <c r="E4355" t="s">
        <v>29</v>
      </c>
      <c r="F4355" t="s">
        <v>40</v>
      </c>
      <c r="G4355" t="s">
        <v>28</v>
      </c>
      <c r="H4355">
        <v>404.21</v>
      </c>
    </row>
    <row r="4356" spans="1:8" x14ac:dyDescent="0.3">
      <c r="A4356">
        <v>202311</v>
      </c>
      <c r="B4356" s="1">
        <v>45231</v>
      </c>
      <c r="C4356">
        <v>2023</v>
      </c>
      <c r="D4356" t="s">
        <v>18</v>
      </c>
      <c r="E4356" t="s">
        <v>29</v>
      </c>
      <c r="F4356" t="s">
        <v>40</v>
      </c>
      <c r="G4356" t="s">
        <v>28</v>
      </c>
      <c r="H4356">
        <v>309.73</v>
      </c>
    </row>
    <row r="4357" spans="1:8" x14ac:dyDescent="0.3">
      <c r="A4357">
        <v>202312</v>
      </c>
      <c r="B4357" s="1">
        <v>45261</v>
      </c>
      <c r="C4357">
        <v>2023</v>
      </c>
      <c r="D4357" t="s">
        <v>19</v>
      </c>
      <c r="E4357" t="s">
        <v>29</v>
      </c>
      <c r="F4357" t="s">
        <v>40</v>
      </c>
      <c r="G4357" t="s">
        <v>28</v>
      </c>
      <c r="H4357">
        <v>351.11</v>
      </c>
    </row>
    <row r="4358" spans="1:8" x14ac:dyDescent="0.3">
      <c r="A4358">
        <v>202301</v>
      </c>
      <c r="B4358" s="1">
        <v>44927</v>
      </c>
      <c r="C4358">
        <v>2023</v>
      </c>
      <c r="D4358" t="s">
        <v>6</v>
      </c>
      <c r="E4358" t="s">
        <v>30</v>
      </c>
      <c r="F4358" t="s">
        <v>40</v>
      </c>
      <c r="G4358" t="s">
        <v>28</v>
      </c>
      <c r="H4358">
        <v>309.10000000000002</v>
      </c>
    </row>
    <row r="4359" spans="1:8" x14ac:dyDescent="0.3">
      <c r="A4359">
        <v>202302</v>
      </c>
      <c r="B4359" s="1">
        <v>44958</v>
      </c>
      <c r="C4359">
        <v>2023</v>
      </c>
      <c r="D4359" t="s">
        <v>9</v>
      </c>
      <c r="E4359" t="s">
        <v>30</v>
      </c>
      <c r="F4359" t="s">
        <v>40</v>
      </c>
      <c r="G4359" t="s">
        <v>28</v>
      </c>
      <c r="H4359">
        <v>190.21</v>
      </c>
    </row>
    <row r="4360" spans="1:8" x14ac:dyDescent="0.3">
      <c r="A4360">
        <v>202303</v>
      </c>
      <c r="B4360" s="1">
        <v>44986</v>
      </c>
      <c r="C4360">
        <v>2023</v>
      </c>
      <c r="D4360" t="s">
        <v>10</v>
      </c>
      <c r="E4360" t="s">
        <v>30</v>
      </c>
      <c r="F4360" t="s">
        <v>40</v>
      </c>
      <c r="G4360" t="s">
        <v>28</v>
      </c>
      <c r="H4360">
        <v>248.59</v>
      </c>
    </row>
    <row r="4361" spans="1:8" x14ac:dyDescent="0.3">
      <c r="A4361">
        <v>202304</v>
      </c>
      <c r="B4361" s="1">
        <v>45017</v>
      </c>
      <c r="C4361">
        <v>2023</v>
      </c>
      <c r="D4361" t="s">
        <v>11</v>
      </c>
      <c r="E4361" t="s">
        <v>30</v>
      </c>
      <c r="F4361" t="s">
        <v>40</v>
      </c>
      <c r="G4361" t="s">
        <v>28</v>
      </c>
      <c r="H4361">
        <v>385.55</v>
      </c>
    </row>
    <row r="4362" spans="1:8" x14ac:dyDescent="0.3">
      <c r="A4362">
        <v>202305</v>
      </c>
      <c r="B4362" s="1">
        <v>45047</v>
      </c>
      <c r="C4362">
        <v>2023</v>
      </c>
      <c r="D4362" t="s">
        <v>12</v>
      </c>
      <c r="E4362" t="s">
        <v>30</v>
      </c>
      <c r="F4362" t="s">
        <v>40</v>
      </c>
      <c r="G4362" t="s">
        <v>28</v>
      </c>
      <c r="H4362">
        <v>342.77</v>
      </c>
    </row>
    <row r="4363" spans="1:8" x14ac:dyDescent="0.3">
      <c r="A4363">
        <v>202306</v>
      </c>
      <c r="B4363" s="1">
        <v>45078</v>
      </c>
      <c r="C4363">
        <v>2023</v>
      </c>
      <c r="D4363" t="s">
        <v>13</v>
      </c>
      <c r="E4363" t="s">
        <v>30</v>
      </c>
      <c r="F4363" t="s">
        <v>40</v>
      </c>
      <c r="G4363" t="s">
        <v>28</v>
      </c>
      <c r="H4363">
        <v>286.36</v>
      </c>
    </row>
    <row r="4364" spans="1:8" x14ac:dyDescent="0.3">
      <c r="A4364">
        <v>202307</v>
      </c>
      <c r="B4364" s="1">
        <v>45108</v>
      </c>
      <c r="C4364">
        <v>2023</v>
      </c>
      <c r="D4364" t="s">
        <v>14</v>
      </c>
      <c r="E4364" t="s">
        <v>30</v>
      </c>
      <c r="F4364" t="s">
        <v>40</v>
      </c>
      <c r="G4364" t="s">
        <v>28</v>
      </c>
      <c r="H4364">
        <v>317.32</v>
      </c>
    </row>
    <row r="4365" spans="1:8" x14ac:dyDescent="0.3">
      <c r="A4365">
        <v>202308</v>
      </c>
      <c r="B4365" s="1">
        <v>45139</v>
      </c>
      <c r="C4365">
        <v>2023</v>
      </c>
      <c r="D4365" t="s">
        <v>15</v>
      </c>
      <c r="E4365" t="s">
        <v>30</v>
      </c>
      <c r="F4365" t="s">
        <v>40</v>
      </c>
      <c r="G4365" t="s">
        <v>28</v>
      </c>
      <c r="H4365">
        <v>369.44</v>
      </c>
    </row>
    <row r="4366" spans="1:8" x14ac:dyDescent="0.3">
      <c r="A4366">
        <v>202309</v>
      </c>
      <c r="B4366" s="1">
        <v>45170</v>
      </c>
      <c r="C4366">
        <v>2023</v>
      </c>
      <c r="D4366" t="s">
        <v>16</v>
      </c>
      <c r="E4366" t="s">
        <v>30</v>
      </c>
      <c r="F4366" t="s">
        <v>40</v>
      </c>
      <c r="G4366" t="s">
        <v>28</v>
      </c>
      <c r="H4366">
        <v>294.93</v>
      </c>
    </row>
    <row r="4367" spans="1:8" x14ac:dyDescent="0.3">
      <c r="A4367">
        <v>202310</v>
      </c>
      <c r="B4367" s="1">
        <v>45200</v>
      </c>
      <c r="C4367">
        <v>2023</v>
      </c>
      <c r="D4367" t="s">
        <v>17</v>
      </c>
      <c r="E4367" t="s">
        <v>30</v>
      </c>
      <c r="F4367" t="s">
        <v>40</v>
      </c>
      <c r="G4367" t="s">
        <v>28</v>
      </c>
      <c r="H4367">
        <v>381.45</v>
      </c>
    </row>
    <row r="4368" spans="1:8" x14ac:dyDescent="0.3">
      <c r="A4368">
        <v>202311</v>
      </c>
      <c r="B4368" s="1">
        <v>45231</v>
      </c>
      <c r="C4368">
        <v>2023</v>
      </c>
      <c r="D4368" t="s">
        <v>18</v>
      </c>
      <c r="E4368" t="s">
        <v>30</v>
      </c>
      <c r="F4368" t="s">
        <v>40</v>
      </c>
      <c r="G4368" t="s">
        <v>28</v>
      </c>
      <c r="H4368">
        <v>300.52</v>
      </c>
    </row>
    <row r="4369" spans="1:8" x14ac:dyDescent="0.3">
      <c r="A4369">
        <v>202312</v>
      </c>
      <c r="B4369" s="1">
        <v>45261</v>
      </c>
      <c r="C4369">
        <v>2023</v>
      </c>
      <c r="D4369" t="s">
        <v>19</v>
      </c>
      <c r="E4369" t="s">
        <v>30</v>
      </c>
      <c r="F4369" t="s">
        <v>40</v>
      </c>
      <c r="G4369" t="s">
        <v>28</v>
      </c>
      <c r="H4369">
        <v>336.32</v>
      </c>
    </row>
    <row r="4370" spans="1:8" x14ac:dyDescent="0.3">
      <c r="A4370">
        <v>202301</v>
      </c>
      <c r="B4370" s="1">
        <v>44927</v>
      </c>
      <c r="C4370">
        <v>2023</v>
      </c>
      <c r="D4370" t="s">
        <v>6</v>
      </c>
      <c r="E4370" t="s">
        <v>30</v>
      </c>
      <c r="F4370" t="s">
        <v>40</v>
      </c>
      <c r="G4370" t="s">
        <v>28</v>
      </c>
      <c r="H4370">
        <v>1682.67</v>
      </c>
    </row>
    <row r="4371" spans="1:8" x14ac:dyDescent="0.3">
      <c r="A4371">
        <v>202302</v>
      </c>
      <c r="B4371" s="1">
        <v>44958</v>
      </c>
      <c r="C4371">
        <v>2023</v>
      </c>
      <c r="D4371" t="s">
        <v>9</v>
      </c>
      <c r="E4371" t="s">
        <v>30</v>
      </c>
      <c r="F4371" t="s">
        <v>40</v>
      </c>
      <c r="G4371" t="s">
        <v>28</v>
      </c>
      <c r="H4371">
        <v>1067.45</v>
      </c>
    </row>
    <row r="4372" spans="1:8" x14ac:dyDescent="0.3">
      <c r="A4372">
        <v>202303</v>
      </c>
      <c r="B4372" s="1">
        <v>44986</v>
      </c>
      <c r="C4372">
        <v>2023</v>
      </c>
      <c r="D4372" t="s">
        <v>10</v>
      </c>
      <c r="E4372" t="s">
        <v>30</v>
      </c>
      <c r="F4372" t="s">
        <v>40</v>
      </c>
      <c r="G4372" t="s">
        <v>28</v>
      </c>
      <c r="H4372">
        <v>1366.63</v>
      </c>
    </row>
    <row r="4373" spans="1:8" x14ac:dyDescent="0.3">
      <c r="A4373">
        <v>202304</v>
      </c>
      <c r="B4373" s="1">
        <v>45017</v>
      </c>
      <c r="C4373">
        <v>2023</v>
      </c>
      <c r="D4373" t="s">
        <v>11</v>
      </c>
      <c r="E4373" t="s">
        <v>30</v>
      </c>
      <c r="F4373" t="s">
        <v>40</v>
      </c>
      <c r="G4373" t="s">
        <v>28</v>
      </c>
      <c r="H4373">
        <v>2511.62</v>
      </c>
    </row>
    <row r="4374" spans="1:8" x14ac:dyDescent="0.3">
      <c r="A4374">
        <v>202305</v>
      </c>
      <c r="B4374" s="1">
        <v>45047</v>
      </c>
      <c r="C4374">
        <v>2023</v>
      </c>
      <c r="D4374" t="s">
        <v>12</v>
      </c>
      <c r="E4374" t="s">
        <v>30</v>
      </c>
      <c r="F4374" t="s">
        <v>40</v>
      </c>
      <c r="G4374" t="s">
        <v>28</v>
      </c>
      <c r="H4374">
        <v>1668.47</v>
      </c>
    </row>
    <row r="4375" spans="1:8" x14ac:dyDescent="0.3">
      <c r="A4375">
        <v>202306</v>
      </c>
      <c r="B4375" s="1">
        <v>45078</v>
      </c>
      <c r="C4375">
        <v>2023</v>
      </c>
      <c r="D4375" t="s">
        <v>13</v>
      </c>
      <c r="E4375" t="s">
        <v>30</v>
      </c>
      <c r="F4375" t="s">
        <v>40</v>
      </c>
      <c r="G4375" t="s">
        <v>28</v>
      </c>
      <c r="H4375">
        <v>1117.51</v>
      </c>
    </row>
    <row r="4376" spans="1:8" x14ac:dyDescent="0.3">
      <c r="A4376">
        <v>202307</v>
      </c>
      <c r="B4376" s="1">
        <v>45108</v>
      </c>
      <c r="C4376">
        <v>2023</v>
      </c>
      <c r="D4376" t="s">
        <v>14</v>
      </c>
      <c r="E4376" t="s">
        <v>30</v>
      </c>
      <c r="F4376" t="s">
        <v>40</v>
      </c>
      <c r="G4376" t="s">
        <v>28</v>
      </c>
      <c r="H4376">
        <v>2002.13</v>
      </c>
    </row>
    <row r="4377" spans="1:8" x14ac:dyDescent="0.3">
      <c r="A4377">
        <v>202308</v>
      </c>
      <c r="B4377" s="1">
        <v>45139</v>
      </c>
      <c r="C4377">
        <v>2023</v>
      </c>
      <c r="D4377" t="s">
        <v>15</v>
      </c>
      <c r="E4377" t="s">
        <v>30</v>
      </c>
      <c r="F4377" t="s">
        <v>40</v>
      </c>
      <c r="G4377" t="s">
        <v>28</v>
      </c>
      <c r="H4377">
        <v>1509.67</v>
      </c>
    </row>
    <row r="4378" spans="1:8" x14ac:dyDescent="0.3">
      <c r="A4378">
        <v>202309</v>
      </c>
      <c r="B4378" s="1">
        <v>45170</v>
      </c>
      <c r="C4378">
        <v>2023</v>
      </c>
      <c r="D4378" t="s">
        <v>16</v>
      </c>
      <c r="E4378" t="s">
        <v>30</v>
      </c>
      <c r="F4378" t="s">
        <v>40</v>
      </c>
      <c r="G4378" t="s">
        <v>28</v>
      </c>
      <c r="H4378">
        <v>1266.48</v>
      </c>
    </row>
    <row r="4379" spans="1:8" x14ac:dyDescent="0.3">
      <c r="A4379">
        <v>202310</v>
      </c>
      <c r="B4379" s="1">
        <v>45200</v>
      </c>
      <c r="C4379">
        <v>2023</v>
      </c>
      <c r="D4379" t="s">
        <v>17</v>
      </c>
      <c r="E4379" t="s">
        <v>30</v>
      </c>
      <c r="F4379" t="s">
        <v>40</v>
      </c>
      <c r="G4379" t="s">
        <v>28</v>
      </c>
      <c r="H4379">
        <v>2298</v>
      </c>
    </row>
    <row r="4380" spans="1:8" x14ac:dyDescent="0.3">
      <c r="A4380">
        <v>202311</v>
      </c>
      <c r="B4380" s="1">
        <v>45231</v>
      </c>
      <c r="C4380">
        <v>2023</v>
      </c>
      <c r="D4380" t="s">
        <v>18</v>
      </c>
      <c r="E4380" t="s">
        <v>30</v>
      </c>
      <c r="F4380" t="s">
        <v>40</v>
      </c>
      <c r="G4380" t="s">
        <v>28</v>
      </c>
      <c r="H4380">
        <v>1922.32</v>
      </c>
    </row>
    <row r="4381" spans="1:8" x14ac:dyDescent="0.3">
      <c r="A4381">
        <v>202312</v>
      </c>
      <c r="B4381" s="1">
        <v>45261</v>
      </c>
      <c r="C4381">
        <v>2023</v>
      </c>
      <c r="D4381" t="s">
        <v>19</v>
      </c>
      <c r="E4381" t="s">
        <v>30</v>
      </c>
      <c r="F4381" t="s">
        <v>40</v>
      </c>
      <c r="G4381" t="s">
        <v>28</v>
      </c>
      <c r="H4381">
        <v>1285.92</v>
      </c>
    </row>
    <row r="4382" spans="1:8" x14ac:dyDescent="0.3">
      <c r="A4382">
        <v>202301</v>
      </c>
      <c r="B4382" s="1">
        <v>44927</v>
      </c>
      <c r="C4382">
        <v>2023</v>
      </c>
      <c r="D4382" t="s">
        <v>6</v>
      </c>
      <c r="E4382" t="s">
        <v>30</v>
      </c>
      <c r="F4382" t="s">
        <v>40</v>
      </c>
      <c r="G4382" t="s">
        <v>28</v>
      </c>
      <c r="H4382">
        <v>1884.14</v>
      </c>
    </row>
    <row r="4383" spans="1:8" x14ac:dyDescent="0.3">
      <c r="A4383">
        <v>202302</v>
      </c>
      <c r="B4383" s="1">
        <v>44958</v>
      </c>
      <c r="C4383">
        <v>2023</v>
      </c>
      <c r="D4383" t="s">
        <v>9</v>
      </c>
      <c r="E4383" t="s">
        <v>30</v>
      </c>
      <c r="F4383" t="s">
        <v>40</v>
      </c>
      <c r="G4383" t="s">
        <v>28</v>
      </c>
      <c r="H4383">
        <v>1198.5</v>
      </c>
    </row>
    <row r="4384" spans="1:8" x14ac:dyDescent="0.3">
      <c r="A4384">
        <v>202303</v>
      </c>
      <c r="B4384" s="1">
        <v>44986</v>
      </c>
      <c r="C4384">
        <v>2023</v>
      </c>
      <c r="D4384" t="s">
        <v>10</v>
      </c>
      <c r="E4384" t="s">
        <v>30</v>
      </c>
      <c r="F4384" t="s">
        <v>40</v>
      </c>
      <c r="G4384" t="s">
        <v>28</v>
      </c>
      <c r="H4384">
        <v>1184.5899999999999</v>
      </c>
    </row>
    <row r="4385" spans="1:8" x14ac:dyDescent="0.3">
      <c r="A4385">
        <v>202304</v>
      </c>
      <c r="B4385" s="1">
        <v>45017</v>
      </c>
      <c r="C4385">
        <v>2023</v>
      </c>
      <c r="D4385" t="s">
        <v>11</v>
      </c>
      <c r="E4385" t="s">
        <v>30</v>
      </c>
      <c r="F4385" t="s">
        <v>40</v>
      </c>
      <c r="G4385" t="s">
        <v>28</v>
      </c>
      <c r="H4385">
        <v>2284.8200000000002</v>
      </c>
    </row>
    <row r="4386" spans="1:8" x14ac:dyDescent="0.3">
      <c r="A4386">
        <v>202305</v>
      </c>
      <c r="B4386" s="1">
        <v>45047</v>
      </c>
      <c r="C4386">
        <v>2023</v>
      </c>
      <c r="D4386" t="s">
        <v>12</v>
      </c>
      <c r="E4386" t="s">
        <v>30</v>
      </c>
      <c r="F4386" t="s">
        <v>40</v>
      </c>
      <c r="G4386" t="s">
        <v>28</v>
      </c>
      <c r="H4386">
        <v>1396.39</v>
      </c>
    </row>
    <row r="4387" spans="1:8" x14ac:dyDescent="0.3">
      <c r="A4387">
        <v>202306</v>
      </c>
      <c r="B4387" s="1">
        <v>45078</v>
      </c>
      <c r="C4387">
        <v>2023</v>
      </c>
      <c r="D4387" t="s">
        <v>13</v>
      </c>
      <c r="E4387" t="s">
        <v>30</v>
      </c>
      <c r="F4387" t="s">
        <v>40</v>
      </c>
      <c r="G4387" t="s">
        <v>28</v>
      </c>
      <c r="H4387">
        <v>1246.5</v>
      </c>
    </row>
    <row r="4388" spans="1:8" x14ac:dyDescent="0.3">
      <c r="A4388">
        <v>202307</v>
      </c>
      <c r="B4388" s="1">
        <v>45108</v>
      </c>
      <c r="C4388">
        <v>2023</v>
      </c>
      <c r="D4388" t="s">
        <v>14</v>
      </c>
      <c r="E4388" t="s">
        <v>30</v>
      </c>
      <c r="F4388" t="s">
        <v>40</v>
      </c>
      <c r="G4388" t="s">
        <v>28</v>
      </c>
      <c r="H4388">
        <v>1920.26</v>
      </c>
    </row>
    <row r="4389" spans="1:8" x14ac:dyDescent="0.3">
      <c r="A4389">
        <v>202308</v>
      </c>
      <c r="B4389" s="1">
        <v>45139</v>
      </c>
      <c r="C4389">
        <v>2023</v>
      </c>
      <c r="D4389" t="s">
        <v>15</v>
      </c>
      <c r="E4389" t="s">
        <v>30</v>
      </c>
      <c r="F4389" t="s">
        <v>40</v>
      </c>
      <c r="G4389" t="s">
        <v>28</v>
      </c>
      <c r="H4389">
        <v>1762.79</v>
      </c>
    </row>
    <row r="4390" spans="1:8" x14ac:dyDescent="0.3">
      <c r="A4390">
        <v>202309</v>
      </c>
      <c r="B4390" s="1">
        <v>45170</v>
      </c>
      <c r="C4390">
        <v>2023</v>
      </c>
      <c r="D4390" t="s">
        <v>16</v>
      </c>
      <c r="E4390" t="s">
        <v>30</v>
      </c>
      <c r="F4390" t="s">
        <v>40</v>
      </c>
      <c r="G4390" t="s">
        <v>28</v>
      </c>
      <c r="H4390">
        <v>1326.94</v>
      </c>
    </row>
    <row r="4391" spans="1:8" x14ac:dyDescent="0.3">
      <c r="A4391">
        <v>202310</v>
      </c>
      <c r="B4391" s="1">
        <v>45200</v>
      </c>
      <c r="C4391">
        <v>2023</v>
      </c>
      <c r="D4391" t="s">
        <v>17</v>
      </c>
      <c r="E4391" t="s">
        <v>30</v>
      </c>
      <c r="F4391" t="s">
        <v>40</v>
      </c>
      <c r="G4391" t="s">
        <v>28</v>
      </c>
      <c r="H4391">
        <v>2092.14</v>
      </c>
    </row>
    <row r="4392" spans="1:8" x14ac:dyDescent="0.3">
      <c r="A4392">
        <v>202311</v>
      </c>
      <c r="B4392" s="1">
        <v>45231</v>
      </c>
      <c r="C4392">
        <v>2023</v>
      </c>
      <c r="D4392" t="s">
        <v>18</v>
      </c>
      <c r="E4392" t="s">
        <v>30</v>
      </c>
      <c r="F4392" t="s">
        <v>40</v>
      </c>
      <c r="G4392" t="s">
        <v>28</v>
      </c>
      <c r="H4392">
        <v>1517.81</v>
      </c>
    </row>
    <row r="4393" spans="1:8" x14ac:dyDescent="0.3">
      <c r="A4393">
        <v>202312</v>
      </c>
      <c r="B4393" s="1">
        <v>45261</v>
      </c>
      <c r="C4393">
        <v>2023</v>
      </c>
      <c r="D4393" t="s">
        <v>19</v>
      </c>
      <c r="E4393" t="s">
        <v>30</v>
      </c>
      <c r="F4393" t="s">
        <v>40</v>
      </c>
      <c r="G4393" t="s">
        <v>28</v>
      </c>
      <c r="H4393">
        <v>1348.63</v>
      </c>
    </row>
    <row r="4394" spans="1:8" x14ac:dyDescent="0.3">
      <c r="A4394">
        <v>202301</v>
      </c>
      <c r="B4394" s="1">
        <v>44927</v>
      </c>
      <c r="C4394">
        <v>2023</v>
      </c>
      <c r="D4394" t="s">
        <v>6</v>
      </c>
      <c r="E4394" t="s">
        <v>30</v>
      </c>
      <c r="F4394" t="s">
        <v>40</v>
      </c>
      <c r="G4394" t="s">
        <v>28</v>
      </c>
      <c r="H4394">
        <v>3790.86</v>
      </c>
    </row>
    <row r="4395" spans="1:8" x14ac:dyDescent="0.3">
      <c r="A4395">
        <v>202302</v>
      </c>
      <c r="B4395" s="1">
        <v>44958</v>
      </c>
      <c r="C4395">
        <v>2023</v>
      </c>
      <c r="D4395" t="s">
        <v>9</v>
      </c>
      <c r="E4395" t="s">
        <v>30</v>
      </c>
      <c r="F4395" t="s">
        <v>40</v>
      </c>
      <c r="G4395" t="s">
        <v>28</v>
      </c>
      <c r="H4395">
        <v>1718.19</v>
      </c>
    </row>
    <row r="4396" spans="1:8" x14ac:dyDescent="0.3">
      <c r="A4396">
        <v>202303</v>
      </c>
      <c r="B4396" s="1">
        <v>44986</v>
      </c>
      <c r="C4396">
        <v>2023</v>
      </c>
      <c r="D4396" t="s">
        <v>10</v>
      </c>
      <c r="E4396" t="s">
        <v>30</v>
      </c>
      <c r="F4396" t="s">
        <v>40</v>
      </c>
      <c r="G4396" t="s">
        <v>28</v>
      </c>
      <c r="H4396">
        <v>1934.44</v>
      </c>
    </row>
    <row r="4397" spans="1:8" x14ac:dyDescent="0.3">
      <c r="A4397">
        <v>202304</v>
      </c>
      <c r="B4397" s="1">
        <v>45017</v>
      </c>
      <c r="C4397">
        <v>2023</v>
      </c>
      <c r="D4397" t="s">
        <v>11</v>
      </c>
      <c r="E4397" t="s">
        <v>30</v>
      </c>
      <c r="F4397" t="s">
        <v>40</v>
      </c>
      <c r="G4397" t="s">
        <v>28</v>
      </c>
      <c r="H4397">
        <v>5975.66</v>
      </c>
    </row>
    <row r="4398" spans="1:8" x14ac:dyDescent="0.3">
      <c r="A4398">
        <v>202305</v>
      </c>
      <c r="B4398" s="1">
        <v>45047</v>
      </c>
      <c r="C4398">
        <v>2023</v>
      </c>
      <c r="D4398" t="s">
        <v>12</v>
      </c>
      <c r="E4398" t="s">
        <v>30</v>
      </c>
      <c r="F4398" t="s">
        <v>40</v>
      </c>
      <c r="G4398" t="s">
        <v>28</v>
      </c>
      <c r="H4398">
        <v>4014.59</v>
      </c>
    </row>
    <row r="4399" spans="1:8" x14ac:dyDescent="0.3">
      <c r="A4399">
        <v>202306</v>
      </c>
      <c r="B4399" s="1">
        <v>45078</v>
      </c>
      <c r="C4399">
        <v>2023</v>
      </c>
      <c r="D4399" t="s">
        <v>13</v>
      </c>
      <c r="E4399" t="s">
        <v>30</v>
      </c>
      <c r="F4399" t="s">
        <v>40</v>
      </c>
      <c r="G4399" t="s">
        <v>28</v>
      </c>
      <c r="H4399">
        <v>2403.06</v>
      </c>
    </row>
    <row r="4400" spans="1:8" x14ac:dyDescent="0.3">
      <c r="A4400">
        <v>202307</v>
      </c>
      <c r="B4400" s="1">
        <v>45108</v>
      </c>
      <c r="C4400">
        <v>2023</v>
      </c>
      <c r="D4400" t="s">
        <v>14</v>
      </c>
      <c r="E4400" t="s">
        <v>30</v>
      </c>
      <c r="F4400" t="s">
        <v>40</v>
      </c>
      <c r="G4400" t="s">
        <v>28</v>
      </c>
      <c r="H4400">
        <v>3587.69</v>
      </c>
    </row>
    <row r="4401" spans="1:8" x14ac:dyDescent="0.3">
      <c r="A4401">
        <v>202308</v>
      </c>
      <c r="B4401" s="1">
        <v>45139</v>
      </c>
      <c r="C4401">
        <v>2023</v>
      </c>
      <c r="D4401" t="s">
        <v>15</v>
      </c>
      <c r="E4401" t="s">
        <v>30</v>
      </c>
      <c r="F4401" t="s">
        <v>40</v>
      </c>
      <c r="G4401" t="s">
        <v>28</v>
      </c>
      <c r="H4401">
        <v>3939.05</v>
      </c>
    </row>
    <row r="4402" spans="1:8" x14ac:dyDescent="0.3">
      <c r="A4402">
        <v>202309</v>
      </c>
      <c r="B4402" s="1">
        <v>45170</v>
      </c>
      <c r="C4402">
        <v>2023</v>
      </c>
      <c r="D4402" t="s">
        <v>16</v>
      </c>
      <c r="E4402" t="s">
        <v>30</v>
      </c>
      <c r="F4402" t="s">
        <v>40</v>
      </c>
      <c r="G4402" t="s">
        <v>28</v>
      </c>
      <c r="H4402">
        <v>2246.4</v>
      </c>
    </row>
    <row r="4403" spans="1:8" x14ac:dyDescent="0.3">
      <c r="A4403">
        <v>202310</v>
      </c>
      <c r="B4403" s="1">
        <v>45200</v>
      </c>
      <c r="C4403">
        <v>2023</v>
      </c>
      <c r="D4403" t="s">
        <v>17</v>
      </c>
      <c r="E4403" t="s">
        <v>30</v>
      </c>
      <c r="F4403" t="s">
        <v>40</v>
      </c>
      <c r="G4403" t="s">
        <v>28</v>
      </c>
      <c r="H4403">
        <v>3578.69</v>
      </c>
    </row>
    <row r="4404" spans="1:8" x14ac:dyDescent="0.3">
      <c r="A4404">
        <v>202311</v>
      </c>
      <c r="B4404" s="1">
        <v>45231</v>
      </c>
      <c r="C4404">
        <v>2023</v>
      </c>
      <c r="D4404" t="s">
        <v>18</v>
      </c>
      <c r="E4404" t="s">
        <v>30</v>
      </c>
      <c r="F4404" t="s">
        <v>40</v>
      </c>
      <c r="G4404" t="s">
        <v>28</v>
      </c>
      <c r="H4404">
        <v>3795.8</v>
      </c>
    </row>
    <row r="4405" spans="1:8" x14ac:dyDescent="0.3">
      <c r="A4405">
        <v>202312</v>
      </c>
      <c r="B4405" s="1">
        <v>45261</v>
      </c>
      <c r="C4405">
        <v>2023</v>
      </c>
      <c r="D4405" t="s">
        <v>19</v>
      </c>
      <c r="E4405" t="s">
        <v>30</v>
      </c>
      <c r="F4405" t="s">
        <v>40</v>
      </c>
      <c r="G4405" t="s">
        <v>28</v>
      </c>
      <c r="H4405">
        <v>2850.43</v>
      </c>
    </row>
    <row r="4406" spans="1:8" x14ac:dyDescent="0.3">
      <c r="A4406">
        <v>202301</v>
      </c>
      <c r="B4406" s="1">
        <v>44927</v>
      </c>
      <c r="C4406">
        <v>2023</v>
      </c>
      <c r="D4406" t="s">
        <v>6</v>
      </c>
      <c r="E4406" t="s">
        <v>31</v>
      </c>
      <c r="F4406" t="s">
        <v>40</v>
      </c>
      <c r="G4406" t="s">
        <v>28</v>
      </c>
      <c r="H4406">
        <v>92.33</v>
      </c>
    </row>
    <row r="4407" spans="1:8" x14ac:dyDescent="0.3">
      <c r="A4407">
        <v>202302</v>
      </c>
      <c r="B4407" s="1">
        <v>44958</v>
      </c>
      <c r="C4407">
        <v>2023</v>
      </c>
      <c r="D4407" t="s">
        <v>9</v>
      </c>
      <c r="E4407" t="s">
        <v>31</v>
      </c>
      <c r="F4407" t="s">
        <v>40</v>
      </c>
      <c r="G4407" t="s">
        <v>28</v>
      </c>
      <c r="H4407">
        <v>59.78</v>
      </c>
    </row>
    <row r="4408" spans="1:8" x14ac:dyDescent="0.3">
      <c r="A4408">
        <v>202303</v>
      </c>
      <c r="B4408" s="1">
        <v>44986</v>
      </c>
      <c r="C4408">
        <v>2023</v>
      </c>
      <c r="D4408" t="s">
        <v>10</v>
      </c>
      <c r="E4408" t="s">
        <v>31</v>
      </c>
      <c r="F4408" t="s">
        <v>40</v>
      </c>
      <c r="G4408" t="s">
        <v>28</v>
      </c>
      <c r="H4408">
        <v>84.07</v>
      </c>
    </row>
    <row r="4409" spans="1:8" x14ac:dyDescent="0.3">
      <c r="A4409">
        <v>202304</v>
      </c>
      <c r="B4409" s="1">
        <v>45017</v>
      </c>
      <c r="C4409">
        <v>2023</v>
      </c>
      <c r="D4409" t="s">
        <v>11</v>
      </c>
      <c r="E4409" t="s">
        <v>31</v>
      </c>
      <c r="F4409" t="s">
        <v>40</v>
      </c>
      <c r="G4409" t="s">
        <v>28</v>
      </c>
      <c r="H4409">
        <v>112.04</v>
      </c>
    </row>
    <row r="4410" spans="1:8" x14ac:dyDescent="0.3">
      <c r="A4410">
        <v>202305</v>
      </c>
      <c r="B4410" s="1">
        <v>45047</v>
      </c>
      <c r="C4410">
        <v>2023</v>
      </c>
      <c r="D4410" t="s">
        <v>12</v>
      </c>
      <c r="E4410" t="s">
        <v>31</v>
      </c>
      <c r="F4410" t="s">
        <v>40</v>
      </c>
      <c r="G4410" t="s">
        <v>28</v>
      </c>
      <c r="H4410">
        <v>123.64</v>
      </c>
    </row>
    <row r="4411" spans="1:8" x14ac:dyDescent="0.3">
      <c r="A4411">
        <v>202306</v>
      </c>
      <c r="B4411" s="1">
        <v>45078</v>
      </c>
      <c r="C4411">
        <v>2023</v>
      </c>
      <c r="D4411" t="s">
        <v>13</v>
      </c>
      <c r="E4411" t="s">
        <v>31</v>
      </c>
      <c r="F4411" t="s">
        <v>40</v>
      </c>
      <c r="G4411" t="s">
        <v>28</v>
      </c>
      <c r="H4411">
        <v>75.16</v>
      </c>
    </row>
    <row r="4412" spans="1:8" x14ac:dyDescent="0.3">
      <c r="A4412">
        <v>202307</v>
      </c>
      <c r="B4412" s="1">
        <v>45108</v>
      </c>
      <c r="C4412">
        <v>2023</v>
      </c>
      <c r="D4412" t="s">
        <v>14</v>
      </c>
      <c r="E4412" t="s">
        <v>31</v>
      </c>
      <c r="F4412" t="s">
        <v>40</v>
      </c>
      <c r="G4412" t="s">
        <v>28</v>
      </c>
      <c r="H4412">
        <v>128.11000000000001</v>
      </c>
    </row>
    <row r="4413" spans="1:8" x14ac:dyDescent="0.3">
      <c r="A4413">
        <v>202308</v>
      </c>
      <c r="B4413" s="1">
        <v>45139</v>
      </c>
      <c r="C4413">
        <v>2023</v>
      </c>
      <c r="D4413" t="s">
        <v>15</v>
      </c>
      <c r="E4413" t="s">
        <v>31</v>
      </c>
      <c r="F4413" t="s">
        <v>40</v>
      </c>
      <c r="G4413" t="s">
        <v>28</v>
      </c>
      <c r="H4413">
        <v>79.66</v>
      </c>
    </row>
    <row r="4414" spans="1:8" x14ac:dyDescent="0.3">
      <c r="A4414">
        <v>202309</v>
      </c>
      <c r="B4414" s="1">
        <v>45170</v>
      </c>
      <c r="C4414">
        <v>2023</v>
      </c>
      <c r="D4414" t="s">
        <v>16</v>
      </c>
      <c r="E4414" t="s">
        <v>31</v>
      </c>
      <c r="F4414" t="s">
        <v>40</v>
      </c>
      <c r="G4414" t="s">
        <v>28</v>
      </c>
      <c r="H4414">
        <v>79.97</v>
      </c>
    </row>
    <row r="4415" spans="1:8" x14ac:dyDescent="0.3">
      <c r="A4415">
        <v>202310</v>
      </c>
      <c r="B4415" s="1">
        <v>45200</v>
      </c>
      <c r="C4415">
        <v>2023</v>
      </c>
      <c r="D4415" t="s">
        <v>17</v>
      </c>
      <c r="E4415" t="s">
        <v>31</v>
      </c>
      <c r="F4415" t="s">
        <v>40</v>
      </c>
      <c r="G4415" t="s">
        <v>28</v>
      </c>
      <c r="H4415">
        <v>105.8</v>
      </c>
    </row>
    <row r="4416" spans="1:8" x14ac:dyDescent="0.3">
      <c r="A4416">
        <v>202311</v>
      </c>
      <c r="B4416" s="1">
        <v>45231</v>
      </c>
      <c r="C4416">
        <v>2023</v>
      </c>
      <c r="D4416" t="s">
        <v>18</v>
      </c>
      <c r="E4416" t="s">
        <v>31</v>
      </c>
      <c r="F4416" t="s">
        <v>40</v>
      </c>
      <c r="G4416" t="s">
        <v>28</v>
      </c>
      <c r="H4416">
        <v>69.569999999999993</v>
      </c>
    </row>
    <row r="4417" spans="1:8" x14ac:dyDescent="0.3">
      <c r="A4417">
        <v>202312</v>
      </c>
      <c r="B4417" s="1">
        <v>45261</v>
      </c>
      <c r="C4417">
        <v>2023</v>
      </c>
      <c r="D4417" t="s">
        <v>19</v>
      </c>
      <c r="E4417" t="s">
        <v>31</v>
      </c>
      <c r="F4417" t="s">
        <v>40</v>
      </c>
      <c r="G4417" t="s">
        <v>28</v>
      </c>
      <c r="H4417">
        <v>94.47</v>
      </c>
    </row>
    <row r="4418" spans="1:8" x14ac:dyDescent="0.3">
      <c r="A4418">
        <v>202301</v>
      </c>
      <c r="B4418" s="1">
        <v>44927</v>
      </c>
      <c r="C4418">
        <v>2023</v>
      </c>
      <c r="D4418" t="s">
        <v>6</v>
      </c>
      <c r="E4418" t="s">
        <v>31</v>
      </c>
      <c r="F4418" t="s">
        <v>40</v>
      </c>
      <c r="G4418" t="s">
        <v>28</v>
      </c>
      <c r="H4418">
        <v>234.53</v>
      </c>
    </row>
    <row r="4419" spans="1:8" x14ac:dyDescent="0.3">
      <c r="A4419">
        <v>202302</v>
      </c>
      <c r="B4419" s="1">
        <v>44958</v>
      </c>
      <c r="C4419">
        <v>2023</v>
      </c>
      <c r="D4419" t="s">
        <v>9</v>
      </c>
      <c r="E4419" t="s">
        <v>31</v>
      </c>
      <c r="F4419" t="s">
        <v>40</v>
      </c>
      <c r="G4419" t="s">
        <v>28</v>
      </c>
      <c r="H4419">
        <v>126.03</v>
      </c>
    </row>
    <row r="4420" spans="1:8" x14ac:dyDescent="0.3">
      <c r="A4420">
        <v>202303</v>
      </c>
      <c r="B4420" s="1">
        <v>44986</v>
      </c>
      <c r="C4420">
        <v>2023</v>
      </c>
      <c r="D4420" t="s">
        <v>10</v>
      </c>
      <c r="E4420" t="s">
        <v>31</v>
      </c>
      <c r="F4420" t="s">
        <v>40</v>
      </c>
      <c r="G4420" t="s">
        <v>28</v>
      </c>
      <c r="H4420">
        <v>168.37</v>
      </c>
    </row>
    <row r="4421" spans="1:8" x14ac:dyDescent="0.3">
      <c r="A4421">
        <v>202304</v>
      </c>
      <c r="B4421" s="1">
        <v>45017</v>
      </c>
      <c r="C4421">
        <v>2023</v>
      </c>
      <c r="D4421" t="s">
        <v>11</v>
      </c>
      <c r="E4421" t="s">
        <v>31</v>
      </c>
      <c r="F4421" t="s">
        <v>40</v>
      </c>
      <c r="G4421" t="s">
        <v>28</v>
      </c>
      <c r="H4421">
        <v>337.15</v>
      </c>
    </row>
    <row r="4422" spans="1:8" x14ac:dyDescent="0.3">
      <c r="A4422">
        <v>202305</v>
      </c>
      <c r="B4422" s="1">
        <v>45047</v>
      </c>
      <c r="C4422">
        <v>2023</v>
      </c>
      <c r="D4422" t="s">
        <v>12</v>
      </c>
      <c r="E4422" t="s">
        <v>31</v>
      </c>
      <c r="F4422" t="s">
        <v>40</v>
      </c>
      <c r="G4422" t="s">
        <v>28</v>
      </c>
      <c r="H4422">
        <v>207.64</v>
      </c>
    </row>
    <row r="4423" spans="1:8" x14ac:dyDescent="0.3">
      <c r="A4423">
        <v>202306</v>
      </c>
      <c r="B4423" s="1">
        <v>45078</v>
      </c>
      <c r="C4423">
        <v>2023</v>
      </c>
      <c r="D4423" t="s">
        <v>13</v>
      </c>
      <c r="E4423" t="s">
        <v>31</v>
      </c>
      <c r="F4423" t="s">
        <v>40</v>
      </c>
      <c r="G4423" t="s">
        <v>28</v>
      </c>
      <c r="H4423">
        <v>167.26</v>
      </c>
    </row>
    <row r="4424" spans="1:8" x14ac:dyDescent="0.3">
      <c r="A4424">
        <v>202307</v>
      </c>
      <c r="B4424" s="1">
        <v>45108</v>
      </c>
      <c r="C4424">
        <v>2023</v>
      </c>
      <c r="D4424" t="s">
        <v>14</v>
      </c>
      <c r="E4424" t="s">
        <v>31</v>
      </c>
      <c r="F4424" t="s">
        <v>40</v>
      </c>
      <c r="G4424" t="s">
        <v>28</v>
      </c>
      <c r="H4424">
        <v>342.71</v>
      </c>
    </row>
    <row r="4425" spans="1:8" x14ac:dyDescent="0.3">
      <c r="A4425">
        <v>202308</v>
      </c>
      <c r="B4425" s="1">
        <v>45139</v>
      </c>
      <c r="C4425">
        <v>2023</v>
      </c>
      <c r="D4425" t="s">
        <v>15</v>
      </c>
      <c r="E4425" t="s">
        <v>31</v>
      </c>
      <c r="F4425" t="s">
        <v>40</v>
      </c>
      <c r="G4425" t="s">
        <v>28</v>
      </c>
      <c r="H4425">
        <v>272.99</v>
      </c>
    </row>
    <row r="4426" spans="1:8" x14ac:dyDescent="0.3">
      <c r="A4426">
        <v>202309</v>
      </c>
      <c r="B4426" s="1">
        <v>45170</v>
      </c>
      <c r="C4426">
        <v>2023</v>
      </c>
      <c r="D4426" t="s">
        <v>16</v>
      </c>
      <c r="E4426" t="s">
        <v>31</v>
      </c>
      <c r="F4426" t="s">
        <v>40</v>
      </c>
      <c r="G4426" t="s">
        <v>28</v>
      </c>
      <c r="H4426">
        <v>213.77</v>
      </c>
    </row>
    <row r="4427" spans="1:8" x14ac:dyDescent="0.3">
      <c r="A4427">
        <v>202310</v>
      </c>
      <c r="B4427" s="1">
        <v>45200</v>
      </c>
      <c r="C4427">
        <v>2023</v>
      </c>
      <c r="D4427" t="s">
        <v>17</v>
      </c>
      <c r="E4427" t="s">
        <v>31</v>
      </c>
      <c r="F4427" t="s">
        <v>40</v>
      </c>
      <c r="G4427" t="s">
        <v>28</v>
      </c>
      <c r="H4427">
        <v>277.91000000000003</v>
      </c>
    </row>
    <row r="4428" spans="1:8" x14ac:dyDescent="0.3">
      <c r="A4428">
        <v>202311</v>
      </c>
      <c r="B4428" s="1">
        <v>45231</v>
      </c>
      <c r="C4428">
        <v>2023</v>
      </c>
      <c r="D4428" t="s">
        <v>18</v>
      </c>
      <c r="E4428" t="s">
        <v>31</v>
      </c>
      <c r="F4428" t="s">
        <v>40</v>
      </c>
      <c r="G4428" t="s">
        <v>28</v>
      </c>
      <c r="H4428">
        <v>194.55</v>
      </c>
    </row>
    <row r="4429" spans="1:8" x14ac:dyDescent="0.3">
      <c r="A4429">
        <v>202312</v>
      </c>
      <c r="B4429" s="1">
        <v>45261</v>
      </c>
      <c r="C4429">
        <v>2023</v>
      </c>
      <c r="D4429" t="s">
        <v>19</v>
      </c>
      <c r="E4429" t="s">
        <v>31</v>
      </c>
      <c r="F4429" t="s">
        <v>40</v>
      </c>
      <c r="G4429" t="s">
        <v>28</v>
      </c>
      <c r="H4429">
        <v>271.66000000000003</v>
      </c>
    </row>
    <row r="4430" spans="1:8" x14ac:dyDescent="0.3">
      <c r="A4430">
        <v>202301</v>
      </c>
      <c r="B4430" s="1">
        <v>44927</v>
      </c>
      <c r="C4430">
        <v>2023</v>
      </c>
      <c r="D4430" t="s">
        <v>6</v>
      </c>
      <c r="E4430" t="s">
        <v>31</v>
      </c>
      <c r="F4430" t="s">
        <v>40</v>
      </c>
      <c r="G4430" t="s">
        <v>28</v>
      </c>
      <c r="H4430">
        <v>90</v>
      </c>
    </row>
    <row r="4431" spans="1:8" x14ac:dyDescent="0.3">
      <c r="A4431">
        <v>202302</v>
      </c>
      <c r="B4431" s="1">
        <v>44958</v>
      </c>
      <c r="C4431">
        <v>2023</v>
      </c>
      <c r="D4431" t="s">
        <v>9</v>
      </c>
      <c r="E4431" t="s">
        <v>31</v>
      </c>
      <c r="F4431" t="s">
        <v>40</v>
      </c>
      <c r="G4431" t="s">
        <v>28</v>
      </c>
      <c r="H4431">
        <v>73.94</v>
      </c>
    </row>
    <row r="4432" spans="1:8" x14ac:dyDescent="0.3">
      <c r="A4432">
        <v>202303</v>
      </c>
      <c r="B4432" s="1">
        <v>44986</v>
      </c>
      <c r="C4432">
        <v>2023</v>
      </c>
      <c r="D4432" t="s">
        <v>10</v>
      </c>
      <c r="E4432" t="s">
        <v>31</v>
      </c>
      <c r="F4432" t="s">
        <v>40</v>
      </c>
      <c r="G4432" t="s">
        <v>28</v>
      </c>
      <c r="H4432">
        <v>92.06</v>
      </c>
    </row>
    <row r="4433" spans="1:8" x14ac:dyDescent="0.3">
      <c r="A4433">
        <v>202304</v>
      </c>
      <c r="B4433" s="1">
        <v>45017</v>
      </c>
      <c r="C4433">
        <v>2023</v>
      </c>
      <c r="D4433" t="s">
        <v>11</v>
      </c>
      <c r="E4433" t="s">
        <v>31</v>
      </c>
      <c r="F4433" t="s">
        <v>40</v>
      </c>
      <c r="G4433" t="s">
        <v>28</v>
      </c>
      <c r="H4433">
        <v>98.49</v>
      </c>
    </row>
    <row r="4434" spans="1:8" x14ac:dyDescent="0.3">
      <c r="A4434">
        <v>202305</v>
      </c>
      <c r="B4434" s="1">
        <v>45047</v>
      </c>
      <c r="C4434">
        <v>2023</v>
      </c>
      <c r="D4434" t="s">
        <v>12</v>
      </c>
      <c r="E4434" t="s">
        <v>31</v>
      </c>
      <c r="F4434" t="s">
        <v>40</v>
      </c>
      <c r="G4434" t="s">
        <v>28</v>
      </c>
      <c r="H4434">
        <v>117.91</v>
      </c>
    </row>
    <row r="4435" spans="1:8" x14ac:dyDescent="0.3">
      <c r="A4435">
        <v>202306</v>
      </c>
      <c r="B4435" s="1">
        <v>45078</v>
      </c>
      <c r="C4435">
        <v>2023</v>
      </c>
      <c r="D4435" t="s">
        <v>13</v>
      </c>
      <c r="E4435" t="s">
        <v>31</v>
      </c>
      <c r="F4435" t="s">
        <v>40</v>
      </c>
      <c r="G4435" t="s">
        <v>28</v>
      </c>
      <c r="H4435">
        <v>58.13</v>
      </c>
    </row>
    <row r="4436" spans="1:8" x14ac:dyDescent="0.3">
      <c r="A4436">
        <v>202307</v>
      </c>
      <c r="B4436" s="1">
        <v>45108</v>
      </c>
      <c r="C4436">
        <v>2023</v>
      </c>
      <c r="D4436" t="s">
        <v>14</v>
      </c>
      <c r="E4436" t="s">
        <v>31</v>
      </c>
      <c r="F4436" t="s">
        <v>40</v>
      </c>
      <c r="G4436" t="s">
        <v>28</v>
      </c>
      <c r="H4436">
        <v>130.61000000000001</v>
      </c>
    </row>
    <row r="4437" spans="1:8" x14ac:dyDescent="0.3">
      <c r="A4437">
        <v>202308</v>
      </c>
      <c r="B4437" s="1">
        <v>45139</v>
      </c>
      <c r="C4437">
        <v>2023</v>
      </c>
      <c r="D4437" t="s">
        <v>15</v>
      </c>
      <c r="E4437" t="s">
        <v>31</v>
      </c>
      <c r="F4437" t="s">
        <v>40</v>
      </c>
      <c r="G4437" t="s">
        <v>28</v>
      </c>
      <c r="H4437">
        <v>119.83</v>
      </c>
    </row>
    <row r="4438" spans="1:8" x14ac:dyDescent="0.3">
      <c r="A4438">
        <v>202309</v>
      </c>
      <c r="B4438" s="1">
        <v>45170</v>
      </c>
      <c r="C4438">
        <v>2023</v>
      </c>
      <c r="D4438" t="s">
        <v>16</v>
      </c>
      <c r="E4438" t="s">
        <v>31</v>
      </c>
      <c r="F4438" t="s">
        <v>40</v>
      </c>
      <c r="G4438" t="s">
        <v>28</v>
      </c>
      <c r="H4438">
        <v>114.65</v>
      </c>
    </row>
    <row r="4439" spans="1:8" x14ac:dyDescent="0.3">
      <c r="A4439">
        <v>202310</v>
      </c>
      <c r="B4439" s="1">
        <v>45200</v>
      </c>
      <c r="C4439">
        <v>2023</v>
      </c>
      <c r="D4439" t="s">
        <v>17</v>
      </c>
      <c r="E4439" t="s">
        <v>31</v>
      </c>
      <c r="F4439" t="s">
        <v>40</v>
      </c>
      <c r="G4439" t="s">
        <v>28</v>
      </c>
      <c r="H4439">
        <v>112.22</v>
      </c>
    </row>
    <row r="4440" spans="1:8" x14ac:dyDescent="0.3">
      <c r="A4440">
        <v>202311</v>
      </c>
      <c r="B4440" s="1">
        <v>45231</v>
      </c>
      <c r="C4440">
        <v>2023</v>
      </c>
      <c r="D4440" t="s">
        <v>18</v>
      </c>
      <c r="E4440" t="s">
        <v>31</v>
      </c>
      <c r="F4440" t="s">
        <v>40</v>
      </c>
      <c r="G4440" t="s">
        <v>28</v>
      </c>
      <c r="H4440">
        <v>69.150000000000006</v>
      </c>
    </row>
    <row r="4441" spans="1:8" x14ac:dyDescent="0.3">
      <c r="A4441">
        <v>202312</v>
      </c>
      <c r="B4441" s="1">
        <v>45261</v>
      </c>
      <c r="C4441">
        <v>2023</v>
      </c>
      <c r="D4441" t="s">
        <v>19</v>
      </c>
      <c r="E4441" t="s">
        <v>31</v>
      </c>
      <c r="F4441" t="s">
        <v>40</v>
      </c>
      <c r="G4441" t="s">
        <v>28</v>
      </c>
      <c r="H4441">
        <v>135.04</v>
      </c>
    </row>
    <row r="4442" spans="1:8" x14ac:dyDescent="0.3">
      <c r="A4442">
        <v>202301</v>
      </c>
      <c r="B4442" s="1">
        <v>44927</v>
      </c>
      <c r="C4442">
        <v>2023</v>
      </c>
      <c r="D4442" t="s">
        <v>6</v>
      </c>
      <c r="E4442" t="s">
        <v>31</v>
      </c>
      <c r="F4442" t="s">
        <v>40</v>
      </c>
      <c r="G4442" t="s">
        <v>28</v>
      </c>
      <c r="H4442">
        <v>117.56</v>
      </c>
    </row>
    <row r="4443" spans="1:8" x14ac:dyDescent="0.3">
      <c r="A4443">
        <v>202302</v>
      </c>
      <c r="B4443" s="1">
        <v>44958</v>
      </c>
      <c r="C4443">
        <v>2023</v>
      </c>
      <c r="D4443" t="s">
        <v>9</v>
      </c>
      <c r="E4443" t="s">
        <v>31</v>
      </c>
      <c r="F4443" t="s">
        <v>40</v>
      </c>
      <c r="G4443" t="s">
        <v>28</v>
      </c>
      <c r="H4443">
        <v>86.22</v>
      </c>
    </row>
    <row r="4444" spans="1:8" x14ac:dyDescent="0.3">
      <c r="A4444">
        <v>202303</v>
      </c>
      <c r="B4444" s="1">
        <v>44986</v>
      </c>
      <c r="C4444">
        <v>2023</v>
      </c>
      <c r="D4444" t="s">
        <v>10</v>
      </c>
      <c r="E4444" t="s">
        <v>31</v>
      </c>
      <c r="F4444" t="s">
        <v>40</v>
      </c>
      <c r="G4444" t="s">
        <v>28</v>
      </c>
      <c r="H4444">
        <v>122.54</v>
      </c>
    </row>
    <row r="4445" spans="1:8" x14ac:dyDescent="0.3">
      <c r="A4445">
        <v>202304</v>
      </c>
      <c r="B4445" s="1">
        <v>45017</v>
      </c>
      <c r="C4445">
        <v>2023</v>
      </c>
      <c r="D4445" t="s">
        <v>11</v>
      </c>
      <c r="E4445" t="s">
        <v>31</v>
      </c>
      <c r="F4445" t="s">
        <v>40</v>
      </c>
      <c r="G4445" t="s">
        <v>28</v>
      </c>
      <c r="H4445">
        <v>146.25</v>
      </c>
    </row>
    <row r="4446" spans="1:8" x14ac:dyDescent="0.3">
      <c r="A4446">
        <v>202305</v>
      </c>
      <c r="B4446" s="1">
        <v>45047</v>
      </c>
      <c r="C4446">
        <v>2023</v>
      </c>
      <c r="D4446" t="s">
        <v>12</v>
      </c>
      <c r="E4446" t="s">
        <v>31</v>
      </c>
      <c r="F4446" t="s">
        <v>40</v>
      </c>
      <c r="G4446" t="s">
        <v>28</v>
      </c>
      <c r="H4446">
        <v>131.19999999999999</v>
      </c>
    </row>
    <row r="4447" spans="1:8" x14ac:dyDescent="0.3">
      <c r="A4447">
        <v>202306</v>
      </c>
      <c r="B4447" s="1">
        <v>45078</v>
      </c>
      <c r="C4447">
        <v>2023</v>
      </c>
      <c r="D4447" t="s">
        <v>13</v>
      </c>
      <c r="E4447" t="s">
        <v>31</v>
      </c>
      <c r="F4447" t="s">
        <v>40</v>
      </c>
      <c r="G4447" t="s">
        <v>28</v>
      </c>
      <c r="H4447">
        <v>118.56</v>
      </c>
    </row>
    <row r="4448" spans="1:8" x14ac:dyDescent="0.3">
      <c r="A4448">
        <v>202307</v>
      </c>
      <c r="B4448" s="1">
        <v>45108</v>
      </c>
      <c r="C4448">
        <v>2023</v>
      </c>
      <c r="D4448" t="s">
        <v>14</v>
      </c>
      <c r="E4448" t="s">
        <v>31</v>
      </c>
      <c r="F4448" t="s">
        <v>40</v>
      </c>
      <c r="G4448" t="s">
        <v>28</v>
      </c>
      <c r="H4448">
        <v>143.66</v>
      </c>
    </row>
    <row r="4449" spans="1:8" x14ac:dyDescent="0.3">
      <c r="A4449">
        <v>202308</v>
      </c>
      <c r="B4449" s="1">
        <v>45139</v>
      </c>
      <c r="C4449">
        <v>2023</v>
      </c>
      <c r="D4449" t="s">
        <v>15</v>
      </c>
      <c r="E4449" t="s">
        <v>31</v>
      </c>
      <c r="F4449" t="s">
        <v>40</v>
      </c>
      <c r="G4449" t="s">
        <v>28</v>
      </c>
      <c r="H4449">
        <v>130.03</v>
      </c>
    </row>
    <row r="4450" spans="1:8" x14ac:dyDescent="0.3">
      <c r="A4450">
        <v>202309</v>
      </c>
      <c r="B4450" s="1">
        <v>45170</v>
      </c>
      <c r="C4450">
        <v>2023</v>
      </c>
      <c r="D4450" t="s">
        <v>16</v>
      </c>
      <c r="E4450" t="s">
        <v>31</v>
      </c>
      <c r="F4450" t="s">
        <v>40</v>
      </c>
      <c r="G4450" t="s">
        <v>28</v>
      </c>
      <c r="H4450">
        <v>128.66</v>
      </c>
    </row>
    <row r="4451" spans="1:8" x14ac:dyDescent="0.3">
      <c r="A4451">
        <v>202310</v>
      </c>
      <c r="B4451" s="1">
        <v>45200</v>
      </c>
      <c r="C4451">
        <v>2023</v>
      </c>
      <c r="D4451" t="s">
        <v>17</v>
      </c>
      <c r="E4451" t="s">
        <v>31</v>
      </c>
      <c r="F4451" t="s">
        <v>40</v>
      </c>
      <c r="G4451" t="s">
        <v>28</v>
      </c>
      <c r="H4451">
        <v>178.53</v>
      </c>
    </row>
    <row r="4452" spans="1:8" x14ac:dyDescent="0.3">
      <c r="A4452">
        <v>202311</v>
      </c>
      <c r="B4452" s="1">
        <v>45231</v>
      </c>
      <c r="C4452">
        <v>2023</v>
      </c>
      <c r="D4452" t="s">
        <v>18</v>
      </c>
      <c r="E4452" t="s">
        <v>31</v>
      </c>
      <c r="F4452" t="s">
        <v>40</v>
      </c>
      <c r="G4452" t="s">
        <v>28</v>
      </c>
      <c r="H4452">
        <v>115.94</v>
      </c>
    </row>
    <row r="4453" spans="1:8" x14ac:dyDescent="0.3">
      <c r="A4453">
        <v>202312</v>
      </c>
      <c r="B4453" s="1">
        <v>45261</v>
      </c>
      <c r="C4453">
        <v>2023</v>
      </c>
      <c r="D4453" t="s">
        <v>19</v>
      </c>
      <c r="E4453" t="s">
        <v>31</v>
      </c>
      <c r="F4453" t="s">
        <v>40</v>
      </c>
      <c r="G4453" t="s">
        <v>28</v>
      </c>
      <c r="H4453">
        <v>212.46</v>
      </c>
    </row>
    <row r="4454" spans="1:8" x14ac:dyDescent="0.3">
      <c r="A4454">
        <v>202301</v>
      </c>
      <c r="B4454" s="1">
        <v>44927</v>
      </c>
      <c r="C4454">
        <v>2023</v>
      </c>
      <c r="D4454" t="s">
        <v>6</v>
      </c>
      <c r="E4454" t="s">
        <v>31</v>
      </c>
      <c r="F4454" t="s">
        <v>40</v>
      </c>
      <c r="G4454" t="s">
        <v>28</v>
      </c>
      <c r="H4454">
        <v>110.11</v>
      </c>
    </row>
    <row r="4455" spans="1:8" x14ac:dyDescent="0.3">
      <c r="A4455">
        <v>202302</v>
      </c>
      <c r="B4455" s="1">
        <v>44958</v>
      </c>
      <c r="C4455">
        <v>2023</v>
      </c>
      <c r="D4455" t="s">
        <v>9</v>
      </c>
      <c r="E4455" t="s">
        <v>31</v>
      </c>
      <c r="F4455" t="s">
        <v>40</v>
      </c>
      <c r="G4455" t="s">
        <v>28</v>
      </c>
      <c r="H4455">
        <v>57.88</v>
      </c>
    </row>
    <row r="4456" spans="1:8" x14ac:dyDescent="0.3">
      <c r="A4456">
        <v>202303</v>
      </c>
      <c r="B4456" s="1">
        <v>44986</v>
      </c>
      <c r="C4456">
        <v>2023</v>
      </c>
      <c r="D4456" t="s">
        <v>10</v>
      </c>
      <c r="E4456" t="s">
        <v>31</v>
      </c>
      <c r="F4456" t="s">
        <v>40</v>
      </c>
      <c r="G4456" t="s">
        <v>28</v>
      </c>
      <c r="H4456">
        <v>75.180000000000007</v>
      </c>
    </row>
    <row r="4457" spans="1:8" x14ac:dyDescent="0.3">
      <c r="A4457">
        <v>202304</v>
      </c>
      <c r="B4457" s="1">
        <v>45017</v>
      </c>
      <c r="C4457">
        <v>2023</v>
      </c>
      <c r="D4457" t="s">
        <v>11</v>
      </c>
      <c r="E4457" t="s">
        <v>31</v>
      </c>
      <c r="F4457" t="s">
        <v>40</v>
      </c>
      <c r="G4457" t="s">
        <v>28</v>
      </c>
      <c r="H4457">
        <v>150.01</v>
      </c>
    </row>
    <row r="4458" spans="1:8" x14ac:dyDescent="0.3">
      <c r="A4458">
        <v>202305</v>
      </c>
      <c r="B4458" s="1">
        <v>45047</v>
      </c>
      <c r="C4458">
        <v>2023</v>
      </c>
      <c r="D4458" t="s">
        <v>12</v>
      </c>
      <c r="E4458" t="s">
        <v>31</v>
      </c>
      <c r="F4458" t="s">
        <v>40</v>
      </c>
      <c r="G4458" t="s">
        <v>28</v>
      </c>
      <c r="H4458">
        <v>68.14</v>
      </c>
    </row>
    <row r="4459" spans="1:8" x14ac:dyDescent="0.3">
      <c r="A4459">
        <v>202306</v>
      </c>
      <c r="B4459" s="1">
        <v>45078</v>
      </c>
      <c r="C4459">
        <v>2023</v>
      </c>
      <c r="D4459" t="s">
        <v>13</v>
      </c>
      <c r="E4459" t="s">
        <v>31</v>
      </c>
      <c r="F4459" t="s">
        <v>40</v>
      </c>
      <c r="G4459" t="s">
        <v>28</v>
      </c>
      <c r="H4459">
        <v>87.22</v>
      </c>
    </row>
    <row r="4460" spans="1:8" x14ac:dyDescent="0.3">
      <c r="A4460">
        <v>202307</v>
      </c>
      <c r="B4460" s="1">
        <v>45108</v>
      </c>
      <c r="C4460">
        <v>2023</v>
      </c>
      <c r="D4460" t="s">
        <v>14</v>
      </c>
      <c r="E4460" t="s">
        <v>31</v>
      </c>
      <c r="F4460" t="s">
        <v>40</v>
      </c>
      <c r="G4460" t="s">
        <v>28</v>
      </c>
      <c r="H4460">
        <v>91.53</v>
      </c>
    </row>
    <row r="4461" spans="1:8" x14ac:dyDescent="0.3">
      <c r="A4461">
        <v>202308</v>
      </c>
      <c r="B4461" s="1">
        <v>45139</v>
      </c>
      <c r="C4461">
        <v>2023</v>
      </c>
      <c r="D4461" t="s">
        <v>15</v>
      </c>
      <c r="E4461" t="s">
        <v>31</v>
      </c>
      <c r="F4461" t="s">
        <v>40</v>
      </c>
      <c r="G4461" t="s">
        <v>28</v>
      </c>
      <c r="H4461">
        <v>77.14</v>
      </c>
    </row>
    <row r="4462" spans="1:8" x14ac:dyDescent="0.3">
      <c r="A4462">
        <v>202309</v>
      </c>
      <c r="B4462" s="1">
        <v>45170</v>
      </c>
      <c r="C4462">
        <v>2023</v>
      </c>
      <c r="D4462" t="s">
        <v>16</v>
      </c>
      <c r="E4462" t="s">
        <v>31</v>
      </c>
      <c r="F4462" t="s">
        <v>40</v>
      </c>
      <c r="G4462" t="s">
        <v>28</v>
      </c>
      <c r="H4462">
        <v>78.05</v>
      </c>
    </row>
    <row r="4463" spans="1:8" x14ac:dyDescent="0.3">
      <c r="A4463">
        <v>202310</v>
      </c>
      <c r="B4463" s="1">
        <v>45200</v>
      </c>
      <c r="C4463">
        <v>2023</v>
      </c>
      <c r="D4463" t="s">
        <v>17</v>
      </c>
      <c r="E4463" t="s">
        <v>31</v>
      </c>
      <c r="F4463" t="s">
        <v>40</v>
      </c>
      <c r="G4463" t="s">
        <v>28</v>
      </c>
      <c r="H4463">
        <v>99.51</v>
      </c>
    </row>
    <row r="4464" spans="1:8" x14ac:dyDescent="0.3">
      <c r="A4464">
        <v>202311</v>
      </c>
      <c r="B4464" s="1">
        <v>45231</v>
      </c>
      <c r="C4464">
        <v>2023</v>
      </c>
      <c r="D4464" t="s">
        <v>18</v>
      </c>
      <c r="E4464" t="s">
        <v>31</v>
      </c>
      <c r="F4464" t="s">
        <v>40</v>
      </c>
      <c r="G4464" t="s">
        <v>28</v>
      </c>
      <c r="H4464">
        <v>75.78</v>
      </c>
    </row>
    <row r="4465" spans="1:8" x14ac:dyDescent="0.3">
      <c r="A4465">
        <v>202312</v>
      </c>
      <c r="B4465" s="1">
        <v>45261</v>
      </c>
      <c r="C4465">
        <v>2023</v>
      </c>
      <c r="D4465" t="s">
        <v>19</v>
      </c>
      <c r="E4465" t="s">
        <v>31</v>
      </c>
      <c r="F4465" t="s">
        <v>40</v>
      </c>
      <c r="G4465" t="s">
        <v>28</v>
      </c>
      <c r="H4465">
        <v>119.15</v>
      </c>
    </row>
    <row r="4466" spans="1:8" x14ac:dyDescent="0.3">
      <c r="A4466">
        <v>202301</v>
      </c>
      <c r="B4466" s="1">
        <v>44927</v>
      </c>
      <c r="C4466">
        <v>2023</v>
      </c>
      <c r="D4466" t="s">
        <v>6</v>
      </c>
      <c r="E4466" t="s">
        <v>31</v>
      </c>
      <c r="F4466" t="s">
        <v>40</v>
      </c>
      <c r="G4466" t="s">
        <v>28</v>
      </c>
      <c r="H4466">
        <v>528.16</v>
      </c>
    </row>
    <row r="4467" spans="1:8" x14ac:dyDescent="0.3">
      <c r="A4467">
        <v>202302</v>
      </c>
      <c r="B4467" s="1">
        <v>44958</v>
      </c>
      <c r="C4467">
        <v>2023</v>
      </c>
      <c r="D4467" t="s">
        <v>9</v>
      </c>
      <c r="E4467" t="s">
        <v>31</v>
      </c>
      <c r="F4467" t="s">
        <v>40</v>
      </c>
      <c r="G4467" t="s">
        <v>28</v>
      </c>
      <c r="H4467">
        <v>234.75</v>
      </c>
    </row>
    <row r="4468" spans="1:8" x14ac:dyDescent="0.3">
      <c r="A4468">
        <v>202303</v>
      </c>
      <c r="B4468" s="1">
        <v>44986</v>
      </c>
      <c r="C4468">
        <v>2023</v>
      </c>
      <c r="D4468" t="s">
        <v>10</v>
      </c>
      <c r="E4468" t="s">
        <v>31</v>
      </c>
      <c r="F4468" t="s">
        <v>40</v>
      </c>
      <c r="G4468" t="s">
        <v>28</v>
      </c>
      <c r="H4468">
        <v>285.27999999999997</v>
      </c>
    </row>
    <row r="4469" spans="1:8" x14ac:dyDescent="0.3">
      <c r="A4469">
        <v>202304</v>
      </c>
      <c r="B4469" s="1">
        <v>45017</v>
      </c>
      <c r="C4469">
        <v>2023</v>
      </c>
      <c r="D4469" t="s">
        <v>11</v>
      </c>
      <c r="E4469" t="s">
        <v>31</v>
      </c>
      <c r="F4469" t="s">
        <v>40</v>
      </c>
      <c r="G4469" t="s">
        <v>28</v>
      </c>
      <c r="H4469">
        <v>550.04</v>
      </c>
    </row>
    <row r="4470" spans="1:8" x14ac:dyDescent="0.3">
      <c r="A4470">
        <v>202305</v>
      </c>
      <c r="B4470" s="1">
        <v>45047</v>
      </c>
      <c r="C4470">
        <v>2023</v>
      </c>
      <c r="D4470" t="s">
        <v>12</v>
      </c>
      <c r="E4470" t="s">
        <v>31</v>
      </c>
      <c r="F4470" t="s">
        <v>40</v>
      </c>
      <c r="G4470" t="s">
        <v>28</v>
      </c>
      <c r="H4470">
        <v>434.15</v>
      </c>
    </row>
    <row r="4471" spans="1:8" x14ac:dyDescent="0.3">
      <c r="A4471">
        <v>202306</v>
      </c>
      <c r="B4471" s="1">
        <v>45078</v>
      </c>
      <c r="C4471">
        <v>2023</v>
      </c>
      <c r="D4471" t="s">
        <v>13</v>
      </c>
      <c r="E4471" t="s">
        <v>31</v>
      </c>
      <c r="F4471" t="s">
        <v>40</v>
      </c>
      <c r="G4471" t="s">
        <v>28</v>
      </c>
      <c r="H4471">
        <v>354.72</v>
      </c>
    </row>
    <row r="4472" spans="1:8" x14ac:dyDescent="0.3">
      <c r="A4472">
        <v>202307</v>
      </c>
      <c r="B4472" s="1">
        <v>45108</v>
      </c>
      <c r="C4472">
        <v>2023</v>
      </c>
      <c r="D4472" t="s">
        <v>14</v>
      </c>
      <c r="E4472" t="s">
        <v>31</v>
      </c>
      <c r="F4472" t="s">
        <v>40</v>
      </c>
      <c r="G4472" t="s">
        <v>28</v>
      </c>
      <c r="H4472">
        <v>544.5</v>
      </c>
    </row>
    <row r="4473" spans="1:8" x14ac:dyDescent="0.3">
      <c r="A4473">
        <v>202308</v>
      </c>
      <c r="B4473" s="1">
        <v>45139</v>
      </c>
      <c r="C4473">
        <v>2023</v>
      </c>
      <c r="D4473" t="s">
        <v>15</v>
      </c>
      <c r="E4473" t="s">
        <v>31</v>
      </c>
      <c r="F4473" t="s">
        <v>40</v>
      </c>
      <c r="G4473" t="s">
        <v>28</v>
      </c>
      <c r="H4473">
        <v>448.93</v>
      </c>
    </row>
    <row r="4474" spans="1:8" x14ac:dyDescent="0.3">
      <c r="A4474">
        <v>202309</v>
      </c>
      <c r="B4474" s="1">
        <v>45170</v>
      </c>
      <c r="C4474">
        <v>2023</v>
      </c>
      <c r="D4474" t="s">
        <v>16</v>
      </c>
      <c r="E4474" t="s">
        <v>31</v>
      </c>
      <c r="F4474" t="s">
        <v>40</v>
      </c>
      <c r="G4474" t="s">
        <v>28</v>
      </c>
      <c r="H4474">
        <v>509.09</v>
      </c>
    </row>
    <row r="4475" spans="1:8" x14ac:dyDescent="0.3">
      <c r="A4475">
        <v>202310</v>
      </c>
      <c r="B4475" s="1">
        <v>45200</v>
      </c>
      <c r="C4475">
        <v>2023</v>
      </c>
      <c r="D4475" t="s">
        <v>17</v>
      </c>
      <c r="E4475" t="s">
        <v>31</v>
      </c>
      <c r="F4475" t="s">
        <v>40</v>
      </c>
      <c r="G4475" t="s">
        <v>28</v>
      </c>
      <c r="H4475">
        <v>530.63</v>
      </c>
    </row>
    <row r="4476" spans="1:8" x14ac:dyDescent="0.3">
      <c r="A4476">
        <v>202311</v>
      </c>
      <c r="B4476" s="1">
        <v>45231</v>
      </c>
      <c r="C4476">
        <v>2023</v>
      </c>
      <c r="D4476" t="s">
        <v>18</v>
      </c>
      <c r="E4476" t="s">
        <v>31</v>
      </c>
      <c r="F4476" t="s">
        <v>40</v>
      </c>
      <c r="G4476" t="s">
        <v>28</v>
      </c>
      <c r="H4476">
        <v>418.96</v>
      </c>
    </row>
    <row r="4477" spans="1:8" x14ac:dyDescent="0.3">
      <c r="A4477">
        <v>202312</v>
      </c>
      <c r="B4477" s="1">
        <v>45261</v>
      </c>
      <c r="C4477">
        <v>2023</v>
      </c>
      <c r="D4477" t="s">
        <v>19</v>
      </c>
      <c r="E4477" t="s">
        <v>31</v>
      </c>
      <c r="F4477" t="s">
        <v>40</v>
      </c>
      <c r="G4477" t="s">
        <v>28</v>
      </c>
      <c r="H4477">
        <v>454.86</v>
      </c>
    </row>
    <row r="4478" spans="1:8" x14ac:dyDescent="0.3">
      <c r="A4478">
        <v>202301</v>
      </c>
      <c r="B4478" s="1">
        <v>44927</v>
      </c>
      <c r="C4478">
        <v>2023</v>
      </c>
      <c r="D4478" t="s">
        <v>6</v>
      </c>
      <c r="E4478" t="s">
        <v>32</v>
      </c>
      <c r="F4478" t="s">
        <v>40</v>
      </c>
      <c r="G4478" t="s">
        <v>33</v>
      </c>
      <c r="H4478">
        <v>248.09</v>
      </c>
    </row>
    <row r="4479" spans="1:8" x14ac:dyDescent="0.3">
      <c r="A4479">
        <v>202302</v>
      </c>
      <c r="B4479" s="1">
        <v>44958</v>
      </c>
      <c r="C4479">
        <v>2023</v>
      </c>
      <c r="D4479" t="s">
        <v>9</v>
      </c>
      <c r="E4479" t="s">
        <v>32</v>
      </c>
      <c r="F4479" t="s">
        <v>40</v>
      </c>
      <c r="G4479" t="s">
        <v>33</v>
      </c>
      <c r="H4479">
        <v>120.89</v>
      </c>
    </row>
    <row r="4480" spans="1:8" x14ac:dyDescent="0.3">
      <c r="A4480">
        <v>202303</v>
      </c>
      <c r="B4480" s="1">
        <v>44986</v>
      </c>
      <c r="C4480">
        <v>2023</v>
      </c>
      <c r="D4480" t="s">
        <v>10</v>
      </c>
      <c r="E4480" t="s">
        <v>32</v>
      </c>
      <c r="F4480" t="s">
        <v>40</v>
      </c>
      <c r="G4480" t="s">
        <v>33</v>
      </c>
      <c r="H4480">
        <v>145.46</v>
      </c>
    </row>
    <row r="4481" spans="1:8" x14ac:dyDescent="0.3">
      <c r="A4481">
        <v>202304</v>
      </c>
      <c r="B4481" s="1">
        <v>45017</v>
      </c>
      <c r="C4481">
        <v>2023</v>
      </c>
      <c r="D4481" t="s">
        <v>11</v>
      </c>
      <c r="E4481" t="s">
        <v>32</v>
      </c>
      <c r="F4481" t="s">
        <v>40</v>
      </c>
      <c r="G4481" t="s">
        <v>33</v>
      </c>
      <c r="H4481">
        <v>254.89</v>
      </c>
    </row>
    <row r="4482" spans="1:8" x14ac:dyDescent="0.3">
      <c r="A4482">
        <v>202305</v>
      </c>
      <c r="B4482" s="1">
        <v>45047</v>
      </c>
      <c r="C4482">
        <v>2023</v>
      </c>
      <c r="D4482" t="s">
        <v>12</v>
      </c>
      <c r="E4482" t="s">
        <v>32</v>
      </c>
      <c r="F4482" t="s">
        <v>40</v>
      </c>
      <c r="G4482" t="s">
        <v>33</v>
      </c>
      <c r="H4482">
        <v>167.76</v>
      </c>
    </row>
    <row r="4483" spans="1:8" x14ac:dyDescent="0.3">
      <c r="A4483">
        <v>202306</v>
      </c>
      <c r="B4483" s="1">
        <v>45078</v>
      </c>
      <c r="C4483">
        <v>2023</v>
      </c>
      <c r="D4483" t="s">
        <v>13</v>
      </c>
      <c r="E4483" t="s">
        <v>32</v>
      </c>
      <c r="F4483" t="s">
        <v>40</v>
      </c>
      <c r="G4483" t="s">
        <v>33</v>
      </c>
      <c r="H4483">
        <v>149.54</v>
      </c>
    </row>
    <row r="4484" spans="1:8" x14ac:dyDescent="0.3">
      <c r="A4484">
        <v>202307</v>
      </c>
      <c r="B4484" s="1">
        <v>45108</v>
      </c>
      <c r="C4484">
        <v>2023</v>
      </c>
      <c r="D4484" t="s">
        <v>14</v>
      </c>
      <c r="E4484" t="s">
        <v>32</v>
      </c>
      <c r="F4484" t="s">
        <v>40</v>
      </c>
      <c r="G4484" t="s">
        <v>33</v>
      </c>
      <c r="H4484">
        <v>239.64</v>
      </c>
    </row>
    <row r="4485" spans="1:8" x14ac:dyDescent="0.3">
      <c r="A4485">
        <v>202308</v>
      </c>
      <c r="B4485" s="1">
        <v>45139</v>
      </c>
      <c r="C4485">
        <v>2023</v>
      </c>
      <c r="D4485" t="s">
        <v>15</v>
      </c>
      <c r="E4485" t="s">
        <v>32</v>
      </c>
      <c r="F4485" t="s">
        <v>40</v>
      </c>
      <c r="G4485" t="s">
        <v>33</v>
      </c>
      <c r="H4485">
        <v>173.36</v>
      </c>
    </row>
    <row r="4486" spans="1:8" x14ac:dyDescent="0.3">
      <c r="A4486">
        <v>202309</v>
      </c>
      <c r="B4486" s="1">
        <v>45170</v>
      </c>
      <c r="C4486">
        <v>2023</v>
      </c>
      <c r="D4486" t="s">
        <v>16</v>
      </c>
      <c r="E4486" t="s">
        <v>32</v>
      </c>
      <c r="F4486" t="s">
        <v>40</v>
      </c>
      <c r="G4486" t="s">
        <v>33</v>
      </c>
      <c r="H4486">
        <v>147.16999999999999</v>
      </c>
    </row>
    <row r="4487" spans="1:8" x14ac:dyDescent="0.3">
      <c r="A4487">
        <v>202310</v>
      </c>
      <c r="B4487" s="1">
        <v>45200</v>
      </c>
      <c r="C4487">
        <v>2023</v>
      </c>
      <c r="D4487" t="s">
        <v>17</v>
      </c>
      <c r="E4487" t="s">
        <v>32</v>
      </c>
      <c r="F4487" t="s">
        <v>40</v>
      </c>
      <c r="G4487" t="s">
        <v>33</v>
      </c>
      <c r="H4487">
        <v>247.57</v>
      </c>
    </row>
    <row r="4488" spans="1:8" x14ac:dyDescent="0.3">
      <c r="A4488">
        <v>202311</v>
      </c>
      <c r="B4488" s="1">
        <v>45231</v>
      </c>
      <c r="C4488">
        <v>2023</v>
      </c>
      <c r="D4488" t="s">
        <v>18</v>
      </c>
      <c r="E4488" t="s">
        <v>32</v>
      </c>
      <c r="F4488" t="s">
        <v>40</v>
      </c>
      <c r="G4488" t="s">
        <v>33</v>
      </c>
      <c r="H4488">
        <v>170.77</v>
      </c>
    </row>
    <row r="4489" spans="1:8" x14ac:dyDescent="0.3">
      <c r="A4489">
        <v>202312</v>
      </c>
      <c r="B4489" s="1">
        <v>45261</v>
      </c>
      <c r="C4489">
        <v>2023</v>
      </c>
      <c r="D4489" t="s">
        <v>19</v>
      </c>
      <c r="E4489" t="s">
        <v>32</v>
      </c>
      <c r="F4489" t="s">
        <v>40</v>
      </c>
      <c r="G4489" t="s">
        <v>33</v>
      </c>
      <c r="H4489">
        <v>200.06</v>
      </c>
    </row>
    <row r="4490" spans="1:8" x14ac:dyDescent="0.3">
      <c r="A4490">
        <v>202301</v>
      </c>
      <c r="B4490" s="1">
        <v>44927</v>
      </c>
      <c r="C4490">
        <v>2023</v>
      </c>
      <c r="D4490" t="s">
        <v>6</v>
      </c>
      <c r="E4490" t="s">
        <v>32</v>
      </c>
      <c r="F4490" t="s">
        <v>40</v>
      </c>
      <c r="G4490" t="s">
        <v>33</v>
      </c>
      <c r="H4490">
        <v>241.85</v>
      </c>
    </row>
    <row r="4491" spans="1:8" x14ac:dyDescent="0.3">
      <c r="A4491">
        <v>202302</v>
      </c>
      <c r="B4491" s="1">
        <v>44958</v>
      </c>
      <c r="C4491">
        <v>2023</v>
      </c>
      <c r="D4491" t="s">
        <v>9</v>
      </c>
      <c r="E4491" t="s">
        <v>32</v>
      </c>
      <c r="F4491" t="s">
        <v>40</v>
      </c>
      <c r="G4491" t="s">
        <v>33</v>
      </c>
      <c r="H4491">
        <v>99.54</v>
      </c>
    </row>
    <row r="4492" spans="1:8" x14ac:dyDescent="0.3">
      <c r="A4492">
        <v>202303</v>
      </c>
      <c r="B4492" s="1">
        <v>44986</v>
      </c>
      <c r="C4492">
        <v>2023</v>
      </c>
      <c r="D4492" t="s">
        <v>10</v>
      </c>
      <c r="E4492" t="s">
        <v>32</v>
      </c>
      <c r="F4492" t="s">
        <v>40</v>
      </c>
      <c r="G4492" t="s">
        <v>33</v>
      </c>
      <c r="H4492">
        <v>180.26</v>
      </c>
    </row>
    <row r="4493" spans="1:8" x14ac:dyDescent="0.3">
      <c r="A4493">
        <v>202304</v>
      </c>
      <c r="B4493" s="1">
        <v>45017</v>
      </c>
      <c r="C4493">
        <v>2023</v>
      </c>
      <c r="D4493" t="s">
        <v>11</v>
      </c>
      <c r="E4493" t="s">
        <v>32</v>
      </c>
      <c r="F4493" t="s">
        <v>40</v>
      </c>
      <c r="G4493" t="s">
        <v>33</v>
      </c>
      <c r="H4493">
        <v>210.64</v>
      </c>
    </row>
    <row r="4494" spans="1:8" x14ac:dyDescent="0.3">
      <c r="A4494">
        <v>202305</v>
      </c>
      <c r="B4494" s="1">
        <v>45047</v>
      </c>
      <c r="C4494">
        <v>2023</v>
      </c>
      <c r="D4494" t="s">
        <v>12</v>
      </c>
      <c r="E4494" t="s">
        <v>32</v>
      </c>
      <c r="F4494" t="s">
        <v>40</v>
      </c>
      <c r="G4494" t="s">
        <v>33</v>
      </c>
      <c r="H4494">
        <v>156.84</v>
      </c>
    </row>
    <row r="4495" spans="1:8" x14ac:dyDescent="0.3">
      <c r="A4495">
        <v>202306</v>
      </c>
      <c r="B4495" s="1">
        <v>45078</v>
      </c>
      <c r="C4495">
        <v>2023</v>
      </c>
      <c r="D4495" t="s">
        <v>13</v>
      </c>
      <c r="E4495" t="s">
        <v>32</v>
      </c>
      <c r="F4495" t="s">
        <v>40</v>
      </c>
      <c r="G4495" t="s">
        <v>33</v>
      </c>
      <c r="H4495">
        <v>137.18</v>
      </c>
    </row>
    <row r="4496" spans="1:8" x14ac:dyDescent="0.3">
      <c r="A4496">
        <v>202307</v>
      </c>
      <c r="B4496" s="1">
        <v>45108</v>
      </c>
      <c r="C4496">
        <v>2023</v>
      </c>
      <c r="D4496" t="s">
        <v>14</v>
      </c>
      <c r="E4496" t="s">
        <v>32</v>
      </c>
      <c r="F4496" t="s">
        <v>40</v>
      </c>
      <c r="G4496" t="s">
        <v>33</v>
      </c>
      <c r="H4496">
        <v>203.24</v>
      </c>
    </row>
    <row r="4497" spans="1:8" x14ac:dyDescent="0.3">
      <c r="A4497">
        <v>202308</v>
      </c>
      <c r="B4497" s="1">
        <v>45139</v>
      </c>
      <c r="C4497">
        <v>2023</v>
      </c>
      <c r="D4497" t="s">
        <v>15</v>
      </c>
      <c r="E4497" t="s">
        <v>32</v>
      </c>
      <c r="F4497" t="s">
        <v>40</v>
      </c>
      <c r="G4497" t="s">
        <v>33</v>
      </c>
      <c r="H4497">
        <v>124.64</v>
      </c>
    </row>
    <row r="4498" spans="1:8" x14ac:dyDescent="0.3">
      <c r="A4498">
        <v>202309</v>
      </c>
      <c r="B4498" s="1">
        <v>45170</v>
      </c>
      <c r="C4498">
        <v>2023</v>
      </c>
      <c r="D4498" t="s">
        <v>16</v>
      </c>
      <c r="E4498" t="s">
        <v>32</v>
      </c>
      <c r="F4498" t="s">
        <v>40</v>
      </c>
      <c r="G4498" t="s">
        <v>33</v>
      </c>
      <c r="H4498">
        <v>142.49</v>
      </c>
    </row>
    <row r="4499" spans="1:8" x14ac:dyDescent="0.3">
      <c r="A4499">
        <v>202310</v>
      </c>
      <c r="B4499" s="1">
        <v>45200</v>
      </c>
      <c r="C4499">
        <v>2023</v>
      </c>
      <c r="D4499" t="s">
        <v>17</v>
      </c>
      <c r="E4499" t="s">
        <v>32</v>
      </c>
      <c r="F4499" t="s">
        <v>40</v>
      </c>
      <c r="G4499" t="s">
        <v>33</v>
      </c>
      <c r="H4499">
        <v>191.17</v>
      </c>
    </row>
    <row r="4500" spans="1:8" x14ac:dyDescent="0.3">
      <c r="A4500">
        <v>202311</v>
      </c>
      <c r="B4500" s="1">
        <v>45231</v>
      </c>
      <c r="C4500">
        <v>2023</v>
      </c>
      <c r="D4500" t="s">
        <v>18</v>
      </c>
      <c r="E4500" t="s">
        <v>32</v>
      </c>
      <c r="F4500" t="s">
        <v>40</v>
      </c>
      <c r="G4500" t="s">
        <v>33</v>
      </c>
      <c r="H4500">
        <v>173.41</v>
      </c>
    </row>
    <row r="4501" spans="1:8" x14ac:dyDescent="0.3">
      <c r="A4501">
        <v>202312</v>
      </c>
      <c r="B4501" s="1">
        <v>45261</v>
      </c>
      <c r="C4501">
        <v>2023</v>
      </c>
      <c r="D4501" t="s">
        <v>19</v>
      </c>
      <c r="E4501" t="s">
        <v>32</v>
      </c>
      <c r="F4501" t="s">
        <v>40</v>
      </c>
      <c r="G4501" t="s">
        <v>33</v>
      </c>
      <c r="H4501">
        <v>212.57</v>
      </c>
    </row>
    <row r="4502" spans="1:8" x14ac:dyDescent="0.3">
      <c r="A4502">
        <v>202301</v>
      </c>
      <c r="B4502" s="1">
        <v>44927</v>
      </c>
      <c r="C4502">
        <v>2023</v>
      </c>
      <c r="D4502" t="s">
        <v>6</v>
      </c>
      <c r="E4502" t="s">
        <v>32</v>
      </c>
      <c r="F4502" t="s">
        <v>40</v>
      </c>
      <c r="G4502" t="s">
        <v>33</v>
      </c>
      <c r="H4502">
        <v>73.3</v>
      </c>
    </row>
    <row r="4503" spans="1:8" x14ac:dyDescent="0.3">
      <c r="A4503">
        <v>202302</v>
      </c>
      <c r="B4503" s="1">
        <v>44958</v>
      </c>
      <c r="C4503">
        <v>2023</v>
      </c>
      <c r="D4503" t="s">
        <v>9</v>
      </c>
      <c r="E4503" t="s">
        <v>32</v>
      </c>
      <c r="F4503" t="s">
        <v>40</v>
      </c>
      <c r="G4503" t="s">
        <v>33</v>
      </c>
      <c r="H4503">
        <v>41.73</v>
      </c>
    </row>
    <row r="4504" spans="1:8" x14ac:dyDescent="0.3">
      <c r="A4504">
        <v>202303</v>
      </c>
      <c r="B4504" s="1">
        <v>44986</v>
      </c>
      <c r="C4504">
        <v>2023</v>
      </c>
      <c r="D4504" t="s">
        <v>10</v>
      </c>
      <c r="E4504" t="s">
        <v>32</v>
      </c>
      <c r="F4504" t="s">
        <v>40</v>
      </c>
      <c r="G4504" t="s">
        <v>33</v>
      </c>
      <c r="H4504">
        <v>66.27</v>
      </c>
    </row>
    <row r="4505" spans="1:8" x14ac:dyDescent="0.3">
      <c r="A4505">
        <v>202304</v>
      </c>
      <c r="B4505" s="1">
        <v>45017</v>
      </c>
      <c r="C4505">
        <v>2023</v>
      </c>
      <c r="D4505" t="s">
        <v>11</v>
      </c>
      <c r="E4505" t="s">
        <v>32</v>
      </c>
      <c r="F4505" t="s">
        <v>40</v>
      </c>
      <c r="G4505" t="s">
        <v>33</v>
      </c>
      <c r="H4505">
        <v>67.69</v>
      </c>
    </row>
    <row r="4506" spans="1:8" x14ac:dyDescent="0.3">
      <c r="A4506">
        <v>202305</v>
      </c>
      <c r="B4506" s="1">
        <v>45047</v>
      </c>
      <c r="C4506">
        <v>2023</v>
      </c>
      <c r="D4506" t="s">
        <v>12</v>
      </c>
      <c r="E4506" t="s">
        <v>32</v>
      </c>
      <c r="F4506" t="s">
        <v>40</v>
      </c>
      <c r="G4506" t="s">
        <v>33</v>
      </c>
      <c r="H4506">
        <v>84.72</v>
      </c>
    </row>
    <row r="4507" spans="1:8" x14ac:dyDescent="0.3">
      <c r="A4507">
        <v>202306</v>
      </c>
      <c r="B4507" s="1">
        <v>45078</v>
      </c>
      <c r="C4507">
        <v>2023</v>
      </c>
      <c r="D4507" t="s">
        <v>13</v>
      </c>
      <c r="E4507" t="s">
        <v>32</v>
      </c>
      <c r="F4507" t="s">
        <v>40</v>
      </c>
      <c r="G4507" t="s">
        <v>33</v>
      </c>
      <c r="H4507">
        <v>87.71</v>
      </c>
    </row>
    <row r="4508" spans="1:8" x14ac:dyDescent="0.3">
      <c r="A4508">
        <v>202307</v>
      </c>
      <c r="B4508" s="1">
        <v>45108</v>
      </c>
      <c r="C4508">
        <v>2023</v>
      </c>
      <c r="D4508" t="s">
        <v>14</v>
      </c>
      <c r="E4508" t="s">
        <v>32</v>
      </c>
      <c r="F4508" t="s">
        <v>40</v>
      </c>
      <c r="G4508" t="s">
        <v>33</v>
      </c>
      <c r="H4508">
        <v>78.05</v>
      </c>
    </row>
    <row r="4509" spans="1:8" x14ac:dyDescent="0.3">
      <c r="A4509">
        <v>202308</v>
      </c>
      <c r="B4509" s="1">
        <v>45139</v>
      </c>
      <c r="C4509">
        <v>2023</v>
      </c>
      <c r="D4509" t="s">
        <v>15</v>
      </c>
      <c r="E4509" t="s">
        <v>32</v>
      </c>
      <c r="F4509" t="s">
        <v>40</v>
      </c>
      <c r="G4509" t="s">
        <v>33</v>
      </c>
      <c r="H4509">
        <v>65.8</v>
      </c>
    </row>
    <row r="4510" spans="1:8" x14ac:dyDescent="0.3">
      <c r="A4510">
        <v>202309</v>
      </c>
      <c r="B4510" s="1">
        <v>45170</v>
      </c>
      <c r="C4510">
        <v>2023</v>
      </c>
      <c r="D4510" t="s">
        <v>16</v>
      </c>
      <c r="E4510" t="s">
        <v>32</v>
      </c>
      <c r="F4510" t="s">
        <v>40</v>
      </c>
      <c r="G4510" t="s">
        <v>33</v>
      </c>
      <c r="H4510">
        <v>76.77</v>
      </c>
    </row>
    <row r="4511" spans="1:8" x14ac:dyDescent="0.3">
      <c r="A4511">
        <v>202310</v>
      </c>
      <c r="B4511" s="1">
        <v>45200</v>
      </c>
      <c r="C4511">
        <v>2023</v>
      </c>
      <c r="D4511" t="s">
        <v>17</v>
      </c>
      <c r="E4511" t="s">
        <v>32</v>
      </c>
      <c r="F4511" t="s">
        <v>40</v>
      </c>
      <c r="G4511" t="s">
        <v>33</v>
      </c>
      <c r="H4511">
        <v>73.14</v>
      </c>
    </row>
    <row r="4512" spans="1:8" x14ac:dyDescent="0.3">
      <c r="A4512">
        <v>202311</v>
      </c>
      <c r="B4512" s="1">
        <v>45231</v>
      </c>
      <c r="C4512">
        <v>2023</v>
      </c>
      <c r="D4512" t="s">
        <v>18</v>
      </c>
      <c r="E4512" t="s">
        <v>32</v>
      </c>
      <c r="F4512" t="s">
        <v>40</v>
      </c>
      <c r="G4512" t="s">
        <v>33</v>
      </c>
      <c r="H4512">
        <v>54.98</v>
      </c>
    </row>
    <row r="4513" spans="1:8" x14ac:dyDescent="0.3">
      <c r="A4513">
        <v>202312</v>
      </c>
      <c r="B4513" s="1">
        <v>45261</v>
      </c>
      <c r="C4513">
        <v>2023</v>
      </c>
      <c r="D4513" t="s">
        <v>19</v>
      </c>
      <c r="E4513" t="s">
        <v>32</v>
      </c>
      <c r="F4513" t="s">
        <v>40</v>
      </c>
      <c r="G4513" t="s">
        <v>33</v>
      </c>
      <c r="H4513">
        <v>86.38</v>
      </c>
    </row>
    <row r="4514" spans="1:8" x14ac:dyDescent="0.3">
      <c r="A4514">
        <v>202301</v>
      </c>
      <c r="B4514" s="1">
        <v>44927</v>
      </c>
      <c r="C4514">
        <v>2023</v>
      </c>
      <c r="D4514" t="s">
        <v>6</v>
      </c>
      <c r="E4514" t="s">
        <v>32</v>
      </c>
      <c r="F4514" t="s">
        <v>40</v>
      </c>
      <c r="G4514" t="s">
        <v>33</v>
      </c>
      <c r="H4514">
        <v>305.36</v>
      </c>
    </row>
    <row r="4515" spans="1:8" x14ac:dyDescent="0.3">
      <c r="A4515">
        <v>202302</v>
      </c>
      <c r="B4515" s="1">
        <v>44958</v>
      </c>
      <c r="C4515">
        <v>2023</v>
      </c>
      <c r="D4515" t="s">
        <v>9</v>
      </c>
      <c r="E4515" t="s">
        <v>32</v>
      </c>
      <c r="F4515" t="s">
        <v>40</v>
      </c>
      <c r="G4515" t="s">
        <v>33</v>
      </c>
      <c r="H4515">
        <v>211.62</v>
      </c>
    </row>
    <row r="4516" spans="1:8" x14ac:dyDescent="0.3">
      <c r="A4516">
        <v>202303</v>
      </c>
      <c r="B4516" s="1">
        <v>44986</v>
      </c>
      <c r="C4516">
        <v>2023</v>
      </c>
      <c r="D4516" t="s">
        <v>10</v>
      </c>
      <c r="E4516" t="s">
        <v>32</v>
      </c>
      <c r="F4516" t="s">
        <v>40</v>
      </c>
      <c r="G4516" t="s">
        <v>33</v>
      </c>
      <c r="H4516">
        <v>229.27</v>
      </c>
    </row>
    <row r="4517" spans="1:8" x14ac:dyDescent="0.3">
      <c r="A4517">
        <v>202304</v>
      </c>
      <c r="B4517" s="1">
        <v>45017</v>
      </c>
      <c r="C4517">
        <v>2023</v>
      </c>
      <c r="D4517" t="s">
        <v>11</v>
      </c>
      <c r="E4517" t="s">
        <v>32</v>
      </c>
      <c r="F4517" t="s">
        <v>40</v>
      </c>
      <c r="G4517" t="s">
        <v>33</v>
      </c>
      <c r="H4517">
        <v>377.89</v>
      </c>
    </row>
    <row r="4518" spans="1:8" x14ac:dyDescent="0.3">
      <c r="A4518">
        <v>202305</v>
      </c>
      <c r="B4518" s="1">
        <v>45047</v>
      </c>
      <c r="C4518">
        <v>2023</v>
      </c>
      <c r="D4518" t="s">
        <v>12</v>
      </c>
      <c r="E4518" t="s">
        <v>32</v>
      </c>
      <c r="F4518" t="s">
        <v>40</v>
      </c>
      <c r="G4518" t="s">
        <v>33</v>
      </c>
      <c r="H4518">
        <v>269.86</v>
      </c>
    </row>
    <row r="4519" spans="1:8" x14ac:dyDescent="0.3">
      <c r="A4519">
        <v>202306</v>
      </c>
      <c r="B4519" s="1">
        <v>45078</v>
      </c>
      <c r="C4519">
        <v>2023</v>
      </c>
      <c r="D4519" t="s">
        <v>13</v>
      </c>
      <c r="E4519" t="s">
        <v>32</v>
      </c>
      <c r="F4519" t="s">
        <v>40</v>
      </c>
      <c r="G4519" t="s">
        <v>33</v>
      </c>
      <c r="H4519">
        <v>268.41000000000003</v>
      </c>
    </row>
    <row r="4520" spans="1:8" x14ac:dyDescent="0.3">
      <c r="A4520">
        <v>202307</v>
      </c>
      <c r="B4520" s="1">
        <v>45108</v>
      </c>
      <c r="C4520">
        <v>2023</v>
      </c>
      <c r="D4520" t="s">
        <v>14</v>
      </c>
      <c r="E4520" t="s">
        <v>32</v>
      </c>
      <c r="F4520" t="s">
        <v>40</v>
      </c>
      <c r="G4520" t="s">
        <v>33</v>
      </c>
      <c r="H4520">
        <v>423.76</v>
      </c>
    </row>
    <row r="4521" spans="1:8" x14ac:dyDescent="0.3">
      <c r="A4521">
        <v>202308</v>
      </c>
      <c r="B4521" s="1">
        <v>45139</v>
      </c>
      <c r="C4521">
        <v>2023</v>
      </c>
      <c r="D4521" t="s">
        <v>15</v>
      </c>
      <c r="E4521" t="s">
        <v>32</v>
      </c>
      <c r="F4521" t="s">
        <v>40</v>
      </c>
      <c r="G4521" t="s">
        <v>33</v>
      </c>
      <c r="H4521">
        <v>332.42</v>
      </c>
    </row>
    <row r="4522" spans="1:8" x14ac:dyDescent="0.3">
      <c r="A4522">
        <v>202309</v>
      </c>
      <c r="B4522" s="1">
        <v>45170</v>
      </c>
      <c r="C4522">
        <v>2023</v>
      </c>
      <c r="D4522" t="s">
        <v>16</v>
      </c>
      <c r="E4522" t="s">
        <v>32</v>
      </c>
      <c r="F4522" t="s">
        <v>40</v>
      </c>
      <c r="G4522" t="s">
        <v>33</v>
      </c>
      <c r="H4522">
        <v>285.75</v>
      </c>
    </row>
    <row r="4523" spans="1:8" x14ac:dyDescent="0.3">
      <c r="A4523">
        <v>202310</v>
      </c>
      <c r="B4523" s="1">
        <v>45200</v>
      </c>
      <c r="C4523">
        <v>2023</v>
      </c>
      <c r="D4523" t="s">
        <v>17</v>
      </c>
      <c r="E4523" t="s">
        <v>32</v>
      </c>
      <c r="F4523" t="s">
        <v>40</v>
      </c>
      <c r="G4523" t="s">
        <v>33</v>
      </c>
      <c r="H4523">
        <v>386.22</v>
      </c>
    </row>
    <row r="4524" spans="1:8" x14ac:dyDescent="0.3">
      <c r="A4524">
        <v>202311</v>
      </c>
      <c r="B4524" s="1">
        <v>45231</v>
      </c>
      <c r="C4524">
        <v>2023</v>
      </c>
      <c r="D4524" t="s">
        <v>18</v>
      </c>
      <c r="E4524" t="s">
        <v>32</v>
      </c>
      <c r="F4524" t="s">
        <v>40</v>
      </c>
      <c r="G4524" t="s">
        <v>33</v>
      </c>
      <c r="H4524">
        <v>258.47000000000003</v>
      </c>
    </row>
    <row r="4525" spans="1:8" x14ac:dyDescent="0.3">
      <c r="A4525">
        <v>202312</v>
      </c>
      <c r="B4525" s="1">
        <v>45261</v>
      </c>
      <c r="C4525">
        <v>2023</v>
      </c>
      <c r="D4525" t="s">
        <v>19</v>
      </c>
      <c r="E4525" t="s">
        <v>32</v>
      </c>
      <c r="F4525" t="s">
        <v>40</v>
      </c>
      <c r="G4525" t="s">
        <v>33</v>
      </c>
      <c r="H4525">
        <v>267.41000000000003</v>
      </c>
    </row>
    <row r="4526" spans="1:8" x14ac:dyDescent="0.3">
      <c r="A4526">
        <v>202301</v>
      </c>
      <c r="B4526" s="1">
        <v>44927</v>
      </c>
      <c r="C4526">
        <v>2023</v>
      </c>
      <c r="D4526" t="s">
        <v>6</v>
      </c>
      <c r="E4526" t="s">
        <v>34</v>
      </c>
      <c r="F4526" t="s">
        <v>40</v>
      </c>
      <c r="G4526" t="s">
        <v>33</v>
      </c>
      <c r="H4526">
        <v>290</v>
      </c>
    </row>
    <row r="4527" spans="1:8" x14ac:dyDescent="0.3">
      <c r="A4527">
        <v>202302</v>
      </c>
      <c r="B4527" s="1">
        <v>44958</v>
      </c>
      <c r="C4527">
        <v>2023</v>
      </c>
      <c r="D4527" t="s">
        <v>9</v>
      </c>
      <c r="E4527" t="s">
        <v>34</v>
      </c>
      <c r="F4527" t="s">
        <v>40</v>
      </c>
      <c r="G4527" t="s">
        <v>33</v>
      </c>
      <c r="H4527">
        <v>201.48</v>
      </c>
    </row>
    <row r="4528" spans="1:8" x14ac:dyDescent="0.3">
      <c r="A4528">
        <v>202303</v>
      </c>
      <c r="B4528" s="1">
        <v>44986</v>
      </c>
      <c r="C4528">
        <v>2023</v>
      </c>
      <c r="D4528" t="s">
        <v>10</v>
      </c>
      <c r="E4528" t="s">
        <v>34</v>
      </c>
      <c r="F4528" t="s">
        <v>40</v>
      </c>
      <c r="G4528" t="s">
        <v>33</v>
      </c>
      <c r="H4528">
        <v>255.8</v>
      </c>
    </row>
    <row r="4529" spans="1:8" x14ac:dyDescent="0.3">
      <c r="A4529">
        <v>202304</v>
      </c>
      <c r="B4529" s="1">
        <v>45017</v>
      </c>
      <c r="C4529">
        <v>2023</v>
      </c>
      <c r="D4529" t="s">
        <v>11</v>
      </c>
      <c r="E4529" t="s">
        <v>34</v>
      </c>
      <c r="F4529" t="s">
        <v>40</v>
      </c>
      <c r="G4529" t="s">
        <v>33</v>
      </c>
      <c r="H4529">
        <v>350.52</v>
      </c>
    </row>
    <row r="4530" spans="1:8" x14ac:dyDescent="0.3">
      <c r="A4530">
        <v>202305</v>
      </c>
      <c r="B4530" s="1">
        <v>45047</v>
      </c>
      <c r="C4530">
        <v>2023</v>
      </c>
      <c r="D4530" t="s">
        <v>12</v>
      </c>
      <c r="E4530" t="s">
        <v>34</v>
      </c>
      <c r="F4530" t="s">
        <v>40</v>
      </c>
      <c r="G4530" t="s">
        <v>33</v>
      </c>
      <c r="H4530">
        <v>285.11</v>
      </c>
    </row>
    <row r="4531" spans="1:8" x14ac:dyDescent="0.3">
      <c r="A4531">
        <v>202306</v>
      </c>
      <c r="B4531" s="1">
        <v>45078</v>
      </c>
      <c r="C4531">
        <v>2023</v>
      </c>
      <c r="D4531" t="s">
        <v>13</v>
      </c>
      <c r="E4531" t="s">
        <v>34</v>
      </c>
      <c r="F4531" t="s">
        <v>40</v>
      </c>
      <c r="G4531" t="s">
        <v>33</v>
      </c>
      <c r="H4531">
        <v>242.66</v>
      </c>
    </row>
    <row r="4532" spans="1:8" x14ac:dyDescent="0.3">
      <c r="A4532">
        <v>202307</v>
      </c>
      <c r="B4532" s="1">
        <v>45108</v>
      </c>
      <c r="C4532">
        <v>2023</v>
      </c>
      <c r="D4532" t="s">
        <v>14</v>
      </c>
      <c r="E4532" t="s">
        <v>34</v>
      </c>
      <c r="F4532" t="s">
        <v>40</v>
      </c>
      <c r="G4532" t="s">
        <v>33</v>
      </c>
      <c r="H4532">
        <v>307.14</v>
      </c>
    </row>
    <row r="4533" spans="1:8" x14ac:dyDescent="0.3">
      <c r="A4533">
        <v>202308</v>
      </c>
      <c r="B4533" s="1">
        <v>45139</v>
      </c>
      <c r="C4533">
        <v>2023</v>
      </c>
      <c r="D4533" t="s">
        <v>15</v>
      </c>
      <c r="E4533" t="s">
        <v>34</v>
      </c>
      <c r="F4533" t="s">
        <v>40</v>
      </c>
      <c r="G4533" t="s">
        <v>33</v>
      </c>
      <c r="H4533">
        <v>266.43</v>
      </c>
    </row>
    <row r="4534" spans="1:8" x14ac:dyDescent="0.3">
      <c r="A4534">
        <v>202309</v>
      </c>
      <c r="B4534" s="1">
        <v>45170</v>
      </c>
      <c r="C4534">
        <v>2023</v>
      </c>
      <c r="D4534" t="s">
        <v>16</v>
      </c>
      <c r="E4534" t="s">
        <v>34</v>
      </c>
      <c r="F4534" t="s">
        <v>40</v>
      </c>
      <c r="G4534" t="s">
        <v>33</v>
      </c>
      <c r="H4534">
        <v>230.96</v>
      </c>
    </row>
    <row r="4535" spans="1:8" x14ac:dyDescent="0.3">
      <c r="A4535">
        <v>202310</v>
      </c>
      <c r="B4535" s="1">
        <v>45200</v>
      </c>
      <c r="C4535">
        <v>2023</v>
      </c>
      <c r="D4535" t="s">
        <v>17</v>
      </c>
      <c r="E4535" t="s">
        <v>34</v>
      </c>
      <c r="F4535" t="s">
        <v>40</v>
      </c>
      <c r="G4535" t="s">
        <v>33</v>
      </c>
      <c r="H4535">
        <v>297.27</v>
      </c>
    </row>
    <row r="4536" spans="1:8" x14ac:dyDescent="0.3">
      <c r="A4536">
        <v>202311</v>
      </c>
      <c r="B4536" s="1">
        <v>45231</v>
      </c>
      <c r="C4536">
        <v>2023</v>
      </c>
      <c r="D4536" t="s">
        <v>18</v>
      </c>
      <c r="E4536" t="s">
        <v>34</v>
      </c>
      <c r="F4536" t="s">
        <v>40</v>
      </c>
      <c r="G4536" t="s">
        <v>33</v>
      </c>
      <c r="H4536">
        <v>213.48</v>
      </c>
    </row>
    <row r="4537" spans="1:8" x14ac:dyDescent="0.3">
      <c r="A4537">
        <v>202312</v>
      </c>
      <c r="B4537" s="1">
        <v>45261</v>
      </c>
      <c r="C4537">
        <v>2023</v>
      </c>
      <c r="D4537" t="s">
        <v>19</v>
      </c>
      <c r="E4537" t="s">
        <v>34</v>
      </c>
      <c r="F4537" t="s">
        <v>40</v>
      </c>
      <c r="G4537" t="s">
        <v>33</v>
      </c>
      <c r="H4537">
        <v>317.45</v>
      </c>
    </row>
    <row r="4538" spans="1:8" x14ac:dyDescent="0.3">
      <c r="A4538">
        <v>202301</v>
      </c>
      <c r="B4538" s="1">
        <v>44927</v>
      </c>
      <c r="C4538">
        <v>2023</v>
      </c>
      <c r="D4538" t="s">
        <v>6</v>
      </c>
      <c r="E4538" t="s">
        <v>34</v>
      </c>
      <c r="F4538" t="s">
        <v>40</v>
      </c>
      <c r="G4538" t="s">
        <v>33</v>
      </c>
      <c r="H4538">
        <v>171.41</v>
      </c>
    </row>
    <row r="4539" spans="1:8" x14ac:dyDescent="0.3">
      <c r="A4539">
        <v>202302</v>
      </c>
      <c r="B4539" s="1">
        <v>44958</v>
      </c>
      <c r="C4539">
        <v>2023</v>
      </c>
      <c r="D4539" t="s">
        <v>9</v>
      </c>
      <c r="E4539" t="s">
        <v>34</v>
      </c>
      <c r="F4539" t="s">
        <v>40</v>
      </c>
      <c r="G4539" t="s">
        <v>33</v>
      </c>
      <c r="H4539">
        <v>119.22</v>
      </c>
    </row>
    <row r="4540" spans="1:8" x14ac:dyDescent="0.3">
      <c r="A4540">
        <v>202303</v>
      </c>
      <c r="B4540" s="1">
        <v>44986</v>
      </c>
      <c r="C4540">
        <v>2023</v>
      </c>
      <c r="D4540" t="s">
        <v>10</v>
      </c>
      <c r="E4540" t="s">
        <v>34</v>
      </c>
      <c r="F4540" t="s">
        <v>40</v>
      </c>
      <c r="G4540" t="s">
        <v>33</v>
      </c>
      <c r="H4540">
        <v>145.38999999999999</v>
      </c>
    </row>
    <row r="4541" spans="1:8" x14ac:dyDescent="0.3">
      <c r="A4541">
        <v>202304</v>
      </c>
      <c r="B4541" s="1">
        <v>45017</v>
      </c>
      <c r="C4541">
        <v>2023</v>
      </c>
      <c r="D4541" t="s">
        <v>11</v>
      </c>
      <c r="E4541" t="s">
        <v>34</v>
      </c>
      <c r="F4541" t="s">
        <v>40</v>
      </c>
      <c r="G4541" t="s">
        <v>33</v>
      </c>
      <c r="H4541">
        <v>257.77999999999997</v>
      </c>
    </row>
    <row r="4542" spans="1:8" x14ac:dyDescent="0.3">
      <c r="A4542">
        <v>202305</v>
      </c>
      <c r="B4542" s="1">
        <v>45047</v>
      </c>
      <c r="C4542">
        <v>2023</v>
      </c>
      <c r="D4542" t="s">
        <v>12</v>
      </c>
      <c r="E4542" t="s">
        <v>34</v>
      </c>
      <c r="F4542" t="s">
        <v>40</v>
      </c>
      <c r="G4542" t="s">
        <v>33</v>
      </c>
      <c r="H4542">
        <v>261.55</v>
      </c>
    </row>
    <row r="4543" spans="1:8" x14ac:dyDescent="0.3">
      <c r="A4543">
        <v>202306</v>
      </c>
      <c r="B4543" s="1">
        <v>45078</v>
      </c>
      <c r="C4543">
        <v>2023</v>
      </c>
      <c r="D4543" t="s">
        <v>13</v>
      </c>
      <c r="E4543" t="s">
        <v>34</v>
      </c>
      <c r="F4543" t="s">
        <v>40</v>
      </c>
      <c r="G4543" t="s">
        <v>33</v>
      </c>
      <c r="H4543">
        <v>212.53</v>
      </c>
    </row>
    <row r="4544" spans="1:8" x14ac:dyDescent="0.3">
      <c r="A4544">
        <v>202307</v>
      </c>
      <c r="B4544" s="1">
        <v>45108</v>
      </c>
      <c r="C4544">
        <v>2023</v>
      </c>
      <c r="D4544" t="s">
        <v>14</v>
      </c>
      <c r="E4544" t="s">
        <v>34</v>
      </c>
      <c r="F4544" t="s">
        <v>40</v>
      </c>
      <c r="G4544" t="s">
        <v>33</v>
      </c>
      <c r="H4544">
        <v>172.19</v>
      </c>
    </row>
    <row r="4545" spans="1:8" x14ac:dyDescent="0.3">
      <c r="A4545">
        <v>202308</v>
      </c>
      <c r="B4545" s="1">
        <v>45139</v>
      </c>
      <c r="C4545">
        <v>2023</v>
      </c>
      <c r="D4545" t="s">
        <v>15</v>
      </c>
      <c r="E4545" t="s">
        <v>34</v>
      </c>
      <c r="F4545" t="s">
        <v>40</v>
      </c>
      <c r="G4545" t="s">
        <v>33</v>
      </c>
      <c r="H4545">
        <v>152.08000000000001</v>
      </c>
    </row>
    <row r="4546" spans="1:8" x14ac:dyDescent="0.3">
      <c r="A4546">
        <v>202309</v>
      </c>
      <c r="B4546" s="1">
        <v>45170</v>
      </c>
      <c r="C4546">
        <v>2023</v>
      </c>
      <c r="D4546" t="s">
        <v>16</v>
      </c>
      <c r="E4546" t="s">
        <v>34</v>
      </c>
      <c r="F4546" t="s">
        <v>40</v>
      </c>
      <c r="G4546" t="s">
        <v>33</v>
      </c>
      <c r="H4546">
        <v>157.47</v>
      </c>
    </row>
    <row r="4547" spans="1:8" x14ac:dyDescent="0.3">
      <c r="A4547">
        <v>202310</v>
      </c>
      <c r="B4547" s="1">
        <v>45200</v>
      </c>
      <c r="C4547">
        <v>2023</v>
      </c>
      <c r="D4547" t="s">
        <v>17</v>
      </c>
      <c r="E4547" t="s">
        <v>34</v>
      </c>
      <c r="F4547" t="s">
        <v>40</v>
      </c>
      <c r="G4547" t="s">
        <v>33</v>
      </c>
      <c r="H4547">
        <v>212.76</v>
      </c>
    </row>
    <row r="4548" spans="1:8" x14ac:dyDescent="0.3">
      <c r="A4548">
        <v>202311</v>
      </c>
      <c r="B4548" s="1">
        <v>45231</v>
      </c>
      <c r="C4548">
        <v>2023</v>
      </c>
      <c r="D4548" t="s">
        <v>18</v>
      </c>
      <c r="E4548" t="s">
        <v>34</v>
      </c>
      <c r="F4548" t="s">
        <v>40</v>
      </c>
      <c r="G4548" t="s">
        <v>33</v>
      </c>
      <c r="H4548">
        <v>148.26</v>
      </c>
    </row>
    <row r="4549" spans="1:8" x14ac:dyDescent="0.3">
      <c r="A4549">
        <v>202312</v>
      </c>
      <c r="B4549" s="1">
        <v>45261</v>
      </c>
      <c r="C4549">
        <v>2023</v>
      </c>
      <c r="D4549" t="s">
        <v>19</v>
      </c>
      <c r="E4549" t="s">
        <v>34</v>
      </c>
      <c r="F4549" t="s">
        <v>40</v>
      </c>
      <c r="G4549" t="s">
        <v>33</v>
      </c>
      <c r="H4549">
        <v>182.9</v>
      </c>
    </row>
    <row r="4550" spans="1:8" x14ac:dyDescent="0.3">
      <c r="A4550">
        <v>202301</v>
      </c>
      <c r="B4550" s="1">
        <v>44927</v>
      </c>
      <c r="C4550">
        <v>2023</v>
      </c>
      <c r="D4550" t="s">
        <v>6</v>
      </c>
      <c r="E4550" t="s">
        <v>34</v>
      </c>
      <c r="F4550" t="s">
        <v>40</v>
      </c>
      <c r="G4550" t="s">
        <v>33</v>
      </c>
      <c r="H4550">
        <v>172.28</v>
      </c>
    </row>
    <row r="4551" spans="1:8" x14ac:dyDescent="0.3">
      <c r="A4551">
        <v>202302</v>
      </c>
      <c r="B4551" s="1">
        <v>44958</v>
      </c>
      <c r="C4551">
        <v>2023</v>
      </c>
      <c r="D4551" t="s">
        <v>9</v>
      </c>
      <c r="E4551" t="s">
        <v>34</v>
      </c>
      <c r="F4551" t="s">
        <v>40</v>
      </c>
      <c r="G4551" t="s">
        <v>33</v>
      </c>
      <c r="H4551">
        <v>104.39</v>
      </c>
    </row>
    <row r="4552" spans="1:8" x14ac:dyDescent="0.3">
      <c r="A4552">
        <v>202303</v>
      </c>
      <c r="B4552" s="1">
        <v>44986</v>
      </c>
      <c r="C4552">
        <v>2023</v>
      </c>
      <c r="D4552" t="s">
        <v>10</v>
      </c>
      <c r="E4552" t="s">
        <v>34</v>
      </c>
      <c r="F4552" t="s">
        <v>40</v>
      </c>
      <c r="G4552" t="s">
        <v>33</v>
      </c>
      <c r="H4552">
        <v>132.11000000000001</v>
      </c>
    </row>
    <row r="4553" spans="1:8" x14ac:dyDescent="0.3">
      <c r="A4553">
        <v>202304</v>
      </c>
      <c r="B4553" s="1">
        <v>45017</v>
      </c>
      <c r="C4553">
        <v>2023</v>
      </c>
      <c r="D4553" t="s">
        <v>11</v>
      </c>
      <c r="E4553" t="s">
        <v>34</v>
      </c>
      <c r="F4553" t="s">
        <v>40</v>
      </c>
      <c r="G4553" t="s">
        <v>33</v>
      </c>
      <c r="H4553">
        <v>187.79</v>
      </c>
    </row>
    <row r="4554" spans="1:8" x14ac:dyDescent="0.3">
      <c r="A4554">
        <v>202305</v>
      </c>
      <c r="B4554" s="1">
        <v>45047</v>
      </c>
      <c r="C4554">
        <v>2023</v>
      </c>
      <c r="D4554" t="s">
        <v>12</v>
      </c>
      <c r="E4554" t="s">
        <v>34</v>
      </c>
      <c r="F4554" t="s">
        <v>40</v>
      </c>
      <c r="G4554" t="s">
        <v>33</v>
      </c>
      <c r="H4554">
        <v>117.24</v>
      </c>
    </row>
    <row r="4555" spans="1:8" x14ac:dyDescent="0.3">
      <c r="A4555">
        <v>202306</v>
      </c>
      <c r="B4555" s="1">
        <v>45078</v>
      </c>
      <c r="C4555">
        <v>2023</v>
      </c>
      <c r="D4555" t="s">
        <v>13</v>
      </c>
      <c r="E4555" t="s">
        <v>34</v>
      </c>
      <c r="F4555" t="s">
        <v>40</v>
      </c>
      <c r="G4555" t="s">
        <v>33</v>
      </c>
      <c r="H4555">
        <v>166.47</v>
      </c>
    </row>
    <row r="4556" spans="1:8" x14ac:dyDescent="0.3">
      <c r="A4556">
        <v>202307</v>
      </c>
      <c r="B4556" s="1">
        <v>45108</v>
      </c>
      <c r="C4556">
        <v>2023</v>
      </c>
      <c r="D4556" t="s">
        <v>14</v>
      </c>
      <c r="E4556" t="s">
        <v>34</v>
      </c>
      <c r="F4556" t="s">
        <v>40</v>
      </c>
      <c r="G4556" t="s">
        <v>33</v>
      </c>
      <c r="H4556">
        <v>140.88999999999999</v>
      </c>
    </row>
    <row r="4557" spans="1:8" x14ac:dyDescent="0.3">
      <c r="A4557">
        <v>202308</v>
      </c>
      <c r="B4557" s="1">
        <v>45139</v>
      </c>
      <c r="C4557">
        <v>2023</v>
      </c>
      <c r="D4557" t="s">
        <v>15</v>
      </c>
      <c r="E4557" t="s">
        <v>34</v>
      </c>
      <c r="F4557" t="s">
        <v>40</v>
      </c>
      <c r="G4557" t="s">
        <v>33</v>
      </c>
      <c r="H4557">
        <v>142.37</v>
      </c>
    </row>
    <row r="4558" spans="1:8" x14ac:dyDescent="0.3">
      <c r="A4558">
        <v>202309</v>
      </c>
      <c r="B4558" s="1">
        <v>45170</v>
      </c>
      <c r="C4558">
        <v>2023</v>
      </c>
      <c r="D4558" t="s">
        <v>16</v>
      </c>
      <c r="E4558" t="s">
        <v>34</v>
      </c>
      <c r="F4558" t="s">
        <v>40</v>
      </c>
      <c r="G4558" t="s">
        <v>33</v>
      </c>
      <c r="H4558">
        <v>144.44999999999999</v>
      </c>
    </row>
    <row r="4559" spans="1:8" x14ac:dyDescent="0.3">
      <c r="A4559">
        <v>202310</v>
      </c>
      <c r="B4559" s="1">
        <v>45200</v>
      </c>
      <c r="C4559">
        <v>2023</v>
      </c>
      <c r="D4559" t="s">
        <v>17</v>
      </c>
      <c r="E4559" t="s">
        <v>34</v>
      </c>
      <c r="F4559" t="s">
        <v>40</v>
      </c>
      <c r="G4559" t="s">
        <v>33</v>
      </c>
      <c r="H4559">
        <v>182.78</v>
      </c>
    </row>
    <row r="4560" spans="1:8" x14ac:dyDescent="0.3">
      <c r="A4560">
        <v>202311</v>
      </c>
      <c r="B4560" s="1">
        <v>45231</v>
      </c>
      <c r="C4560">
        <v>2023</v>
      </c>
      <c r="D4560" t="s">
        <v>18</v>
      </c>
      <c r="E4560" t="s">
        <v>34</v>
      </c>
      <c r="F4560" t="s">
        <v>40</v>
      </c>
      <c r="G4560" t="s">
        <v>33</v>
      </c>
      <c r="H4560">
        <v>128.91</v>
      </c>
    </row>
    <row r="4561" spans="1:8" x14ac:dyDescent="0.3">
      <c r="A4561">
        <v>202312</v>
      </c>
      <c r="B4561" s="1">
        <v>45261</v>
      </c>
      <c r="C4561">
        <v>2023</v>
      </c>
      <c r="D4561" t="s">
        <v>19</v>
      </c>
      <c r="E4561" t="s">
        <v>34</v>
      </c>
      <c r="F4561" t="s">
        <v>40</v>
      </c>
      <c r="G4561" t="s">
        <v>33</v>
      </c>
      <c r="H4561">
        <v>159.63999999999999</v>
      </c>
    </row>
    <row r="4562" spans="1:8" x14ac:dyDescent="0.3">
      <c r="A4562">
        <v>202301</v>
      </c>
      <c r="B4562" s="1">
        <v>44927</v>
      </c>
      <c r="C4562">
        <v>2023</v>
      </c>
      <c r="D4562" t="s">
        <v>6</v>
      </c>
      <c r="E4562" t="s">
        <v>34</v>
      </c>
      <c r="F4562" t="s">
        <v>40</v>
      </c>
      <c r="G4562" t="s">
        <v>33</v>
      </c>
      <c r="H4562">
        <v>84.7</v>
      </c>
    </row>
    <row r="4563" spans="1:8" x14ac:dyDescent="0.3">
      <c r="A4563">
        <v>202302</v>
      </c>
      <c r="B4563" s="1">
        <v>44958</v>
      </c>
      <c r="C4563">
        <v>2023</v>
      </c>
      <c r="D4563" t="s">
        <v>9</v>
      </c>
      <c r="E4563" t="s">
        <v>34</v>
      </c>
      <c r="F4563" t="s">
        <v>40</v>
      </c>
      <c r="G4563" t="s">
        <v>33</v>
      </c>
      <c r="H4563">
        <v>53.08</v>
      </c>
    </row>
    <row r="4564" spans="1:8" x14ac:dyDescent="0.3">
      <c r="A4564">
        <v>202303</v>
      </c>
      <c r="B4564" s="1">
        <v>44986</v>
      </c>
      <c r="C4564">
        <v>2023</v>
      </c>
      <c r="D4564" t="s">
        <v>10</v>
      </c>
      <c r="E4564" t="s">
        <v>34</v>
      </c>
      <c r="F4564" t="s">
        <v>40</v>
      </c>
      <c r="G4564" t="s">
        <v>33</v>
      </c>
      <c r="H4564">
        <v>60.14</v>
      </c>
    </row>
    <row r="4565" spans="1:8" x14ac:dyDescent="0.3">
      <c r="A4565">
        <v>202304</v>
      </c>
      <c r="B4565" s="1">
        <v>45017</v>
      </c>
      <c r="C4565">
        <v>2023</v>
      </c>
      <c r="D4565" t="s">
        <v>11</v>
      </c>
      <c r="E4565" t="s">
        <v>34</v>
      </c>
      <c r="F4565" t="s">
        <v>40</v>
      </c>
      <c r="G4565" t="s">
        <v>33</v>
      </c>
      <c r="H4565">
        <v>133.76</v>
      </c>
    </row>
    <row r="4566" spans="1:8" x14ac:dyDescent="0.3">
      <c r="A4566">
        <v>202305</v>
      </c>
      <c r="B4566" s="1">
        <v>45047</v>
      </c>
      <c r="C4566">
        <v>2023</v>
      </c>
      <c r="D4566" t="s">
        <v>12</v>
      </c>
      <c r="E4566" t="s">
        <v>34</v>
      </c>
      <c r="F4566" t="s">
        <v>40</v>
      </c>
      <c r="G4566" t="s">
        <v>33</v>
      </c>
      <c r="H4566">
        <v>97.04</v>
      </c>
    </row>
    <row r="4567" spans="1:8" x14ac:dyDescent="0.3">
      <c r="A4567">
        <v>202306</v>
      </c>
      <c r="B4567" s="1">
        <v>45078</v>
      </c>
      <c r="C4567">
        <v>2023</v>
      </c>
      <c r="D4567" t="s">
        <v>13</v>
      </c>
      <c r="E4567" t="s">
        <v>34</v>
      </c>
      <c r="F4567" t="s">
        <v>40</v>
      </c>
      <c r="G4567" t="s">
        <v>33</v>
      </c>
      <c r="H4567">
        <v>60.82</v>
      </c>
    </row>
    <row r="4568" spans="1:8" x14ac:dyDescent="0.3">
      <c r="A4568">
        <v>202307</v>
      </c>
      <c r="B4568" s="1">
        <v>45108</v>
      </c>
      <c r="C4568">
        <v>2023</v>
      </c>
      <c r="D4568" t="s">
        <v>14</v>
      </c>
      <c r="E4568" t="s">
        <v>34</v>
      </c>
      <c r="F4568" t="s">
        <v>40</v>
      </c>
      <c r="G4568" t="s">
        <v>33</v>
      </c>
      <c r="H4568">
        <v>127.59</v>
      </c>
    </row>
    <row r="4569" spans="1:8" x14ac:dyDescent="0.3">
      <c r="A4569">
        <v>202308</v>
      </c>
      <c r="B4569" s="1">
        <v>45139</v>
      </c>
      <c r="C4569">
        <v>2023</v>
      </c>
      <c r="D4569" t="s">
        <v>15</v>
      </c>
      <c r="E4569" t="s">
        <v>34</v>
      </c>
      <c r="F4569" t="s">
        <v>40</v>
      </c>
      <c r="G4569" t="s">
        <v>33</v>
      </c>
      <c r="H4569">
        <v>85.53</v>
      </c>
    </row>
    <row r="4570" spans="1:8" x14ac:dyDescent="0.3">
      <c r="A4570">
        <v>202309</v>
      </c>
      <c r="B4570" s="1">
        <v>45170</v>
      </c>
      <c r="C4570">
        <v>2023</v>
      </c>
      <c r="D4570" t="s">
        <v>16</v>
      </c>
      <c r="E4570" t="s">
        <v>34</v>
      </c>
      <c r="F4570" t="s">
        <v>40</v>
      </c>
      <c r="G4570" t="s">
        <v>33</v>
      </c>
      <c r="H4570">
        <v>97.01</v>
      </c>
    </row>
    <row r="4571" spans="1:8" x14ac:dyDescent="0.3">
      <c r="A4571">
        <v>202310</v>
      </c>
      <c r="B4571" s="1">
        <v>45200</v>
      </c>
      <c r="C4571">
        <v>2023</v>
      </c>
      <c r="D4571" t="s">
        <v>17</v>
      </c>
      <c r="E4571" t="s">
        <v>34</v>
      </c>
      <c r="F4571" t="s">
        <v>40</v>
      </c>
      <c r="G4571" t="s">
        <v>33</v>
      </c>
      <c r="H4571">
        <v>125.09</v>
      </c>
    </row>
    <row r="4572" spans="1:8" x14ac:dyDescent="0.3">
      <c r="A4572">
        <v>202311</v>
      </c>
      <c r="B4572" s="1">
        <v>45231</v>
      </c>
      <c r="C4572">
        <v>2023</v>
      </c>
      <c r="D4572" t="s">
        <v>18</v>
      </c>
      <c r="E4572" t="s">
        <v>34</v>
      </c>
      <c r="F4572" t="s">
        <v>40</v>
      </c>
      <c r="G4572" t="s">
        <v>33</v>
      </c>
      <c r="H4572">
        <v>76.180000000000007</v>
      </c>
    </row>
    <row r="4573" spans="1:8" x14ac:dyDescent="0.3">
      <c r="A4573">
        <v>202312</v>
      </c>
      <c r="B4573" s="1">
        <v>45261</v>
      </c>
      <c r="C4573">
        <v>2023</v>
      </c>
      <c r="D4573" t="s">
        <v>19</v>
      </c>
      <c r="E4573" t="s">
        <v>34</v>
      </c>
      <c r="F4573" t="s">
        <v>40</v>
      </c>
      <c r="G4573" t="s">
        <v>33</v>
      </c>
      <c r="H4573">
        <v>129.13999999999999</v>
      </c>
    </row>
    <row r="4574" spans="1:8" x14ac:dyDescent="0.3">
      <c r="A4574">
        <v>202301</v>
      </c>
      <c r="B4574" s="1">
        <v>44927</v>
      </c>
      <c r="C4574">
        <v>2023</v>
      </c>
      <c r="D4574" t="s">
        <v>6</v>
      </c>
      <c r="E4574" t="s">
        <v>34</v>
      </c>
      <c r="F4574" t="s">
        <v>40</v>
      </c>
      <c r="G4574" t="s">
        <v>33</v>
      </c>
      <c r="H4574">
        <v>737.48</v>
      </c>
    </row>
    <row r="4575" spans="1:8" x14ac:dyDescent="0.3">
      <c r="A4575">
        <v>202302</v>
      </c>
      <c r="B4575" s="1">
        <v>44958</v>
      </c>
      <c r="C4575">
        <v>2023</v>
      </c>
      <c r="D4575" t="s">
        <v>9</v>
      </c>
      <c r="E4575" t="s">
        <v>34</v>
      </c>
      <c r="F4575" t="s">
        <v>40</v>
      </c>
      <c r="G4575" t="s">
        <v>33</v>
      </c>
      <c r="H4575">
        <v>388.07</v>
      </c>
    </row>
    <row r="4576" spans="1:8" x14ac:dyDescent="0.3">
      <c r="A4576">
        <v>202303</v>
      </c>
      <c r="B4576" s="1">
        <v>44986</v>
      </c>
      <c r="C4576">
        <v>2023</v>
      </c>
      <c r="D4576" t="s">
        <v>10</v>
      </c>
      <c r="E4576" t="s">
        <v>34</v>
      </c>
      <c r="F4576" t="s">
        <v>40</v>
      </c>
      <c r="G4576" t="s">
        <v>33</v>
      </c>
      <c r="H4576">
        <v>543.25</v>
      </c>
    </row>
    <row r="4577" spans="1:8" x14ac:dyDescent="0.3">
      <c r="A4577">
        <v>202304</v>
      </c>
      <c r="B4577" s="1">
        <v>45017</v>
      </c>
      <c r="C4577">
        <v>2023</v>
      </c>
      <c r="D4577" t="s">
        <v>11</v>
      </c>
      <c r="E4577" t="s">
        <v>34</v>
      </c>
      <c r="F4577" t="s">
        <v>40</v>
      </c>
      <c r="G4577" t="s">
        <v>33</v>
      </c>
      <c r="H4577">
        <v>869.12</v>
      </c>
    </row>
    <row r="4578" spans="1:8" x14ac:dyDescent="0.3">
      <c r="A4578">
        <v>202305</v>
      </c>
      <c r="B4578" s="1">
        <v>45047</v>
      </c>
      <c r="C4578">
        <v>2023</v>
      </c>
      <c r="D4578" t="s">
        <v>12</v>
      </c>
      <c r="E4578" t="s">
        <v>34</v>
      </c>
      <c r="F4578" t="s">
        <v>40</v>
      </c>
      <c r="G4578" t="s">
        <v>33</v>
      </c>
      <c r="H4578">
        <v>630.29</v>
      </c>
    </row>
    <row r="4579" spans="1:8" x14ac:dyDescent="0.3">
      <c r="A4579">
        <v>202306</v>
      </c>
      <c r="B4579" s="1">
        <v>45078</v>
      </c>
      <c r="C4579">
        <v>2023</v>
      </c>
      <c r="D4579" t="s">
        <v>13</v>
      </c>
      <c r="E4579" t="s">
        <v>34</v>
      </c>
      <c r="F4579" t="s">
        <v>40</v>
      </c>
      <c r="G4579" t="s">
        <v>33</v>
      </c>
      <c r="H4579">
        <v>522.54</v>
      </c>
    </row>
    <row r="4580" spans="1:8" x14ac:dyDescent="0.3">
      <c r="A4580">
        <v>202307</v>
      </c>
      <c r="B4580" s="1">
        <v>45108</v>
      </c>
      <c r="C4580">
        <v>2023</v>
      </c>
      <c r="D4580" t="s">
        <v>14</v>
      </c>
      <c r="E4580" t="s">
        <v>34</v>
      </c>
      <c r="F4580" t="s">
        <v>40</v>
      </c>
      <c r="G4580" t="s">
        <v>33</v>
      </c>
      <c r="H4580">
        <v>864.72</v>
      </c>
    </row>
    <row r="4581" spans="1:8" x14ac:dyDescent="0.3">
      <c r="A4581">
        <v>202308</v>
      </c>
      <c r="B4581" s="1">
        <v>45139</v>
      </c>
      <c r="C4581">
        <v>2023</v>
      </c>
      <c r="D4581" t="s">
        <v>15</v>
      </c>
      <c r="E4581" t="s">
        <v>34</v>
      </c>
      <c r="F4581" t="s">
        <v>40</v>
      </c>
      <c r="G4581" t="s">
        <v>33</v>
      </c>
      <c r="H4581">
        <v>890.81</v>
      </c>
    </row>
    <row r="4582" spans="1:8" x14ac:dyDescent="0.3">
      <c r="A4582">
        <v>202309</v>
      </c>
      <c r="B4582" s="1">
        <v>45170</v>
      </c>
      <c r="C4582">
        <v>2023</v>
      </c>
      <c r="D4582" t="s">
        <v>16</v>
      </c>
      <c r="E4582" t="s">
        <v>34</v>
      </c>
      <c r="F4582" t="s">
        <v>40</v>
      </c>
      <c r="G4582" t="s">
        <v>33</v>
      </c>
      <c r="H4582">
        <v>787.35</v>
      </c>
    </row>
    <row r="4583" spans="1:8" x14ac:dyDescent="0.3">
      <c r="A4583">
        <v>202310</v>
      </c>
      <c r="B4583" s="1">
        <v>45200</v>
      </c>
      <c r="C4583">
        <v>2023</v>
      </c>
      <c r="D4583" t="s">
        <v>17</v>
      </c>
      <c r="E4583" t="s">
        <v>34</v>
      </c>
      <c r="F4583" t="s">
        <v>40</v>
      </c>
      <c r="G4583" t="s">
        <v>33</v>
      </c>
      <c r="H4583">
        <v>918.78</v>
      </c>
    </row>
    <row r="4584" spans="1:8" x14ac:dyDescent="0.3">
      <c r="A4584">
        <v>202311</v>
      </c>
      <c r="B4584" s="1">
        <v>45231</v>
      </c>
      <c r="C4584">
        <v>2023</v>
      </c>
      <c r="D4584" t="s">
        <v>18</v>
      </c>
      <c r="E4584" t="s">
        <v>34</v>
      </c>
      <c r="F4584" t="s">
        <v>40</v>
      </c>
      <c r="G4584" t="s">
        <v>33</v>
      </c>
      <c r="H4584">
        <v>500.68</v>
      </c>
    </row>
    <row r="4585" spans="1:8" x14ac:dyDescent="0.3">
      <c r="A4585">
        <v>202312</v>
      </c>
      <c r="B4585" s="1">
        <v>45261</v>
      </c>
      <c r="C4585">
        <v>2023</v>
      </c>
      <c r="D4585" t="s">
        <v>19</v>
      </c>
      <c r="E4585" t="s">
        <v>34</v>
      </c>
      <c r="F4585" t="s">
        <v>40</v>
      </c>
      <c r="G4585" t="s">
        <v>33</v>
      </c>
      <c r="H4585">
        <v>729.87</v>
      </c>
    </row>
    <row r="4586" spans="1:8" x14ac:dyDescent="0.3">
      <c r="A4586">
        <v>202301</v>
      </c>
      <c r="B4586" s="1">
        <v>44927</v>
      </c>
      <c r="C4586">
        <v>2023</v>
      </c>
      <c r="D4586" t="s">
        <v>6</v>
      </c>
      <c r="E4586" t="s">
        <v>35</v>
      </c>
      <c r="F4586" t="s">
        <v>40</v>
      </c>
      <c r="G4586" t="s">
        <v>33</v>
      </c>
      <c r="H4586">
        <v>531.14</v>
      </c>
    </row>
    <row r="4587" spans="1:8" x14ac:dyDescent="0.3">
      <c r="A4587">
        <v>202302</v>
      </c>
      <c r="B4587" s="1">
        <v>44958</v>
      </c>
      <c r="C4587">
        <v>2023</v>
      </c>
      <c r="D4587" t="s">
        <v>9</v>
      </c>
      <c r="E4587" t="s">
        <v>35</v>
      </c>
      <c r="F4587" t="s">
        <v>40</v>
      </c>
      <c r="G4587" t="s">
        <v>33</v>
      </c>
      <c r="H4587">
        <v>266.43</v>
      </c>
    </row>
    <row r="4588" spans="1:8" x14ac:dyDescent="0.3">
      <c r="A4588">
        <v>202303</v>
      </c>
      <c r="B4588" s="1">
        <v>44986</v>
      </c>
      <c r="C4588">
        <v>2023</v>
      </c>
      <c r="D4588" t="s">
        <v>10</v>
      </c>
      <c r="E4588" t="s">
        <v>35</v>
      </c>
      <c r="F4588" t="s">
        <v>40</v>
      </c>
      <c r="G4588" t="s">
        <v>33</v>
      </c>
      <c r="H4588">
        <v>352.07</v>
      </c>
    </row>
    <row r="4589" spans="1:8" x14ac:dyDescent="0.3">
      <c r="A4589">
        <v>202304</v>
      </c>
      <c r="B4589" s="1">
        <v>45017</v>
      </c>
      <c r="C4589">
        <v>2023</v>
      </c>
      <c r="D4589" t="s">
        <v>11</v>
      </c>
      <c r="E4589" t="s">
        <v>35</v>
      </c>
      <c r="F4589" t="s">
        <v>40</v>
      </c>
      <c r="G4589" t="s">
        <v>33</v>
      </c>
      <c r="H4589">
        <v>498.87</v>
      </c>
    </row>
    <row r="4590" spans="1:8" x14ac:dyDescent="0.3">
      <c r="A4590">
        <v>202305</v>
      </c>
      <c r="B4590" s="1">
        <v>45047</v>
      </c>
      <c r="C4590">
        <v>2023</v>
      </c>
      <c r="D4590" t="s">
        <v>12</v>
      </c>
      <c r="E4590" t="s">
        <v>35</v>
      </c>
      <c r="F4590" t="s">
        <v>40</v>
      </c>
      <c r="G4590" t="s">
        <v>33</v>
      </c>
      <c r="H4590">
        <v>354.91</v>
      </c>
    </row>
    <row r="4591" spans="1:8" x14ac:dyDescent="0.3">
      <c r="A4591">
        <v>202306</v>
      </c>
      <c r="B4591" s="1">
        <v>45078</v>
      </c>
      <c r="C4591">
        <v>2023</v>
      </c>
      <c r="D4591" t="s">
        <v>13</v>
      </c>
      <c r="E4591" t="s">
        <v>35</v>
      </c>
      <c r="F4591" t="s">
        <v>40</v>
      </c>
      <c r="G4591" t="s">
        <v>33</v>
      </c>
      <c r="H4591">
        <v>342.63</v>
      </c>
    </row>
    <row r="4592" spans="1:8" x14ac:dyDescent="0.3">
      <c r="A4592">
        <v>202307</v>
      </c>
      <c r="B4592" s="1">
        <v>45108</v>
      </c>
      <c r="C4592">
        <v>2023</v>
      </c>
      <c r="D4592" t="s">
        <v>14</v>
      </c>
      <c r="E4592" t="s">
        <v>35</v>
      </c>
      <c r="F4592" t="s">
        <v>40</v>
      </c>
      <c r="G4592" t="s">
        <v>33</v>
      </c>
      <c r="H4592">
        <v>397.02</v>
      </c>
    </row>
    <row r="4593" spans="1:8" x14ac:dyDescent="0.3">
      <c r="A4593">
        <v>202308</v>
      </c>
      <c r="B4593" s="1">
        <v>45139</v>
      </c>
      <c r="C4593">
        <v>2023</v>
      </c>
      <c r="D4593" t="s">
        <v>15</v>
      </c>
      <c r="E4593" t="s">
        <v>35</v>
      </c>
      <c r="F4593" t="s">
        <v>40</v>
      </c>
      <c r="G4593" t="s">
        <v>33</v>
      </c>
      <c r="H4593">
        <v>369.07</v>
      </c>
    </row>
    <row r="4594" spans="1:8" x14ac:dyDescent="0.3">
      <c r="A4594">
        <v>202309</v>
      </c>
      <c r="B4594" s="1">
        <v>45170</v>
      </c>
      <c r="C4594">
        <v>2023</v>
      </c>
      <c r="D4594" t="s">
        <v>16</v>
      </c>
      <c r="E4594" t="s">
        <v>35</v>
      </c>
      <c r="F4594" t="s">
        <v>40</v>
      </c>
      <c r="G4594" t="s">
        <v>33</v>
      </c>
      <c r="H4594">
        <v>338.68</v>
      </c>
    </row>
    <row r="4595" spans="1:8" x14ac:dyDescent="0.3">
      <c r="A4595">
        <v>202310</v>
      </c>
      <c r="B4595" s="1">
        <v>45200</v>
      </c>
      <c r="C4595">
        <v>2023</v>
      </c>
      <c r="D4595" t="s">
        <v>17</v>
      </c>
      <c r="E4595" t="s">
        <v>35</v>
      </c>
      <c r="F4595" t="s">
        <v>40</v>
      </c>
      <c r="G4595" t="s">
        <v>33</v>
      </c>
      <c r="H4595">
        <v>439.46</v>
      </c>
    </row>
    <row r="4596" spans="1:8" x14ac:dyDescent="0.3">
      <c r="A4596">
        <v>202311</v>
      </c>
      <c r="B4596" s="1">
        <v>45231</v>
      </c>
      <c r="C4596">
        <v>2023</v>
      </c>
      <c r="D4596" t="s">
        <v>18</v>
      </c>
      <c r="E4596" t="s">
        <v>35</v>
      </c>
      <c r="F4596" t="s">
        <v>40</v>
      </c>
      <c r="G4596" t="s">
        <v>33</v>
      </c>
      <c r="H4596">
        <v>367.25</v>
      </c>
    </row>
    <row r="4597" spans="1:8" x14ac:dyDescent="0.3">
      <c r="A4597">
        <v>202312</v>
      </c>
      <c r="B4597" s="1">
        <v>45261</v>
      </c>
      <c r="C4597">
        <v>2023</v>
      </c>
      <c r="D4597" t="s">
        <v>19</v>
      </c>
      <c r="E4597" t="s">
        <v>35</v>
      </c>
      <c r="F4597" t="s">
        <v>40</v>
      </c>
      <c r="G4597" t="s">
        <v>33</v>
      </c>
      <c r="H4597">
        <v>378.37</v>
      </c>
    </row>
    <row r="4598" spans="1:8" x14ac:dyDescent="0.3">
      <c r="A4598">
        <v>202301</v>
      </c>
      <c r="B4598" s="1">
        <v>44927</v>
      </c>
      <c r="C4598">
        <v>2023</v>
      </c>
      <c r="D4598" t="s">
        <v>6</v>
      </c>
      <c r="E4598" t="s">
        <v>35</v>
      </c>
      <c r="F4598" t="s">
        <v>40</v>
      </c>
      <c r="G4598" t="s">
        <v>33</v>
      </c>
      <c r="H4598">
        <v>171.01</v>
      </c>
    </row>
    <row r="4599" spans="1:8" x14ac:dyDescent="0.3">
      <c r="A4599">
        <v>202302</v>
      </c>
      <c r="B4599" s="1">
        <v>44958</v>
      </c>
      <c r="C4599">
        <v>2023</v>
      </c>
      <c r="D4599" t="s">
        <v>9</v>
      </c>
      <c r="E4599" t="s">
        <v>35</v>
      </c>
      <c r="F4599" t="s">
        <v>40</v>
      </c>
      <c r="G4599" t="s">
        <v>33</v>
      </c>
      <c r="H4599">
        <v>107.18</v>
      </c>
    </row>
    <row r="4600" spans="1:8" x14ac:dyDescent="0.3">
      <c r="A4600">
        <v>202303</v>
      </c>
      <c r="B4600" s="1">
        <v>44986</v>
      </c>
      <c r="C4600">
        <v>2023</v>
      </c>
      <c r="D4600" t="s">
        <v>10</v>
      </c>
      <c r="E4600" t="s">
        <v>35</v>
      </c>
      <c r="F4600" t="s">
        <v>40</v>
      </c>
      <c r="G4600" t="s">
        <v>33</v>
      </c>
      <c r="H4600">
        <v>151.22999999999999</v>
      </c>
    </row>
    <row r="4601" spans="1:8" x14ac:dyDescent="0.3">
      <c r="A4601">
        <v>202304</v>
      </c>
      <c r="B4601" s="1">
        <v>45017</v>
      </c>
      <c r="C4601">
        <v>2023</v>
      </c>
      <c r="D4601" t="s">
        <v>11</v>
      </c>
      <c r="E4601" t="s">
        <v>35</v>
      </c>
      <c r="F4601" t="s">
        <v>40</v>
      </c>
      <c r="G4601" t="s">
        <v>33</v>
      </c>
      <c r="H4601">
        <v>242.2</v>
      </c>
    </row>
    <row r="4602" spans="1:8" x14ac:dyDescent="0.3">
      <c r="A4602">
        <v>202305</v>
      </c>
      <c r="B4602" s="1">
        <v>45047</v>
      </c>
      <c r="C4602">
        <v>2023</v>
      </c>
      <c r="D4602" t="s">
        <v>12</v>
      </c>
      <c r="E4602" t="s">
        <v>35</v>
      </c>
      <c r="F4602" t="s">
        <v>40</v>
      </c>
      <c r="G4602" t="s">
        <v>33</v>
      </c>
      <c r="H4602">
        <v>167.47</v>
      </c>
    </row>
    <row r="4603" spans="1:8" x14ac:dyDescent="0.3">
      <c r="A4603">
        <v>202306</v>
      </c>
      <c r="B4603" s="1">
        <v>45078</v>
      </c>
      <c r="C4603">
        <v>2023</v>
      </c>
      <c r="D4603" t="s">
        <v>13</v>
      </c>
      <c r="E4603" t="s">
        <v>35</v>
      </c>
      <c r="F4603" t="s">
        <v>40</v>
      </c>
      <c r="G4603" t="s">
        <v>33</v>
      </c>
      <c r="H4603">
        <v>168.89</v>
      </c>
    </row>
    <row r="4604" spans="1:8" x14ac:dyDescent="0.3">
      <c r="A4604">
        <v>202307</v>
      </c>
      <c r="B4604" s="1">
        <v>45108</v>
      </c>
      <c r="C4604">
        <v>2023</v>
      </c>
      <c r="D4604" t="s">
        <v>14</v>
      </c>
      <c r="E4604" t="s">
        <v>35</v>
      </c>
      <c r="F4604" t="s">
        <v>40</v>
      </c>
      <c r="G4604" t="s">
        <v>33</v>
      </c>
      <c r="H4604">
        <v>230.24</v>
      </c>
    </row>
    <row r="4605" spans="1:8" x14ac:dyDescent="0.3">
      <c r="A4605">
        <v>202308</v>
      </c>
      <c r="B4605" s="1">
        <v>45139</v>
      </c>
      <c r="C4605">
        <v>2023</v>
      </c>
      <c r="D4605" t="s">
        <v>15</v>
      </c>
      <c r="E4605" t="s">
        <v>35</v>
      </c>
      <c r="F4605" t="s">
        <v>40</v>
      </c>
      <c r="G4605" t="s">
        <v>33</v>
      </c>
      <c r="H4605">
        <v>147.72</v>
      </c>
    </row>
    <row r="4606" spans="1:8" x14ac:dyDescent="0.3">
      <c r="A4606">
        <v>202309</v>
      </c>
      <c r="B4606" s="1">
        <v>45170</v>
      </c>
      <c r="C4606">
        <v>2023</v>
      </c>
      <c r="D4606" t="s">
        <v>16</v>
      </c>
      <c r="E4606" t="s">
        <v>35</v>
      </c>
      <c r="F4606" t="s">
        <v>40</v>
      </c>
      <c r="G4606" t="s">
        <v>33</v>
      </c>
      <c r="H4606">
        <v>155.49</v>
      </c>
    </row>
    <row r="4607" spans="1:8" x14ac:dyDescent="0.3">
      <c r="A4607">
        <v>202310</v>
      </c>
      <c r="B4607" s="1">
        <v>45200</v>
      </c>
      <c r="C4607">
        <v>2023</v>
      </c>
      <c r="D4607" t="s">
        <v>17</v>
      </c>
      <c r="E4607" t="s">
        <v>35</v>
      </c>
      <c r="F4607" t="s">
        <v>40</v>
      </c>
      <c r="G4607" t="s">
        <v>33</v>
      </c>
      <c r="H4607">
        <v>193.52</v>
      </c>
    </row>
    <row r="4608" spans="1:8" x14ac:dyDescent="0.3">
      <c r="A4608">
        <v>202311</v>
      </c>
      <c r="B4608" s="1">
        <v>45231</v>
      </c>
      <c r="C4608">
        <v>2023</v>
      </c>
      <c r="D4608" t="s">
        <v>18</v>
      </c>
      <c r="E4608" t="s">
        <v>35</v>
      </c>
      <c r="F4608" t="s">
        <v>40</v>
      </c>
      <c r="G4608" t="s">
        <v>33</v>
      </c>
      <c r="H4608">
        <v>146.03</v>
      </c>
    </row>
    <row r="4609" spans="1:8" x14ac:dyDescent="0.3">
      <c r="A4609">
        <v>202312</v>
      </c>
      <c r="B4609" s="1">
        <v>45261</v>
      </c>
      <c r="C4609">
        <v>2023</v>
      </c>
      <c r="D4609" t="s">
        <v>19</v>
      </c>
      <c r="E4609" t="s">
        <v>35</v>
      </c>
      <c r="F4609" t="s">
        <v>40</v>
      </c>
      <c r="G4609" t="s">
        <v>33</v>
      </c>
      <c r="H4609">
        <v>192.97</v>
      </c>
    </row>
    <row r="4610" spans="1:8" x14ac:dyDescent="0.3">
      <c r="A4610">
        <v>202301</v>
      </c>
      <c r="B4610" s="1">
        <v>44927</v>
      </c>
      <c r="C4610">
        <v>2023</v>
      </c>
      <c r="D4610" t="s">
        <v>6</v>
      </c>
      <c r="E4610" t="s">
        <v>35</v>
      </c>
      <c r="F4610" t="s">
        <v>40</v>
      </c>
      <c r="G4610" t="s">
        <v>33</v>
      </c>
      <c r="H4610">
        <v>101.85</v>
      </c>
    </row>
    <row r="4611" spans="1:8" x14ac:dyDescent="0.3">
      <c r="A4611">
        <v>202302</v>
      </c>
      <c r="B4611" s="1">
        <v>44958</v>
      </c>
      <c r="C4611">
        <v>2023</v>
      </c>
      <c r="D4611" t="s">
        <v>9</v>
      </c>
      <c r="E4611" t="s">
        <v>35</v>
      </c>
      <c r="F4611" t="s">
        <v>40</v>
      </c>
      <c r="G4611" t="s">
        <v>33</v>
      </c>
      <c r="H4611">
        <v>58.89</v>
      </c>
    </row>
    <row r="4612" spans="1:8" x14ac:dyDescent="0.3">
      <c r="A4612">
        <v>202303</v>
      </c>
      <c r="B4612" s="1">
        <v>44986</v>
      </c>
      <c r="C4612">
        <v>2023</v>
      </c>
      <c r="D4612" t="s">
        <v>10</v>
      </c>
      <c r="E4612" t="s">
        <v>35</v>
      </c>
      <c r="F4612" t="s">
        <v>40</v>
      </c>
      <c r="G4612" t="s">
        <v>33</v>
      </c>
      <c r="H4612">
        <v>118.35</v>
      </c>
    </row>
    <row r="4613" spans="1:8" x14ac:dyDescent="0.3">
      <c r="A4613">
        <v>202304</v>
      </c>
      <c r="B4613" s="1">
        <v>45017</v>
      </c>
      <c r="C4613">
        <v>2023</v>
      </c>
      <c r="D4613" t="s">
        <v>11</v>
      </c>
      <c r="E4613" t="s">
        <v>35</v>
      </c>
      <c r="F4613" t="s">
        <v>40</v>
      </c>
      <c r="G4613" t="s">
        <v>33</v>
      </c>
      <c r="H4613">
        <v>133.85</v>
      </c>
    </row>
    <row r="4614" spans="1:8" x14ac:dyDescent="0.3">
      <c r="A4614">
        <v>202305</v>
      </c>
      <c r="B4614" s="1">
        <v>45047</v>
      </c>
      <c r="C4614">
        <v>2023</v>
      </c>
      <c r="D4614" t="s">
        <v>12</v>
      </c>
      <c r="E4614" t="s">
        <v>35</v>
      </c>
      <c r="F4614" t="s">
        <v>40</v>
      </c>
      <c r="G4614" t="s">
        <v>33</v>
      </c>
      <c r="H4614">
        <v>121.41</v>
      </c>
    </row>
    <row r="4615" spans="1:8" x14ac:dyDescent="0.3">
      <c r="A4615">
        <v>202306</v>
      </c>
      <c r="B4615" s="1">
        <v>45078</v>
      </c>
      <c r="C4615">
        <v>2023</v>
      </c>
      <c r="D4615" t="s">
        <v>13</v>
      </c>
      <c r="E4615" t="s">
        <v>35</v>
      </c>
      <c r="F4615" t="s">
        <v>40</v>
      </c>
      <c r="G4615" t="s">
        <v>33</v>
      </c>
      <c r="H4615">
        <v>93.7</v>
      </c>
    </row>
    <row r="4616" spans="1:8" x14ac:dyDescent="0.3">
      <c r="A4616">
        <v>202307</v>
      </c>
      <c r="B4616" s="1">
        <v>45108</v>
      </c>
      <c r="C4616">
        <v>2023</v>
      </c>
      <c r="D4616" t="s">
        <v>14</v>
      </c>
      <c r="E4616" t="s">
        <v>35</v>
      </c>
      <c r="F4616" t="s">
        <v>40</v>
      </c>
      <c r="G4616" t="s">
        <v>33</v>
      </c>
      <c r="H4616">
        <v>149.66999999999999</v>
      </c>
    </row>
    <row r="4617" spans="1:8" x14ac:dyDescent="0.3">
      <c r="A4617">
        <v>202308</v>
      </c>
      <c r="B4617" s="1">
        <v>45139</v>
      </c>
      <c r="C4617">
        <v>2023</v>
      </c>
      <c r="D4617" t="s">
        <v>15</v>
      </c>
      <c r="E4617" t="s">
        <v>35</v>
      </c>
      <c r="F4617" t="s">
        <v>40</v>
      </c>
      <c r="G4617" t="s">
        <v>33</v>
      </c>
      <c r="H4617">
        <v>156.78</v>
      </c>
    </row>
    <row r="4618" spans="1:8" x14ac:dyDescent="0.3">
      <c r="A4618">
        <v>202309</v>
      </c>
      <c r="B4618" s="1">
        <v>45170</v>
      </c>
      <c r="C4618">
        <v>2023</v>
      </c>
      <c r="D4618" t="s">
        <v>16</v>
      </c>
      <c r="E4618" t="s">
        <v>35</v>
      </c>
      <c r="F4618" t="s">
        <v>40</v>
      </c>
      <c r="G4618" t="s">
        <v>33</v>
      </c>
      <c r="H4618">
        <v>128.83000000000001</v>
      </c>
    </row>
    <row r="4619" spans="1:8" x14ac:dyDescent="0.3">
      <c r="A4619">
        <v>202310</v>
      </c>
      <c r="B4619" s="1">
        <v>45200</v>
      </c>
      <c r="C4619">
        <v>2023</v>
      </c>
      <c r="D4619" t="s">
        <v>17</v>
      </c>
      <c r="E4619" t="s">
        <v>35</v>
      </c>
      <c r="F4619" t="s">
        <v>40</v>
      </c>
      <c r="G4619" t="s">
        <v>33</v>
      </c>
      <c r="H4619">
        <v>155.30000000000001</v>
      </c>
    </row>
    <row r="4620" spans="1:8" x14ac:dyDescent="0.3">
      <c r="A4620">
        <v>202311</v>
      </c>
      <c r="B4620" s="1">
        <v>45231</v>
      </c>
      <c r="C4620">
        <v>2023</v>
      </c>
      <c r="D4620" t="s">
        <v>18</v>
      </c>
      <c r="E4620" t="s">
        <v>35</v>
      </c>
      <c r="F4620" t="s">
        <v>40</v>
      </c>
      <c r="G4620" t="s">
        <v>33</v>
      </c>
      <c r="H4620">
        <v>83.84</v>
      </c>
    </row>
    <row r="4621" spans="1:8" x14ac:dyDescent="0.3">
      <c r="A4621">
        <v>202312</v>
      </c>
      <c r="B4621" s="1">
        <v>45261</v>
      </c>
      <c r="C4621">
        <v>2023</v>
      </c>
      <c r="D4621" t="s">
        <v>19</v>
      </c>
      <c r="E4621" t="s">
        <v>35</v>
      </c>
      <c r="F4621" t="s">
        <v>40</v>
      </c>
      <c r="G4621" t="s">
        <v>33</v>
      </c>
      <c r="H4621">
        <v>120.67</v>
      </c>
    </row>
    <row r="4622" spans="1:8" x14ac:dyDescent="0.3">
      <c r="A4622">
        <v>202301</v>
      </c>
      <c r="B4622" s="1">
        <v>44927</v>
      </c>
      <c r="C4622">
        <v>2023</v>
      </c>
      <c r="D4622" t="s">
        <v>6</v>
      </c>
      <c r="E4622" t="s">
        <v>35</v>
      </c>
      <c r="F4622" t="s">
        <v>40</v>
      </c>
      <c r="G4622" t="s">
        <v>33</v>
      </c>
      <c r="H4622">
        <v>1284.1500000000001</v>
      </c>
    </row>
    <row r="4623" spans="1:8" x14ac:dyDescent="0.3">
      <c r="A4623">
        <v>202302</v>
      </c>
      <c r="B4623" s="1">
        <v>44958</v>
      </c>
      <c r="C4623">
        <v>2023</v>
      </c>
      <c r="D4623" t="s">
        <v>9</v>
      </c>
      <c r="E4623" t="s">
        <v>35</v>
      </c>
      <c r="F4623" t="s">
        <v>40</v>
      </c>
      <c r="G4623" t="s">
        <v>33</v>
      </c>
      <c r="H4623">
        <v>741.29</v>
      </c>
    </row>
    <row r="4624" spans="1:8" x14ac:dyDescent="0.3">
      <c r="A4624">
        <v>202303</v>
      </c>
      <c r="B4624" s="1">
        <v>44986</v>
      </c>
      <c r="C4624">
        <v>2023</v>
      </c>
      <c r="D4624" t="s">
        <v>10</v>
      </c>
      <c r="E4624" t="s">
        <v>35</v>
      </c>
      <c r="F4624" t="s">
        <v>40</v>
      </c>
      <c r="G4624" t="s">
        <v>33</v>
      </c>
      <c r="H4624">
        <v>1153.4100000000001</v>
      </c>
    </row>
    <row r="4625" spans="1:8" x14ac:dyDescent="0.3">
      <c r="A4625">
        <v>202304</v>
      </c>
      <c r="B4625" s="1">
        <v>45017</v>
      </c>
      <c r="C4625">
        <v>2023</v>
      </c>
      <c r="D4625" t="s">
        <v>11</v>
      </c>
      <c r="E4625" t="s">
        <v>35</v>
      </c>
      <c r="F4625" t="s">
        <v>40</v>
      </c>
      <c r="G4625" t="s">
        <v>33</v>
      </c>
      <c r="H4625">
        <v>1731.48</v>
      </c>
    </row>
    <row r="4626" spans="1:8" x14ac:dyDescent="0.3">
      <c r="A4626">
        <v>202305</v>
      </c>
      <c r="B4626" s="1">
        <v>45047</v>
      </c>
      <c r="C4626">
        <v>2023</v>
      </c>
      <c r="D4626" t="s">
        <v>12</v>
      </c>
      <c r="E4626" t="s">
        <v>35</v>
      </c>
      <c r="F4626" t="s">
        <v>40</v>
      </c>
      <c r="G4626" t="s">
        <v>33</v>
      </c>
      <c r="H4626">
        <v>1168.58</v>
      </c>
    </row>
    <row r="4627" spans="1:8" x14ac:dyDescent="0.3">
      <c r="A4627">
        <v>202306</v>
      </c>
      <c r="B4627" s="1">
        <v>45078</v>
      </c>
      <c r="C4627">
        <v>2023</v>
      </c>
      <c r="D4627" t="s">
        <v>13</v>
      </c>
      <c r="E4627" t="s">
        <v>35</v>
      </c>
      <c r="F4627" t="s">
        <v>40</v>
      </c>
      <c r="G4627" t="s">
        <v>33</v>
      </c>
      <c r="H4627">
        <v>1041.58</v>
      </c>
    </row>
    <row r="4628" spans="1:8" x14ac:dyDescent="0.3">
      <c r="A4628">
        <v>202307</v>
      </c>
      <c r="B4628" s="1">
        <v>45108</v>
      </c>
      <c r="C4628">
        <v>2023</v>
      </c>
      <c r="D4628" t="s">
        <v>14</v>
      </c>
      <c r="E4628" t="s">
        <v>35</v>
      </c>
      <c r="F4628" t="s">
        <v>40</v>
      </c>
      <c r="G4628" t="s">
        <v>33</v>
      </c>
      <c r="H4628">
        <v>1466.64</v>
      </c>
    </row>
    <row r="4629" spans="1:8" x14ac:dyDescent="0.3">
      <c r="A4629">
        <v>202308</v>
      </c>
      <c r="B4629" s="1">
        <v>45139</v>
      </c>
      <c r="C4629">
        <v>2023</v>
      </c>
      <c r="D4629" t="s">
        <v>15</v>
      </c>
      <c r="E4629" t="s">
        <v>35</v>
      </c>
      <c r="F4629" t="s">
        <v>40</v>
      </c>
      <c r="G4629" t="s">
        <v>33</v>
      </c>
      <c r="H4629">
        <v>1118.3800000000001</v>
      </c>
    </row>
    <row r="4630" spans="1:8" x14ac:dyDescent="0.3">
      <c r="A4630">
        <v>202309</v>
      </c>
      <c r="B4630" s="1">
        <v>45170</v>
      </c>
      <c r="C4630">
        <v>2023</v>
      </c>
      <c r="D4630" t="s">
        <v>16</v>
      </c>
      <c r="E4630" t="s">
        <v>35</v>
      </c>
      <c r="F4630" t="s">
        <v>40</v>
      </c>
      <c r="G4630" t="s">
        <v>33</v>
      </c>
      <c r="H4630">
        <v>990.76</v>
      </c>
    </row>
    <row r="4631" spans="1:8" x14ac:dyDescent="0.3">
      <c r="A4631">
        <v>202310</v>
      </c>
      <c r="B4631" s="1">
        <v>45200</v>
      </c>
      <c r="C4631">
        <v>2023</v>
      </c>
      <c r="D4631" t="s">
        <v>17</v>
      </c>
      <c r="E4631" t="s">
        <v>35</v>
      </c>
      <c r="F4631" t="s">
        <v>40</v>
      </c>
      <c r="G4631" t="s">
        <v>33</v>
      </c>
      <c r="H4631">
        <v>1678.85</v>
      </c>
    </row>
    <row r="4632" spans="1:8" x14ac:dyDescent="0.3">
      <c r="A4632">
        <v>202311</v>
      </c>
      <c r="B4632" s="1">
        <v>45231</v>
      </c>
      <c r="C4632">
        <v>2023</v>
      </c>
      <c r="D4632" t="s">
        <v>18</v>
      </c>
      <c r="E4632" t="s">
        <v>35</v>
      </c>
      <c r="F4632" t="s">
        <v>40</v>
      </c>
      <c r="G4632" t="s">
        <v>33</v>
      </c>
      <c r="H4632">
        <v>1254.67</v>
      </c>
    </row>
    <row r="4633" spans="1:8" x14ac:dyDescent="0.3">
      <c r="A4633">
        <v>202312</v>
      </c>
      <c r="B4633" s="1">
        <v>45261</v>
      </c>
      <c r="C4633">
        <v>2023</v>
      </c>
      <c r="D4633" t="s">
        <v>19</v>
      </c>
      <c r="E4633" t="s">
        <v>35</v>
      </c>
      <c r="F4633" t="s">
        <v>40</v>
      </c>
      <c r="G4633" t="s">
        <v>33</v>
      </c>
      <c r="H4633">
        <v>1276.23</v>
      </c>
    </row>
    <row r="4634" spans="1:8" x14ac:dyDescent="0.3">
      <c r="A4634">
        <v>202301</v>
      </c>
      <c r="B4634" s="1">
        <v>44927</v>
      </c>
      <c r="C4634">
        <v>2023</v>
      </c>
      <c r="D4634" t="s">
        <v>6</v>
      </c>
      <c r="E4634" t="s">
        <v>35</v>
      </c>
      <c r="F4634" t="s">
        <v>40</v>
      </c>
      <c r="G4634" t="s">
        <v>33</v>
      </c>
      <c r="H4634">
        <v>2383.4699999999998</v>
      </c>
    </row>
    <row r="4635" spans="1:8" x14ac:dyDescent="0.3">
      <c r="A4635">
        <v>202302</v>
      </c>
      <c r="B4635" s="1">
        <v>44958</v>
      </c>
      <c r="C4635">
        <v>2023</v>
      </c>
      <c r="D4635" t="s">
        <v>9</v>
      </c>
      <c r="E4635" t="s">
        <v>35</v>
      </c>
      <c r="F4635" t="s">
        <v>40</v>
      </c>
      <c r="G4635" t="s">
        <v>33</v>
      </c>
      <c r="H4635">
        <v>999.76</v>
      </c>
    </row>
    <row r="4636" spans="1:8" x14ac:dyDescent="0.3">
      <c r="A4636">
        <v>202303</v>
      </c>
      <c r="B4636" s="1">
        <v>44986</v>
      </c>
      <c r="C4636">
        <v>2023</v>
      </c>
      <c r="D4636" t="s">
        <v>10</v>
      </c>
      <c r="E4636" t="s">
        <v>35</v>
      </c>
      <c r="F4636" t="s">
        <v>40</v>
      </c>
      <c r="G4636" t="s">
        <v>33</v>
      </c>
      <c r="H4636">
        <v>1438.87</v>
      </c>
    </row>
    <row r="4637" spans="1:8" x14ac:dyDescent="0.3">
      <c r="A4637">
        <v>202304</v>
      </c>
      <c r="B4637" s="1">
        <v>45017</v>
      </c>
      <c r="C4637">
        <v>2023</v>
      </c>
      <c r="D4637" t="s">
        <v>11</v>
      </c>
      <c r="E4637" t="s">
        <v>35</v>
      </c>
      <c r="F4637" t="s">
        <v>40</v>
      </c>
      <c r="G4637" t="s">
        <v>33</v>
      </c>
      <c r="H4637">
        <v>3487.44</v>
      </c>
    </row>
    <row r="4638" spans="1:8" x14ac:dyDescent="0.3">
      <c r="A4638">
        <v>202305</v>
      </c>
      <c r="B4638" s="1">
        <v>45047</v>
      </c>
      <c r="C4638">
        <v>2023</v>
      </c>
      <c r="D4638" t="s">
        <v>12</v>
      </c>
      <c r="E4638" t="s">
        <v>35</v>
      </c>
      <c r="F4638" t="s">
        <v>40</v>
      </c>
      <c r="G4638" t="s">
        <v>33</v>
      </c>
      <c r="H4638">
        <v>2173.5300000000002</v>
      </c>
    </row>
    <row r="4639" spans="1:8" x14ac:dyDescent="0.3">
      <c r="A4639">
        <v>202306</v>
      </c>
      <c r="B4639" s="1">
        <v>45078</v>
      </c>
      <c r="C4639">
        <v>2023</v>
      </c>
      <c r="D4639" t="s">
        <v>13</v>
      </c>
      <c r="E4639" t="s">
        <v>35</v>
      </c>
      <c r="F4639" t="s">
        <v>40</v>
      </c>
      <c r="G4639" t="s">
        <v>33</v>
      </c>
      <c r="H4639">
        <v>1354.78</v>
      </c>
    </row>
    <row r="4640" spans="1:8" x14ac:dyDescent="0.3">
      <c r="A4640">
        <v>202307</v>
      </c>
      <c r="B4640" s="1">
        <v>45108</v>
      </c>
      <c r="C4640">
        <v>2023</v>
      </c>
      <c r="D4640" t="s">
        <v>14</v>
      </c>
      <c r="E4640" t="s">
        <v>35</v>
      </c>
      <c r="F4640" t="s">
        <v>40</v>
      </c>
      <c r="G4640" t="s">
        <v>33</v>
      </c>
      <c r="H4640">
        <v>2220.21</v>
      </c>
    </row>
    <row r="4641" spans="1:8" x14ac:dyDescent="0.3">
      <c r="A4641">
        <v>202308</v>
      </c>
      <c r="B4641" s="1">
        <v>45139</v>
      </c>
      <c r="C4641">
        <v>2023</v>
      </c>
      <c r="D4641" t="s">
        <v>15</v>
      </c>
      <c r="E4641" t="s">
        <v>35</v>
      </c>
      <c r="F4641" t="s">
        <v>40</v>
      </c>
      <c r="G4641" t="s">
        <v>33</v>
      </c>
      <c r="H4641">
        <v>1947.34</v>
      </c>
    </row>
    <row r="4642" spans="1:8" x14ac:dyDescent="0.3">
      <c r="A4642">
        <v>202309</v>
      </c>
      <c r="B4642" s="1">
        <v>45170</v>
      </c>
      <c r="C4642">
        <v>2023</v>
      </c>
      <c r="D4642" t="s">
        <v>16</v>
      </c>
      <c r="E4642" t="s">
        <v>35</v>
      </c>
      <c r="F4642" t="s">
        <v>40</v>
      </c>
      <c r="G4642" t="s">
        <v>33</v>
      </c>
      <c r="H4642">
        <v>1419.43</v>
      </c>
    </row>
    <row r="4643" spans="1:8" x14ac:dyDescent="0.3">
      <c r="A4643">
        <v>202310</v>
      </c>
      <c r="B4643" s="1">
        <v>45200</v>
      </c>
      <c r="C4643">
        <v>2023</v>
      </c>
      <c r="D4643" t="s">
        <v>17</v>
      </c>
      <c r="E4643" t="s">
        <v>35</v>
      </c>
      <c r="F4643" t="s">
        <v>40</v>
      </c>
      <c r="G4643" t="s">
        <v>33</v>
      </c>
      <c r="H4643">
        <v>2431.58</v>
      </c>
    </row>
    <row r="4644" spans="1:8" x14ac:dyDescent="0.3">
      <c r="A4644">
        <v>202311</v>
      </c>
      <c r="B4644" s="1">
        <v>45231</v>
      </c>
      <c r="C4644">
        <v>2023</v>
      </c>
      <c r="D4644" t="s">
        <v>18</v>
      </c>
      <c r="E4644" t="s">
        <v>35</v>
      </c>
      <c r="F4644" t="s">
        <v>40</v>
      </c>
      <c r="G4644" t="s">
        <v>33</v>
      </c>
      <c r="H4644">
        <v>2203.9</v>
      </c>
    </row>
    <row r="4645" spans="1:8" x14ac:dyDescent="0.3">
      <c r="A4645">
        <v>202312</v>
      </c>
      <c r="B4645" s="1">
        <v>45261</v>
      </c>
      <c r="C4645">
        <v>2023</v>
      </c>
      <c r="D4645" t="s">
        <v>19</v>
      </c>
      <c r="E4645" t="s">
        <v>35</v>
      </c>
      <c r="F4645" t="s">
        <v>40</v>
      </c>
      <c r="G4645" t="s">
        <v>33</v>
      </c>
      <c r="H4645">
        <v>1554.94</v>
      </c>
    </row>
    <row r="4646" spans="1:8" x14ac:dyDescent="0.3">
      <c r="A4646">
        <v>202301</v>
      </c>
      <c r="B4646" s="1">
        <v>44927</v>
      </c>
      <c r="C4646">
        <v>2023</v>
      </c>
      <c r="D4646" t="s">
        <v>6</v>
      </c>
      <c r="E4646" t="s">
        <v>36</v>
      </c>
      <c r="F4646" t="s">
        <v>40</v>
      </c>
      <c r="G4646" t="s">
        <v>33</v>
      </c>
      <c r="H4646">
        <v>194.41</v>
      </c>
    </row>
    <row r="4647" spans="1:8" x14ac:dyDescent="0.3">
      <c r="A4647">
        <v>202302</v>
      </c>
      <c r="B4647" s="1">
        <v>44958</v>
      </c>
      <c r="C4647">
        <v>2023</v>
      </c>
      <c r="D4647" t="s">
        <v>9</v>
      </c>
      <c r="E4647" t="s">
        <v>36</v>
      </c>
      <c r="F4647" t="s">
        <v>40</v>
      </c>
      <c r="G4647" t="s">
        <v>33</v>
      </c>
      <c r="H4647">
        <v>149.21</v>
      </c>
    </row>
    <row r="4648" spans="1:8" x14ac:dyDescent="0.3">
      <c r="A4648">
        <v>202303</v>
      </c>
      <c r="B4648" s="1">
        <v>44986</v>
      </c>
      <c r="C4648">
        <v>2023</v>
      </c>
      <c r="D4648" t="s">
        <v>10</v>
      </c>
      <c r="E4648" t="s">
        <v>36</v>
      </c>
      <c r="F4648" t="s">
        <v>40</v>
      </c>
      <c r="G4648" t="s">
        <v>33</v>
      </c>
      <c r="H4648">
        <v>179.41</v>
      </c>
    </row>
    <row r="4649" spans="1:8" x14ac:dyDescent="0.3">
      <c r="A4649">
        <v>202304</v>
      </c>
      <c r="B4649" s="1">
        <v>45017</v>
      </c>
      <c r="C4649">
        <v>2023</v>
      </c>
      <c r="D4649" t="s">
        <v>11</v>
      </c>
      <c r="E4649" t="s">
        <v>36</v>
      </c>
      <c r="F4649" t="s">
        <v>40</v>
      </c>
      <c r="G4649" t="s">
        <v>33</v>
      </c>
      <c r="H4649">
        <v>261.85000000000002</v>
      </c>
    </row>
    <row r="4650" spans="1:8" x14ac:dyDescent="0.3">
      <c r="A4650">
        <v>202305</v>
      </c>
      <c r="B4650" s="1">
        <v>45047</v>
      </c>
      <c r="C4650">
        <v>2023</v>
      </c>
      <c r="D4650" t="s">
        <v>12</v>
      </c>
      <c r="E4650" t="s">
        <v>36</v>
      </c>
      <c r="F4650" t="s">
        <v>40</v>
      </c>
      <c r="G4650" t="s">
        <v>33</v>
      </c>
      <c r="H4650">
        <v>182.29</v>
      </c>
    </row>
    <row r="4651" spans="1:8" x14ac:dyDescent="0.3">
      <c r="A4651">
        <v>202306</v>
      </c>
      <c r="B4651" s="1">
        <v>45078</v>
      </c>
      <c r="C4651">
        <v>2023</v>
      </c>
      <c r="D4651" t="s">
        <v>13</v>
      </c>
      <c r="E4651" t="s">
        <v>36</v>
      </c>
      <c r="F4651" t="s">
        <v>40</v>
      </c>
      <c r="G4651" t="s">
        <v>33</v>
      </c>
      <c r="H4651">
        <v>167.67</v>
      </c>
    </row>
    <row r="4652" spans="1:8" x14ac:dyDescent="0.3">
      <c r="A4652">
        <v>202307</v>
      </c>
      <c r="B4652" s="1">
        <v>45108</v>
      </c>
      <c r="C4652">
        <v>2023</v>
      </c>
      <c r="D4652" t="s">
        <v>14</v>
      </c>
      <c r="E4652" t="s">
        <v>36</v>
      </c>
      <c r="F4652" t="s">
        <v>40</v>
      </c>
      <c r="G4652" t="s">
        <v>33</v>
      </c>
      <c r="H4652">
        <v>178.49</v>
      </c>
    </row>
    <row r="4653" spans="1:8" x14ac:dyDescent="0.3">
      <c r="A4653">
        <v>202308</v>
      </c>
      <c r="B4653" s="1">
        <v>45139</v>
      </c>
      <c r="C4653">
        <v>2023</v>
      </c>
      <c r="D4653" t="s">
        <v>15</v>
      </c>
      <c r="E4653" t="s">
        <v>36</v>
      </c>
      <c r="F4653" t="s">
        <v>40</v>
      </c>
      <c r="G4653" t="s">
        <v>33</v>
      </c>
      <c r="H4653">
        <v>182.28</v>
      </c>
    </row>
    <row r="4654" spans="1:8" x14ac:dyDescent="0.3">
      <c r="A4654">
        <v>202309</v>
      </c>
      <c r="B4654" s="1">
        <v>45170</v>
      </c>
      <c r="C4654">
        <v>2023</v>
      </c>
      <c r="D4654" t="s">
        <v>16</v>
      </c>
      <c r="E4654" t="s">
        <v>36</v>
      </c>
      <c r="F4654" t="s">
        <v>40</v>
      </c>
      <c r="G4654" t="s">
        <v>33</v>
      </c>
      <c r="H4654">
        <v>152.71</v>
      </c>
    </row>
    <row r="4655" spans="1:8" x14ac:dyDescent="0.3">
      <c r="A4655">
        <v>202310</v>
      </c>
      <c r="B4655" s="1">
        <v>45200</v>
      </c>
      <c r="C4655">
        <v>2023</v>
      </c>
      <c r="D4655" t="s">
        <v>17</v>
      </c>
      <c r="E4655" t="s">
        <v>36</v>
      </c>
      <c r="F4655" t="s">
        <v>40</v>
      </c>
      <c r="G4655" t="s">
        <v>33</v>
      </c>
      <c r="H4655">
        <v>202.4</v>
      </c>
    </row>
    <row r="4656" spans="1:8" x14ac:dyDescent="0.3">
      <c r="A4656">
        <v>202311</v>
      </c>
      <c r="B4656" s="1">
        <v>45231</v>
      </c>
      <c r="C4656">
        <v>2023</v>
      </c>
      <c r="D4656" t="s">
        <v>18</v>
      </c>
      <c r="E4656" t="s">
        <v>36</v>
      </c>
      <c r="F4656" t="s">
        <v>40</v>
      </c>
      <c r="G4656" t="s">
        <v>33</v>
      </c>
      <c r="H4656">
        <v>169.35</v>
      </c>
    </row>
    <row r="4657" spans="1:8" x14ac:dyDescent="0.3">
      <c r="A4657">
        <v>202312</v>
      </c>
      <c r="B4657" s="1">
        <v>45261</v>
      </c>
      <c r="C4657">
        <v>2023</v>
      </c>
      <c r="D4657" t="s">
        <v>19</v>
      </c>
      <c r="E4657" t="s">
        <v>36</v>
      </c>
      <c r="F4657" t="s">
        <v>40</v>
      </c>
      <c r="G4657" t="s">
        <v>33</v>
      </c>
      <c r="H4657">
        <v>211.76</v>
      </c>
    </row>
    <row r="4658" spans="1:8" x14ac:dyDescent="0.3">
      <c r="A4658">
        <v>202301</v>
      </c>
      <c r="B4658" s="1">
        <v>44927</v>
      </c>
      <c r="C4658">
        <v>2023</v>
      </c>
      <c r="D4658" t="s">
        <v>6</v>
      </c>
      <c r="E4658" t="s">
        <v>36</v>
      </c>
      <c r="F4658" t="s">
        <v>40</v>
      </c>
      <c r="G4658" t="s">
        <v>33</v>
      </c>
      <c r="H4658">
        <v>424.2</v>
      </c>
    </row>
    <row r="4659" spans="1:8" x14ac:dyDescent="0.3">
      <c r="A4659">
        <v>202302</v>
      </c>
      <c r="B4659" s="1">
        <v>44958</v>
      </c>
      <c r="C4659">
        <v>2023</v>
      </c>
      <c r="D4659" t="s">
        <v>9</v>
      </c>
      <c r="E4659" t="s">
        <v>36</v>
      </c>
      <c r="F4659" t="s">
        <v>40</v>
      </c>
      <c r="G4659" t="s">
        <v>33</v>
      </c>
      <c r="H4659">
        <v>164.43</v>
      </c>
    </row>
    <row r="4660" spans="1:8" x14ac:dyDescent="0.3">
      <c r="A4660">
        <v>202303</v>
      </c>
      <c r="B4660" s="1">
        <v>44986</v>
      </c>
      <c r="C4660">
        <v>2023</v>
      </c>
      <c r="D4660" t="s">
        <v>10</v>
      </c>
      <c r="E4660" t="s">
        <v>36</v>
      </c>
      <c r="F4660" t="s">
        <v>40</v>
      </c>
      <c r="G4660" t="s">
        <v>33</v>
      </c>
      <c r="H4660">
        <v>256.22000000000003</v>
      </c>
    </row>
    <row r="4661" spans="1:8" x14ac:dyDescent="0.3">
      <c r="A4661">
        <v>202304</v>
      </c>
      <c r="B4661" s="1">
        <v>45017</v>
      </c>
      <c r="C4661">
        <v>2023</v>
      </c>
      <c r="D4661" t="s">
        <v>11</v>
      </c>
      <c r="E4661" t="s">
        <v>36</v>
      </c>
      <c r="F4661" t="s">
        <v>40</v>
      </c>
      <c r="G4661" t="s">
        <v>33</v>
      </c>
      <c r="H4661">
        <v>677</v>
      </c>
    </row>
    <row r="4662" spans="1:8" x14ac:dyDescent="0.3">
      <c r="A4662">
        <v>202305</v>
      </c>
      <c r="B4662" s="1">
        <v>45047</v>
      </c>
      <c r="C4662">
        <v>2023</v>
      </c>
      <c r="D4662" t="s">
        <v>12</v>
      </c>
      <c r="E4662" t="s">
        <v>36</v>
      </c>
      <c r="F4662" t="s">
        <v>40</v>
      </c>
      <c r="G4662" t="s">
        <v>33</v>
      </c>
      <c r="H4662">
        <v>276.73</v>
      </c>
    </row>
    <row r="4663" spans="1:8" x14ac:dyDescent="0.3">
      <c r="A4663">
        <v>202306</v>
      </c>
      <c r="B4663" s="1">
        <v>45078</v>
      </c>
      <c r="C4663">
        <v>2023</v>
      </c>
      <c r="D4663" t="s">
        <v>13</v>
      </c>
      <c r="E4663" t="s">
        <v>36</v>
      </c>
      <c r="F4663" t="s">
        <v>40</v>
      </c>
      <c r="G4663" t="s">
        <v>33</v>
      </c>
      <c r="H4663">
        <v>254.21</v>
      </c>
    </row>
    <row r="4664" spans="1:8" x14ac:dyDescent="0.3">
      <c r="A4664">
        <v>202307</v>
      </c>
      <c r="B4664" s="1">
        <v>45108</v>
      </c>
      <c r="C4664">
        <v>2023</v>
      </c>
      <c r="D4664" t="s">
        <v>14</v>
      </c>
      <c r="E4664" t="s">
        <v>36</v>
      </c>
      <c r="F4664" t="s">
        <v>40</v>
      </c>
      <c r="G4664" t="s">
        <v>33</v>
      </c>
      <c r="H4664">
        <v>623.54999999999995</v>
      </c>
    </row>
    <row r="4665" spans="1:8" x14ac:dyDescent="0.3">
      <c r="A4665">
        <v>202308</v>
      </c>
      <c r="B4665" s="1">
        <v>45139</v>
      </c>
      <c r="C4665">
        <v>2023</v>
      </c>
      <c r="D4665" t="s">
        <v>15</v>
      </c>
      <c r="E4665" t="s">
        <v>36</v>
      </c>
      <c r="F4665" t="s">
        <v>40</v>
      </c>
      <c r="G4665" t="s">
        <v>33</v>
      </c>
      <c r="H4665">
        <v>378.94</v>
      </c>
    </row>
    <row r="4666" spans="1:8" x14ac:dyDescent="0.3">
      <c r="A4666">
        <v>202309</v>
      </c>
      <c r="B4666" s="1">
        <v>45170</v>
      </c>
      <c r="C4666">
        <v>2023</v>
      </c>
      <c r="D4666" t="s">
        <v>16</v>
      </c>
      <c r="E4666" t="s">
        <v>36</v>
      </c>
      <c r="F4666" t="s">
        <v>40</v>
      </c>
      <c r="G4666" t="s">
        <v>33</v>
      </c>
      <c r="H4666">
        <v>318.76</v>
      </c>
    </row>
    <row r="4667" spans="1:8" x14ac:dyDescent="0.3">
      <c r="A4667">
        <v>202310</v>
      </c>
      <c r="B4667" s="1">
        <v>45200</v>
      </c>
      <c r="C4667">
        <v>2023</v>
      </c>
      <c r="D4667" t="s">
        <v>17</v>
      </c>
      <c r="E4667" t="s">
        <v>36</v>
      </c>
      <c r="F4667" t="s">
        <v>40</v>
      </c>
      <c r="G4667" t="s">
        <v>33</v>
      </c>
      <c r="H4667">
        <v>441.18</v>
      </c>
    </row>
    <row r="4668" spans="1:8" x14ac:dyDescent="0.3">
      <c r="A4668">
        <v>202311</v>
      </c>
      <c r="B4668" s="1">
        <v>45231</v>
      </c>
      <c r="C4668">
        <v>2023</v>
      </c>
      <c r="D4668" t="s">
        <v>18</v>
      </c>
      <c r="E4668" t="s">
        <v>36</v>
      </c>
      <c r="F4668" t="s">
        <v>40</v>
      </c>
      <c r="G4668" t="s">
        <v>33</v>
      </c>
      <c r="H4668">
        <v>689.74</v>
      </c>
    </row>
    <row r="4669" spans="1:8" x14ac:dyDescent="0.3">
      <c r="A4669">
        <v>202312</v>
      </c>
      <c r="B4669" s="1">
        <v>45261</v>
      </c>
      <c r="C4669">
        <v>2023</v>
      </c>
      <c r="D4669" t="s">
        <v>19</v>
      </c>
      <c r="E4669" t="s">
        <v>36</v>
      </c>
      <c r="F4669" t="s">
        <v>40</v>
      </c>
      <c r="G4669" t="s">
        <v>33</v>
      </c>
      <c r="H4669">
        <v>504.15</v>
      </c>
    </row>
    <row r="4670" spans="1:8" x14ac:dyDescent="0.3">
      <c r="A4670">
        <v>202301</v>
      </c>
      <c r="B4670" s="1">
        <v>44927</v>
      </c>
      <c r="C4670">
        <v>2023</v>
      </c>
      <c r="D4670" t="s">
        <v>6</v>
      </c>
      <c r="E4670" t="s">
        <v>36</v>
      </c>
      <c r="F4670" t="s">
        <v>40</v>
      </c>
      <c r="G4670" t="s">
        <v>33</v>
      </c>
      <c r="H4670">
        <v>275.10000000000002</v>
      </c>
    </row>
    <row r="4671" spans="1:8" x14ac:dyDescent="0.3">
      <c r="A4671">
        <v>202302</v>
      </c>
      <c r="B4671" s="1">
        <v>44958</v>
      </c>
      <c r="C4671">
        <v>2023</v>
      </c>
      <c r="D4671" t="s">
        <v>9</v>
      </c>
      <c r="E4671" t="s">
        <v>36</v>
      </c>
      <c r="F4671" t="s">
        <v>40</v>
      </c>
      <c r="G4671" t="s">
        <v>33</v>
      </c>
      <c r="H4671">
        <v>125.9</v>
      </c>
    </row>
    <row r="4672" spans="1:8" x14ac:dyDescent="0.3">
      <c r="A4672">
        <v>202303</v>
      </c>
      <c r="B4672" s="1">
        <v>44986</v>
      </c>
      <c r="C4672">
        <v>2023</v>
      </c>
      <c r="D4672" t="s">
        <v>10</v>
      </c>
      <c r="E4672" t="s">
        <v>36</v>
      </c>
      <c r="F4672" t="s">
        <v>40</v>
      </c>
      <c r="G4672" t="s">
        <v>33</v>
      </c>
      <c r="H4672">
        <v>214.69</v>
      </c>
    </row>
    <row r="4673" spans="1:8" x14ac:dyDescent="0.3">
      <c r="A4673">
        <v>202304</v>
      </c>
      <c r="B4673" s="1">
        <v>45017</v>
      </c>
      <c r="C4673">
        <v>2023</v>
      </c>
      <c r="D4673" t="s">
        <v>11</v>
      </c>
      <c r="E4673" t="s">
        <v>36</v>
      </c>
      <c r="F4673" t="s">
        <v>40</v>
      </c>
      <c r="G4673" t="s">
        <v>33</v>
      </c>
      <c r="H4673">
        <v>289.08999999999997</v>
      </c>
    </row>
    <row r="4674" spans="1:8" x14ac:dyDescent="0.3">
      <c r="A4674">
        <v>202305</v>
      </c>
      <c r="B4674" s="1">
        <v>45047</v>
      </c>
      <c r="C4674">
        <v>2023</v>
      </c>
      <c r="D4674" t="s">
        <v>12</v>
      </c>
      <c r="E4674" t="s">
        <v>36</v>
      </c>
      <c r="F4674" t="s">
        <v>40</v>
      </c>
      <c r="G4674" t="s">
        <v>33</v>
      </c>
      <c r="H4674">
        <v>193.02</v>
      </c>
    </row>
    <row r="4675" spans="1:8" x14ac:dyDescent="0.3">
      <c r="A4675">
        <v>202306</v>
      </c>
      <c r="B4675" s="1">
        <v>45078</v>
      </c>
      <c r="C4675">
        <v>2023</v>
      </c>
      <c r="D4675" t="s">
        <v>13</v>
      </c>
      <c r="E4675" t="s">
        <v>36</v>
      </c>
      <c r="F4675" t="s">
        <v>40</v>
      </c>
      <c r="G4675" t="s">
        <v>33</v>
      </c>
      <c r="H4675">
        <v>242.62</v>
      </c>
    </row>
    <row r="4676" spans="1:8" x14ac:dyDescent="0.3">
      <c r="A4676">
        <v>202307</v>
      </c>
      <c r="B4676" s="1">
        <v>45108</v>
      </c>
      <c r="C4676">
        <v>2023</v>
      </c>
      <c r="D4676" t="s">
        <v>14</v>
      </c>
      <c r="E4676" t="s">
        <v>36</v>
      </c>
      <c r="F4676" t="s">
        <v>40</v>
      </c>
      <c r="G4676" t="s">
        <v>33</v>
      </c>
      <c r="H4676">
        <v>428.38</v>
      </c>
    </row>
    <row r="4677" spans="1:8" x14ac:dyDescent="0.3">
      <c r="A4677">
        <v>202308</v>
      </c>
      <c r="B4677" s="1">
        <v>45139</v>
      </c>
      <c r="C4677">
        <v>2023</v>
      </c>
      <c r="D4677" t="s">
        <v>15</v>
      </c>
      <c r="E4677" t="s">
        <v>36</v>
      </c>
      <c r="F4677" t="s">
        <v>40</v>
      </c>
      <c r="G4677" t="s">
        <v>33</v>
      </c>
      <c r="H4677">
        <v>244.14</v>
      </c>
    </row>
    <row r="4678" spans="1:8" x14ac:dyDescent="0.3">
      <c r="A4678">
        <v>202309</v>
      </c>
      <c r="B4678" s="1">
        <v>45170</v>
      </c>
      <c r="C4678">
        <v>2023</v>
      </c>
      <c r="D4678" t="s">
        <v>16</v>
      </c>
      <c r="E4678" t="s">
        <v>36</v>
      </c>
      <c r="F4678" t="s">
        <v>40</v>
      </c>
      <c r="G4678" t="s">
        <v>33</v>
      </c>
      <c r="H4678">
        <v>293.58</v>
      </c>
    </row>
    <row r="4679" spans="1:8" x14ac:dyDescent="0.3">
      <c r="A4679">
        <v>202310</v>
      </c>
      <c r="B4679" s="1">
        <v>45200</v>
      </c>
      <c r="C4679">
        <v>2023</v>
      </c>
      <c r="D4679" t="s">
        <v>17</v>
      </c>
      <c r="E4679" t="s">
        <v>36</v>
      </c>
      <c r="F4679" t="s">
        <v>40</v>
      </c>
      <c r="G4679" t="s">
        <v>33</v>
      </c>
      <c r="H4679">
        <v>357.28</v>
      </c>
    </row>
    <row r="4680" spans="1:8" x14ac:dyDescent="0.3">
      <c r="A4680">
        <v>202311</v>
      </c>
      <c r="B4680" s="1">
        <v>45231</v>
      </c>
      <c r="C4680">
        <v>2023</v>
      </c>
      <c r="D4680" t="s">
        <v>18</v>
      </c>
      <c r="E4680" t="s">
        <v>36</v>
      </c>
      <c r="F4680" t="s">
        <v>40</v>
      </c>
      <c r="G4680" t="s">
        <v>33</v>
      </c>
      <c r="H4680">
        <v>233.1</v>
      </c>
    </row>
    <row r="4681" spans="1:8" x14ac:dyDescent="0.3">
      <c r="A4681">
        <v>202312</v>
      </c>
      <c r="B4681" s="1">
        <v>45261</v>
      </c>
      <c r="C4681">
        <v>2023</v>
      </c>
      <c r="D4681" t="s">
        <v>19</v>
      </c>
      <c r="E4681" t="s">
        <v>36</v>
      </c>
      <c r="F4681" t="s">
        <v>40</v>
      </c>
      <c r="G4681" t="s">
        <v>33</v>
      </c>
      <c r="H4681">
        <v>359.63</v>
      </c>
    </row>
    <row r="4682" spans="1:8" x14ac:dyDescent="0.3">
      <c r="A4682">
        <v>202301</v>
      </c>
      <c r="B4682" s="1">
        <v>44927</v>
      </c>
      <c r="C4682">
        <v>2023</v>
      </c>
      <c r="D4682" t="s">
        <v>6</v>
      </c>
      <c r="E4682" t="s">
        <v>36</v>
      </c>
      <c r="F4682" t="s">
        <v>40</v>
      </c>
      <c r="G4682" t="s">
        <v>33</v>
      </c>
      <c r="H4682">
        <v>115.09</v>
      </c>
    </row>
    <row r="4683" spans="1:8" x14ac:dyDescent="0.3">
      <c r="A4683">
        <v>202302</v>
      </c>
      <c r="B4683" s="1">
        <v>44958</v>
      </c>
      <c r="C4683">
        <v>2023</v>
      </c>
      <c r="D4683" t="s">
        <v>9</v>
      </c>
      <c r="E4683" t="s">
        <v>36</v>
      </c>
      <c r="F4683" t="s">
        <v>40</v>
      </c>
      <c r="G4683" t="s">
        <v>33</v>
      </c>
      <c r="H4683">
        <v>99.14</v>
      </c>
    </row>
    <row r="4684" spans="1:8" x14ac:dyDescent="0.3">
      <c r="A4684">
        <v>202303</v>
      </c>
      <c r="B4684" s="1">
        <v>44986</v>
      </c>
      <c r="C4684">
        <v>2023</v>
      </c>
      <c r="D4684" t="s">
        <v>10</v>
      </c>
      <c r="E4684" t="s">
        <v>36</v>
      </c>
      <c r="F4684" t="s">
        <v>40</v>
      </c>
      <c r="G4684" t="s">
        <v>33</v>
      </c>
      <c r="H4684">
        <v>111.89</v>
      </c>
    </row>
    <row r="4685" spans="1:8" x14ac:dyDescent="0.3">
      <c r="A4685">
        <v>202304</v>
      </c>
      <c r="B4685" s="1">
        <v>45017</v>
      </c>
      <c r="C4685">
        <v>2023</v>
      </c>
      <c r="D4685" t="s">
        <v>11</v>
      </c>
      <c r="E4685" t="s">
        <v>36</v>
      </c>
      <c r="F4685" t="s">
        <v>40</v>
      </c>
      <c r="G4685" t="s">
        <v>33</v>
      </c>
      <c r="H4685">
        <v>155.65</v>
      </c>
    </row>
    <row r="4686" spans="1:8" x14ac:dyDescent="0.3">
      <c r="A4686">
        <v>202305</v>
      </c>
      <c r="B4686" s="1">
        <v>45047</v>
      </c>
      <c r="C4686">
        <v>2023</v>
      </c>
      <c r="D4686" t="s">
        <v>12</v>
      </c>
      <c r="E4686" t="s">
        <v>36</v>
      </c>
      <c r="F4686" t="s">
        <v>40</v>
      </c>
      <c r="G4686" t="s">
        <v>33</v>
      </c>
      <c r="H4686">
        <v>134.59</v>
      </c>
    </row>
    <row r="4687" spans="1:8" x14ac:dyDescent="0.3">
      <c r="A4687">
        <v>202306</v>
      </c>
      <c r="B4687" s="1">
        <v>45078</v>
      </c>
      <c r="C4687">
        <v>2023</v>
      </c>
      <c r="D4687" t="s">
        <v>13</v>
      </c>
      <c r="E4687" t="s">
        <v>36</v>
      </c>
      <c r="F4687" t="s">
        <v>40</v>
      </c>
      <c r="G4687" t="s">
        <v>33</v>
      </c>
      <c r="H4687">
        <v>99.42</v>
      </c>
    </row>
    <row r="4688" spans="1:8" x14ac:dyDescent="0.3">
      <c r="A4688">
        <v>202307</v>
      </c>
      <c r="B4688" s="1">
        <v>45108</v>
      </c>
      <c r="C4688">
        <v>2023</v>
      </c>
      <c r="D4688" t="s">
        <v>14</v>
      </c>
      <c r="E4688" t="s">
        <v>36</v>
      </c>
      <c r="F4688" t="s">
        <v>40</v>
      </c>
      <c r="G4688" t="s">
        <v>33</v>
      </c>
      <c r="H4688">
        <v>130.88999999999999</v>
      </c>
    </row>
    <row r="4689" spans="1:8" x14ac:dyDescent="0.3">
      <c r="A4689">
        <v>202308</v>
      </c>
      <c r="B4689" s="1">
        <v>45139</v>
      </c>
      <c r="C4689">
        <v>2023</v>
      </c>
      <c r="D4689" t="s">
        <v>15</v>
      </c>
      <c r="E4689" t="s">
        <v>36</v>
      </c>
      <c r="F4689" t="s">
        <v>40</v>
      </c>
      <c r="G4689" t="s">
        <v>33</v>
      </c>
      <c r="H4689">
        <v>121.09</v>
      </c>
    </row>
    <row r="4690" spans="1:8" x14ac:dyDescent="0.3">
      <c r="A4690">
        <v>202309</v>
      </c>
      <c r="B4690" s="1">
        <v>45170</v>
      </c>
      <c r="C4690">
        <v>2023</v>
      </c>
      <c r="D4690" t="s">
        <v>16</v>
      </c>
      <c r="E4690" t="s">
        <v>36</v>
      </c>
      <c r="F4690" t="s">
        <v>40</v>
      </c>
      <c r="G4690" t="s">
        <v>33</v>
      </c>
      <c r="H4690">
        <v>97.93</v>
      </c>
    </row>
    <row r="4691" spans="1:8" x14ac:dyDescent="0.3">
      <c r="A4691">
        <v>202310</v>
      </c>
      <c r="B4691" s="1">
        <v>45200</v>
      </c>
      <c r="C4691">
        <v>2023</v>
      </c>
      <c r="D4691" t="s">
        <v>17</v>
      </c>
      <c r="E4691" t="s">
        <v>36</v>
      </c>
      <c r="F4691" t="s">
        <v>40</v>
      </c>
      <c r="G4691" t="s">
        <v>33</v>
      </c>
      <c r="H4691">
        <v>166.58</v>
      </c>
    </row>
    <row r="4692" spans="1:8" x14ac:dyDescent="0.3">
      <c r="A4692">
        <v>202311</v>
      </c>
      <c r="B4692" s="1">
        <v>45231</v>
      </c>
      <c r="C4692">
        <v>2023</v>
      </c>
      <c r="D4692" t="s">
        <v>18</v>
      </c>
      <c r="E4692" t="s">
        <v>36</v>
      </c>
      <c r="F4692" t="s">
        <v>40</v>
      </c>
      <c r="G4692" t="s">
        <v>33</v>
      </c>
      <c r="H4692">
        <v>157.66</v>
      </c>
    </row>
    <row r="4693" spans="1:8" x14ac:dyDescent="0.3">
      <c r="A4693">
        <v>202312</v>
      </c>
      <c r="B4693" s="1">
        <v>45261</v>
      </c>
      <c r="C4693">
        <v>2023</v>
      </c>
      <c r="D4693" t="s">
        <v>19</v>
      </c>
      <c r="E4693" t="s">
        <v>36</v>
      </c>
      <c r="F4693" t="s">
        <v>40</v>
      </c>
      <c r="G4693" t="s">
        <v>33</v>
      </c>
      <c r="H4693">
        <v>134</v>
      </c>
    </row>
    <row r="4694" spans="1:8" x14ac:dyDescent="0.3">
      <c r="A4694">
        <v>202301</v>
      </c>
      <c r="B4694" s="1">
        <v>44927</v>
      </c>
      <c r="C4694">
        <v>2023</v>
      </c>
      <c r="D4694" t="s">
        <v>6</v>
      </c>
      <c r="E4694" t="s">
        <v>37</v>
      </c>
      <c r="F4694" t="s">
        <v>40</v>
      </c>
      <c r="G4694" t="s">
        <v>33</v>
      </c>
      <c r="H4694">
        <v>454.63</v>
      </c>
    </row>
    <row r="4695" spans="1:8" x14ac:dyDescent="0.3">
      <c r="A4695">
        <v>202302</v>
      </c>
      <c r="B4695" s="1">
        <v>44958</v>
      </c>
      <c r="C4695">
        <v>2023</v>
      </c>
      <c r="D4695" t="s">
        <v>9</v>
      </c>
      <c r="E4695" t="s">
        <v>37</v>
      </c>
      <c r="F4695" t="s">
        <v>40</v>
      </c>
      <c r="G4695" t="s">
        <v>33</v>
      </c>
      <c r="H4695">
        <v>251.31</v>
      </c>
    </row>
    <row r="4696" spans="1:8" x14ac:dyDescent="0.3">
      <c r="A4696">
        <v>202303</v>
      </c>
      <c r="B4696" s="1">
        <v>44986</v>
      </c>
      <c r="C4696">
        <v>2023</v>
      </c>
      <c r="D4696" t="s">
        <v>10</v>
      </c>
      <c r="E4696" t="s">
        <v>37</v>
      </c>
      <c r="F4696" t="s">
        <v>40</v>
      </c>
      <c r="G4696" t="s">
        <v>33</v>
      </c>
      <c r="H4696">
        <v>328.69</v>
      </c>
    </row>
    <row r="4697" spans="1:8" x14ac:dyDescent="0.3">
      <c r="A4697">
        <v>202304</v>
      </c>
      <c r="B4697" s="1">
        <v>45017</v>
      </c>
      <c r="C4697">
        <v>2023</v>
      </c>
      <c r="D4697" t="s">
        <v>11</v>
      </c>
      <c r="E4697" t="s">
        <v>37</v>
      </c>
      <c r="F4697" t="s">
        <v>40</v>
      </c>
      <c r="G4697" t="s">
        <v>33</v>
      </c>
      <c r="H4697">
        <v>364.82</v>
      </c>
    </row>
    <row r="4698" spans="1:8" x14ac:dyDescent="0.3">
      <c r="A4698">
        <v>202305</v>
      </c>
      <c r="B4698" s="1">
        <v>45047</v>
      </c>
      <c r="C4698">
        <v>2023</v>
      </c>
      <c r="D4698" t="s">
        <v>12</v>
      </c>
      <c r="E4698" t="s">
        <v>37</v>
      </c>
      <c r="F4698" t="s">
        <v>40</v>
      </c>
      <c r="G4698" t="s">
        <v>33</v>
      </c>
      <c r="H4698">
        <v>304.70999999999998</v>
      </c>
    </row>
    <row r="4699" spans="1:8" x14ac:dyDescent="0.3">
      <c r="A4699">
        <v>202306</v>
      </c>
      <c r="B4699" s="1">
        <v>45078</v>
      </c>
      <c r="C4699">
        <v>2023</v>
      </c>
      <c r="D4699" t="s">
        <v>13</v>
      </c>
      <c r="E4699" t="s">
        <v>37</v>
      </c>
      <c r="F4699" t="s">
        <v>40</v>
      </c>
      <c r="G4699" t="s">
        <v>33</v>
      </c>
      <c r="H4699">
        <v>317.88</v>
      </c>
    </row>
    <row r="4700" spans="1:8" x14ac:dyDescent="0.3">
      <c r="A4700">
        <v>202307</v>
      </c>
      <c r="B4700" s="1">
        <v>45108</v>
      </c>
      <c r="C4700">
        <v>2023</v>
      </c>
      <c r="D4700" t="s">
        <v>14</v>
      </c>
      <c r="E4700" t="s">
        <v>37</v>
      </c>
      <c r="F4700" t="s">
        <v>40</v>
      </c>
      <c r="G4700" t="s">
        <v>33</v>
      </c>
      <c r="H4700">
        <v>255.03</v>
      </c>
    </row>
    <row r="4701" spans="1:8" x14ac:dyDescent="0.3">
      <c r="A4701">
        <v>202308</v>
      </c>
      <c r="B4701" s="1">
        <v>45139</v>
      </c>
      <c r="C4701">
        <v>2023</v>
      </c>
      <c r="D4701" t="s">
        <v>15</v>
      </c>
      <c r="E4701" t="s">
        <v>37</v>
      </c>
      <c r="F4701" t="s">
        <v>40</v>
      </c>
      <c r="G4701" t="s">
        <v>33</v>
      </c>
      <c r="H4701">
        <v>504.13</v>
      </c>
    </row>
    <row r="4702" spans="1:8" x14ac:dyDescent="0.3">
      <c r="A4702">
        <v>202309</v>
      </c>
      <c r="B4702" s="1">
        <v>45170</v>
      </c>
      <c r="C4702">
        <v>2023</v>
      </c>
      <c r="D4702" t="s">
        <v>16</v>
      </c>
      <c r="E4702" t="s">
        <v>37</v>
      </c>
      <c r="F4702" t="s">
        <v>40</v>
      </c>
      <c r="G4702" t="s">
        <v>33</v>
      </c>
      <c r="H4702">
        <v>409.46</v>
      </c>
    </row>
    <row r="4703" spans="1:8" x14ac:dyDescent="0.3">
      <c r="A4703">
        <v>202310</v>
      </c>
      <c r="B4703" s="1">
        <v>45200</v>
      </c>
      <c r="C4703">
        <v>2023</v>
      </c>
      <c r="D4703" t="s">
        <v>17</v>
      </c>
      <c r="E4703" t="s">
        <v>37</v>
      </c>
      <c r="F4703" t="s">
        <v>40</v>
      </c>
      <c r="G4703" t="s">
        <v>33</v>
      </c>
      <c r="H4703">
        <v>427.95</v>
      </c>
    </row>
    <row r="4704" spans="1:8" x14ac:dyDescent="0.3">
      <c r="A4704">
        <v>202311</v>
      </c>
      <c r="B4704" s="1">
        <v>45231</v>
      </c>
      <c r="C4704">
        <v>2023</v>
      </c>
      <c r="D4704" t="s">
        <v>18</v>
      </c>
      <c r="E4704" t="s">
        <v>37</v>
      </c>
      <c r="F4704" t="s">
        <v>40</v>
      </c>
      <c r="G4704" t="s">
        <v>33</v>
      </c>
      <c r="H4704">
        <v>306.06</v>
      </c>
    </row>
    <row r="4705" spans="1:8" x14ac:dyDescent="0.3">
      <c r="A4705">
        <v>202312</v>
      </c>
      <c r="B4705" s="1">
        <v>45261</v>
      </c>
      <c r="C4705">
        <v>2023</v>
      </c>
      <c r="D4705" t="s">
        <v>19</v>
      </c>
      <c r="E4705" t="s">
        <v>37</v>
      </c>
      <c r="F4705" t="s">
        <v>40</v>
      </c>
      <c r="G4705" t="s">
        <v>33</v>
      </c>
      <c r="H4705">
        <v>407.01</v>
      </c>
    </row>
    <row r="4706" spans="1:8" x14ac:dyDescent="0.3">
      <c r="A4706">
        <v>202301</v>
      </c>
      <c r="B4706" s="1">
        <v>44927</v>
      </c>
      <c r="C4706">
        <v>2023</v>
      </c>
      <c r="D4706" t="s">
        <v>6</v>
      </c>
      <c r="E4706" t="s">
        <v>37</v>
      </c>
      <c r="F4706" t="s">
        <v>40</v>
      </c>
      <c r="G4706" t="s">
        <v>33</v>
      </c>
      <c r="H4706">
        <v>175.41</v>
      </c>
    </row>
    <row r="4707" spans="1:8" x14ac:dyDescent="0.3">
      <c r="A4707">
        <v>202302</v>
      </c>
      <c r="B4707" s="1">
        <v>44958</v>
      </c>
      <c r="C4707">
        <v>2023</v>
      </c>
      <c r="D4707" t="s">
        <v>9</v>
      </c>
      <c r="E4707" t="s">
        <v>37</v>
      </c>
      <c r="F4707" t="s">
        <v>40</v>
      </c>
      <c r="G4707" t="s">
        <v>33</v>
      </c>
      <c r="H4707">
        <v>109.17</v>
      </c>
    </row>
    <row r="4708" spans="1:8" x14ac:dyDescent="0.3">
      <c r="A4708">
        <v>202303</v>
      </c>
      <c r="B4708" s="1">
        <v>44986</v>
      </c>
      <c r="C4708">
        <v>2023</v>
      </c>
      <c r="D4708" t="s">
        <v>10</v>
      </c>
      <c r="E4708" t="s">
        <v>37</v>
      </c>
      <c r="F4708" t="s">
        <v>40</v>
      </c>
      <c r="G4708" t="s">
        <v>33</v>
      </c>
      <c r="H4708">
        <v>134.71</v>
      </c>
    </row>
    <row r="4709" spans="1:8" x14ac:dyDescent="0.3">
      <c r="A4709">
        <v>202304</v>
      </c>
      <c r="B4709" s="1">
        <v>45017</v>
      </c>
      <c r="C4709">
        <v>2023</v>
      </c>
      <c r="D4709" t="s">
        <v>11</v>
      </c>
      <c r="E4709" t="s">
        <v>37</v>
      </c>
      <c r="F4709" t="s">
        <v>40</v>
      </c>
      <c r="G4709" t="s">
        <v>33</v>
      </c>
      <c r="H4709">
        <v>170.87</v>
      </c>
    </row>
    <row r="4710" spans="1:8" x14ac:dyDescent="0.3">
      <c r="A4710">
        <v>202305</v>
      </c>
      <c r="B4710" s="1">
        <v>45047</v>
      </c>
      <c r="C4710">
        <v>2023</v>
      </c>
      <c r="D4710" t="s">
        <v>12</v>
      </c>
      <c r="E4710" t="s">
        <v>37</v>
      </c>
      <c r="F4710" t="s">
        <v>40</v>
      </c>
      <c r="G4710" t="s">
        <v>33</v>
      </c>
      <c r="H4710">
        <v>110.76</v>
      </c>
    </row>
    <row r="4711" spans="1:8" x14ac:dyDescent="0.3">
      <c r="A4711">
        <v>202306</v>
      </c>
      <c r="B4711" s="1">
        <v>45078</v>
      </c>
      <c r="C4711">
        <v>2023</v>
      </c>
      <c r="D4711" t="s">
        <v>13</v>
      </c>
      <c r="E4711" t="s">
        <v>37</v>
      </c>
      <c r="F4711" t="s">
        <v>40</v>
      </c>
      <c r="G4711" t="s">
        <v>33</v>
      </c>
      <c r="H4711">
        <v>117.31</v>
      </c>
    </row>
    <row r="4712" spans="1:8" x14ac:dyDescent="0.3">
      <c r="A4712">
        <v>202307</v>
      </c>
      <c r="B4712" s="1">
        <v>45108</v>
      </c>
      <c r="C4712">
        <v>2023</v>
      </c>
      <c r="D4712" t="s">
        <v>14</v>
      </c>
      <c r="E4712" t="s">
        <v>37</v>
      </c>
      <c r="F4712" t="s">
        <v>40</v>
      </c>
      <c r="G4712" t="s">
        <v>33</v>
      </c>
      <c r="H4712">
        <v>150.71</v>
      </c>
    </row>
    <row r="4713" spans="1:8" x14ac:dyDescent="0.3">
      <c r="A4713">
        <v>202308</v>
      </c>
      <c r="B4713" s="1">
        <v>45139</v>
      </c>
      <c r="C4713">
        <v>2023</v>
      </c>
      <c r="D4713" t="s">
        <v>15</v>
      </c>
      <c r="E4713" t="s">
        <v>37</v>
      </c>
      <c r="F4713" t="s">
        <v>40</v>
      </c>
      <c r="G4713" t="s">
        <v>33</v>
      </c>
      <c r="H4713">
        <v>139.46</v>
      </c>
    </row>
    <row r="4714" spans="1:8" x14ac:dyDescent="0.3">
      <c r="A4714">
        <v>202309</v>
      </c>
      <c r="B4714" s="1">
        <v>45170</v>
      </c>
      <c r="C4714">
        <v>2023</v>
      </c>
      <c r="D4714" t="s">
        <v>16</v>
      </c>
      <c r="E4714" t="s">
        <v>37</v>
      </c>
      <c r="F4714" t="s">
        <v>40</v>
      </c>
      <c r="G4714" t="s">
        <v>33</v>
      </c>
      <c r="H4714">
        <v>128.11000000000001</v>
      </c>
    </row>
    <row r="4715" spans="1:8" x14ac:dyDescent="0.3">
      <c r="A4715">
        <v>202310</v>
      </c>
      <c r="B4715" s="1">
        <v>45200</v>
      </c>
      <c r="C4715">
        <v>2023</v>
      </c>
      <c r="D4715" t="s">
        <v>17</v>
      </c>
      <c r="E4715" t="s">
        <v>37</v>
      </c>
      <c r="F4715" t="s">
        <v>40</v>
      </c>
      <c r="G4715" t="s">
        <v>33</v>
      </c>
      <c r="H4715">
        <v>158.51</v>
      </c>
    </row>
    <row r="4716" spans="1:8" x14ac:dyDescent="0.3">
      <c r="A4716">
        <v>202311</v>
      </c>
      <c r="B4716" s="1">
        <v>45231</v>
      </c>
      <c r="C4716">
        <v>2023</v>
      </c>
      <c r="D4716" t="s">
        <v>18</v>
      </c>
      <c r="E4716" t="s">
        <v>37</v>
      </c>
      <c r="F4716" t="s">
        <v>40</v>
      </c>
      <c r="G4716" t="s">
        <v>33</v>
      </c>
      <c r="H4716">
        <v>132.65</v>
      </c>
    </row>
    <row r="4717" spans="1:8" x14ac:dyDescent="0.3">
      <c r="A4717">
        <v>202312</v>
      </c>
      <c r="B4717" s="1">
        <v>45261</v>
      </c>
      <c r="C4717">
        <v>2023</v>
      </c>
      <c r="D4717" t="s">
        <v>19</v>
      </c>
      <c r="E4717" t="s">
        <v>37</v>
      </c>
      <c r="F4717" t="s">
        <v>40</v>
      </c>
      <c r="G4717" t="s">
        <v>33</v>
      </c>
      <c r="H4717">
        <v>115.86</v>
      </c>
    </row>
    <row r="4718" spans="1:8" x14ac:dyDescent="0.3">
      <c r="A4718">
        <v>202301</v>
      </c>
      <c r="B4718" s="1">
        <v>44927</v>
      </c>
      <c r="C4718">
        <v>2023</v>
      </c>
      <c r="D4718" t="s">
        <v>6</v>
      </c>
      <c r="E4718" t="s">
        <v>37</v>
      </c>
      <c r="F4718" t="s">
        <v>40</v>
      </c>
      <c r="G4718" t="s">
        <v>33</v>
      </c>
      <c r="H4718">
        <v>227.41</v>
      </c>
    </row>
    <row r="4719" spans="1:8" x14ac:dyDescent="0.3">
      <c r="A4719">
        <v>202302</v>
      </c>
      <c r="B4719" s="1">
        <v>44958</v>
      </c>
      <c r="C4719">
        <v>2023</v>
      </c>
      <c r="D4719" t="s">
        <v>9</v>
      </c>
      <c r="E4719" t="s">
        <v>37</v>
      </c>
      <c r="F4719" t="s">
        <v>40</v>
      </c>
      <c r="G4719" t="s">
        <v>33</v>
      </c>
      <c r="H4719">
        <v>135.35</v>
      </c>
    </row>
    <row r="4720" spans="1:8" x14ac:dyDescent="0.3">
      <c r="A4720">
        <v>202303</v>
      </c>
      <c r="B4720" s="1">
        <v>44986</v>
      </c>
      <c r="C4720">
        <v>2023</v>
      </c>
      <c r="D4720" t="s">
        <v>10</v>
      </c>
      <c r="E4720" t="s">
        <v>37</v>
      </c>
      <c r="F4720" t="s">
        <v>40</v>
      </c>
      <c r="G4720" t="s">
        <v>33</v>
      </c>
      <c r="H4720">
        <v>174.34</v>
      </c>
    </row>
    <row r="4721" spans="1:8" x14ac:dyDescent="0.3">
      <c r="A4721">
        <v>202304</v>
      </c>
      <c r="B4721" s="1">
        <v>45017</v>
      </c>
      <c r="C4721">
        <v>2023</v>
      </c>
      <c r="D4721" t="s">
        <v>11</v>
      </c>
      <c r="E4721" t="s">
        <v>37</v>
      </c>
      <c r="F4721" t="s">
        <v>40</v>
      </c>
      <c r="G4721" t="s">
        <v>33</v>
      </c>
      <c r="H4721">
        <v>207.41</v>
      </c>
    </row>
    <row r="4722" spans="1:8" x14ac:dyDescent="0.3">
      <c r="A4722">
        <v>202305</v>
      </c>
      <c r="B4722" s="1">
        <v>45047</v>
      </c>
      <c r="C4722">
        <v>2023</v>
      </c>
      <c r="D4722" t="s">
        <v>12</v>
      </c>
      <c r="E4722" t="s">
        <v>37</v>
      </c>
      <c r="F4722" t="s">
        <v>40</v>
      </c>
      <c r="G4722" t="s">
        <v>33</v>
      </c>
      <c r="H4722">
        <v>205.68</v>
      </c>
    </row>
    <row r="4723" spans="1:8" x14ac:dyDescent="0.3">
      <c r="A4723">
        <v>202306</v>
      </c>
      <c r="B4723" s="1">
        <v>45078</v>
      </c>
      <c r="C4723">
        <v>2023</v>
      </c>
      <c r="D4723" t="s">
        <v>13</v>
      </c>
      <c r="E4723" t="s">
        <v>37</v>
      </c>
      <c r="F4723" t="s">
        <v>40</v>
      </c>
      <c r="G4723" t="s">
        <v>33</v>
      </c>
      <c r="H4723">
        <v>162.97999999999999</v>
      </c>
    </row>
    <row r="4724" spans="1:8" x14ac:dyDescent="0.3">
      <c r="A4724">
        <v>202307</v>
      </c>
      <c r="B4724" s="1">
        <v>45108</v>
      </c>
      <c r="C4724">
        <v>2023</v>
      </c>
      <c r="D4724" t="s">
        <v>14</v>
      </c>
      <c r="E4724" t="s">
        <v>37</v>
      </c>
      <c r="F4724" t="s">
        <v>40</v>
      </c>
      <c r="G4724" t="s">
        <v>33</v>
      </c>
      <c r="H4724">
        <v>227.8</v>
      </c>
    </row>
    <row r="4725" spans="1:8" x14ac:dyDescent="0.3">
      <c r="A4725">
        <v>202308</v>
      </c>
      <c r="B4725" s="1">
        <v>45139</v>
      </c>
      <c r="C4725">
        <v>2023</v>
      </c>
      <c r="D4725" t="s">
        <v>15</v>
      </c>
      <c r="E4725" t="s">
        <v>37</v>
      </c>
      <c r="F4725" t="s">
        <v>40</v>
      </c>
      <c r="G4725" t="s">
        <v>33</v>
      </c>
      <c r="H4725">
        <v>174.61</v>
      </c>
    </row>
    <row r="4726" spans="1:8" x14ac:dyDescent="0.3">
      <c r="A4726">
        <v>202309</v>
      </c>
      <c r="B4726" s="1">
        <v>45170</v>
      </c>
      <c r="C4726">
        <v>2023</v>
      </c>
      <c r="D4726" t="s">
        <v>16</v>
      </c>
      <c r="E4726" t="s">
        <v>37</v>
      </c>
      <c r="F4726" t="s">
        <v>40</v>
      </c>
      <c r="G4726" t="s">
        <v>33</v>
      </c>
      <c r="H4726">
        <v>166.29</v>
      </c>
    </row>
    <row r="4727" spans="1:8" x14ac:dyDescent="0.3">
      <c r="A4727">
        <v>202310</v>
      </c>
      <c r="B4727" s="1">
        <v>45200</v>
      </c>
      <c r="C4727">
        <v>2023</v>
      </c>
      <c r="D4727" t="s">
        <v>17</v>
      </c>
      <c r="E4727" t="s">
        <v>37</v>
      </c>
      <c r="F4727" t="s">
        <v>40</v>
      </c>
      <c r="G4727" t="s">
        <v>33</v>
      </c>
      <c r="H4727">
        <v>242.35</v>
      </c>
    </row>
    <row r="4728" spans="1:8" x14ac:dyDescent="0.3">
      <c r="A4728">
        <v>202311</v>
      </c>
      <c r="B4728" s="1">
        <v>45231</v>
      </c>
      <c r="C4728">
        <v>2023</v>
      </c>
      <c r="D4728" t="s">
        <v>18</v>
      </c>
      <c r="E4728" t="s">
        <v>37</v>
      </c>
      <c r="F4728" t="s">
        <v>40</v>
      </c>
      <c r="G4728" t="s">
        <v>33</v>
      </c>
      <c r="H4728">
        <v>176.01</v>
      </c>
    </row>
    <row r="4729" spans="1:8" x14ac:dyDescent="0.3">
      <c r="A4729">
        <v>202312</v>
      </c>
      <c r="B4729" s="1">
        <v>45261</v>
      </c>
      <c r="C4729">
        <v>2023</v>
      </c>
      <c r="D4729" t="s">
        <v>19</v>
      </c>
      <c r="E4729" t="s">
        <v>37</v>
      </c>
      <c r="F4729" t="s">
        <v>40</v>
      </c>
      <c r="G4729" t="s">
        <v>33</v>
      </c>
      <c r="H4729">
        <v>175.22</v>
      </c>
    </row>
    <row r="4730" spans="1:8" x14ac:dyDescent="0.3">
      <c r="A4730">
        <v>202301</v>
      </c>
      <c r="B4730" s="1">
        <v>44927</v>
      </c>
      <c r="C4730">
        <v>2023</v>
      </c>
      <c r="D4730" t="s">
        <v>6</v>
      </c>
      <c r="E4730" t="s">
        <v>37</v>
      </c>
      <c r="F4730" t="s">
        <v>40</v>
      </c>
      <c r="G4730" t="s">
        <v>33</v>
      </c>
      <c r="H4730">
        <v>153.13999999999999</v>
      </c>
    </row>
    <row r="4731" spans="1:8" x14ac:dyDescent="0.3">
      <c r="A4731">
        <v>202302</v>
      </c>
      <c r="B4731" s="1">
        <v>44958</v>
      </c>
      <c r="C4731">
        <v>2023</v>
      </c>
      <c r="D4731" t="s">
        <v>9</v>
      </c>
      <c r="E4731" t="s">
        <v>37</v>
      </c>
      <c r="F4731" t="s">
        <v>40</v>
      </c>
      <c r="G4731" t="s">
        <v>33</v>
      </c>
      <c r="H4731">
        <v>93.45</v>
      </c>
    </row>
    <row r="4732" spans="1:8" x14ac:dyDescent="0.3">
      <c r="A4732">
        <v>202303</v>
      </c>
      <c r="B4732" s="1">
        <v>44986</v>
      </c>
      <c r="C4732">
        <v>2023</v>
      </c>
      <c r="D4732" t="s">
        <v>10</v>
      </c>
      <c r="E4732" t="s">
        <v>37</v>
      </c>
      <c r="F4732" t="s">
        <v>40</v>
      </c>
      <c r="G4732" t="s">
        <v>33</v>
      </c>
      <c r="H4732">
        <v>112.7</v>
      </c>
    </row>
    <row r="4733" spans="1:8" x14ac:dyDescent="0.3">
      <c r="A4733">
        <v>202304</v>
      </c>
      <c r="B4733" s="1">
        <v>45017</v>
      </c>
      <c r="C4733">
        <v>2023</v>
      </c>
      <c r="D4733" t="s">
        <v>11</v>
      </c>
      <c r="E4733" t="s">
        <v>37</v>
      </c>
      <c r="F4733" t="s">
        <v>40</v>
      </c>
      <c r="G4733" t="s">
        <v>33</v>
      </c>
      <c r="H4733">
        <v>153.25</v>
      </c>
    </row>
    <row r="4734" spans="1:8" x14ac:dyDescent="0.3">
      <c r="A4734">
        <v>202305</v>
      </c>
      <c r="B4734" s="1">
        <v>45047</v>
      </c>
      <c r="C4734">
        <v>2023</v>
      </c>
      <c r="D4734" t="s">
        <v>12</v>
      </c>
      <c r="E4734" t="s">
        <v>37</v>
      </c>
      <c r="F4734" t="s">
        <v>40</v>
      </c>
      <c r="G4734" t="s">
        <v>33</v>
      </c>
      <c r="H4734">
        <v>141.46</v>
      </c>
    </row>
    <row r="4735" spans="1:8" x14ac:dyDescent="0.3">
      <c r="A4735">
        <v>202306</v>
      </c>
      <c r="B4735" s="1">
        <v>45078</v>
      </c>
      <c r="C4735">
        <v>2023</v>
      </c>
      <c r="D4735" t="s">
        <v>13</v>
      </c>
      <c r="E4735" t="s">
        <v>37</v>
      </c>
      <c r="F4735" t="s">
        <v>40</v>
      </c>
      <c r="G4735" t="s">
        <v>33</v>
      </c>
      <c r="H4735">
        <v>129.91999999999999</v>
      </c>
    </row>
    <row r="4736" spans="1:8" x14ac:dyDescent="0.3">
      <c r="A4736">
        <v>202307</v>
      </c>
      <c r="B4736" s="1">
        <v>45108</v>
      </c>
      <c r="C4736">
        <v>2023</v>
      </c>
      <c r="D4736" t="s">
        <v>14</v>
      </c>
      <c r="E4736" t="s">
        <v>37</v>
      </c>
      <c r="F4736" t="s">
        <v>40</v>
      </c>
      <c r="G4736" t="s">
        <v>33</v>
      </c>
      <c r="H4736">
        <v>175.69</v>
      </c>
    </row>
    <row r="4737" spans="1:8" x14ac:dyDescent="0.3">
      <c r="A4737">
        <v>202308</v>
      </c>
      <c r="B4737" s="1">
        <v>45139</v>
      </c>
      <c r="C4737">
        <v>2023</v>
      </c>
      <c r="D4737" t="s">
        <v>15</v>
      </c>
      <c r="E4737" t="s">
        <v>37</v>
      </c>
      <c r="F4737" t="s">
        <v>40</v>
      </c>
      <c r="G4737" t="s">
        <v>33</v>
      </c>
      <c r="H4737">
        <v>150.1</v>
      </c>
    </row>
    <row r="4738" spans="1:8" x14ac:dyDescent="0.3">
      <c r="A4738">
        <v>202309</v>
      </c>
      <c r="B4738" s="1">
        <v>45170</v>
      </c>
      <c r="C4738">
        <v>2023</v>
      </c>
      <c r="D4738" t="s">
        <v>16</v>
      </c>
      <c r="E4738" t="s">
        <v>37</v>
      </c>
      <c r="F4738" t="s">
        <v>40</v>
      </c>
      <c r="G4738" t="s">
        <v>33</v>
      </c>
      <c r="H4738">
        <v>155.72</v>
      </c>
    </row>
    <row r="4739" spans="1:8" x14ac:dyDescent="0.3">
      <c r="A4739">
        <v>202310</v>
      </c>
      <c r="B4739" s="1">
        <v>45200</v>
      </c>
      <c r="C4739">
        <v>2023</v>
      </c>
      <c r="D4739" t="s">
        <v>17</v>
      </c>
      <c r="E4739" t="s">
        <v>37</v>
      </c>
      <c r="F4739" t="s">
        <v>40</v>
      </c>
      <c r="G4739" t="s">
        <v>33</v>
      </c>
      <c r="H4739">
        <v>174.67</v>
      </c>
    </row>
    <row r="4740" spans="1:8" x14ac:dyDescent="0.3">
      <c r="A4740">
        <v>202311</v>
      </c>
      <c r="B4740" s="1">
        <v>45231</v>
      </c>
      <c r="C4740">
        <v>2023</v>
      </c>
      <c r="D4740" t="s">
        <v>18</v>
      </c>
      <c r="E4740" t="s">
        <v>37</v>
      </c>
      <c r="F4740" t="s">
        <v>40</v>
      </c>
      <c r="G4740" t="s">
        <v>33</v>
      </c>
      <c r="H4740">
        <v>142.55000000000001</v>
      </c>
    </row>
    <row r="4741" spans="1:8" x14ac:dyDescent="0.3">
      <c r="A4741">
        <v>202312</v>
      </c>
      <c r="B4741" s="1">
        <v>45261</v>
      </c>
      <c r="C4741">
        <v>2023</v>
      </c>
      <c r="D4741" t="s">
        <v>19</v>
      </c>
      <c r="E4741" t="s">
        <v>37</v>
      </c>
      <c r="F4741" t="s">
        <v>40</v>
      </c>
      <c r="G4741" t="s">
        <v>33</v>
      </c>
      <c r="H4741">
        <v>130.65</v>
      </c>
    </row>
    <row r="4742" spans="1:8" x14ac:dyDescent="0.3">
      <c r="A4742">
        <v>202301</v>
      </c>
      <c r="B4742" s="1">
        <v>44927</v>
      </c>
      <c r="C4742">
        <v>2023</v>
      </c>
      <c r="D4742" t="s">
        <v>6</v>
      </c>
      <c r="E4742" t="s">
        <v>38</v>
      </c>
      <c r="F4742" t="s">
        <v>40</v>
      </c>
      <c r="G4742" t="s">
        <v>33</v>
      </c>
      <c r="H4742">
        <v>49.98</v>
      </c>
    </row>
    <row r="4743" spans="1:8" x14ac:dyDescent="0.3">
      <c r="A4743">
        <v>202302</v>
      </c>
      <c r="B4743" s="1">
        <v>44958</v>
      </c>
      <c r="C4743">
        <v>2023</v>
      </c>
      <c r="D4743" t="s">
        <v>9</v>
      </c>
      <c r="E4743" t="s">
        <v>38</v>
      </c>
      <c r="F4743" t="s">
        <v>40</v>
      </c>
      <c r="G4743" t="s">
        <v>33</v>
      </c>
      <c r="H4743">
        <v>17.170000000000002</v>
      </c>
    </row>
    <row r="4744" spans="1:8" x14ac:dyDescent="0.3">
      <c r="A4744">
        <v>202303</v>
      </c>
      <c r="B4744" s="1">
        <v>44986</v>
      </c>
      <c r="C4744">
        <v>2023</v>
      </c>
      <c r="D4744" t="s">
        <v>10</v>
      </c>
      <c r="E4744" t="s">
        <v>38</v>
      </c>
      <c r="F4744" t="s">
        <v>40</v>
      </c>
      <c r="G4744" t="s">
        <v>33</v>
      </c>
      <c r="H4744">
        <v>25.92</v>
      </c>
    </row>
    <row r="4745" spans="1:8" x14ac:dyDescent="0.3">
      <c r="A4745">
        <v>202304</v>
      </c>
      <c r="B4745" s="1">
        <v>45017</v>
      </c>
      <c r="C4745">
        <v>2023</v>
      </c>
      <c r="D4745" t="s">
        <v>11</v>
      </c>
      <c r="E4745" t="s">
        <v>38</v>
      </c>
      <c r="F4745" t="s">
        <v>40</v>
      </c>
      <c r="G4745" t="s">
        <v>33</v>
      </c>
      <c r="H4745">
        <v>36.75</v>
      </c>
    </row>
    <row r="4746" spans="1:8" x14ac:dyDescent="0.3">
      <c r="A4746">
        <v>202305</v>
      </c>
      <c r="B4746" s="1">
        <v>45047</v>
      </c>
      <c r="C4746">
        <v>2023</v>
      </c>
      <c r="D4746" t="s">
        <v>12</v>
      </c>
      <c r="E4746" t="s">
        <v>38</v>
      </c>
      <c r="F4746" t="s">
        <v>40</v>
      </c>
      <c r="G4746" t="s">
        <v>33</v>
      </c>
      <c r="H4746">
        <v>39.06</v>
      </c>
    </row>
    <row r="4747" spans="1:8" x14ac:dyDescent="0.3">
      <c r="A4747">
        <v>202306</v>
      </c>
      <c r="B4747" s="1">
        <v>45078</v>
      </c>
      <c r="C4747">
        <v>2023</v>
      </c>
      <c r="D4747" t="s">
        <v>13</v>
      </c>
      <c r="E4747" t="s">
        <v>38</v>
      </c>
      <c r="F4747" t="s">
        <v>40</v>
      </c>
      <c r="G4747" t="s">
        <v>33</v>
      </c>
      <c r="H4747">
        <v>27.44</v>
      </c>
    </row>
    <row r="4748" spans="1:8" x14ac:dyDescent="0.3">
      <c r="A4748">
        <v>202307</v>
      </c>
      <c r="B4748" s="1">
        <v>45108</v>
      </c>
      <c r="C4748">
        <v>2023</v>
      </c>
      <c r="D4748" t="s">
        <v>14</v>
      </c>
      <c r="E4748" t="s">
        <v>38</v>
      </c>
      <c r="F4748" t="s">
        <v>40</v>
      </c>
      <c r="G4748" t="s">
        <v>33</v>
      </c>
      <c r="H4748">
        <v>33.25</v>
      </c>
    </row>
    <row r="4749" spans="1:8" x14ac:dyDescent="0.3">
      <c r="A4749">
        <v>202308</v>
      </c>
      <c r="B4749" s="1">
        <v>45139</v>
      </c>
      <c r="C4749">
        <v>2023</v>
      </c>
      <c r="D4749" t="s">
        <v>15</v>
      </c>
      <c r="E4749" t="s">
        <v>38</v>
      </c>
      <c r="F4749" t="s">
        <v>40</v>
      </c>
      <c r="G4749" t="s">
        <v>33</v>
      </c>
      <c r="H4749">
        <v>31.64</v>
      </c>
    </row>
    <row r="4750" spans="1:8" x14ac:dyDescent="0.3">
      <c r="A4750">
        <v>202309</v>
      </c>
      <c r="B4750" s="1">
        <v>45170</v>
      </c>
      <c r="C4750">
        <v>2023</v>
      </c>
      <c r="D4750" t="s">
        <v>16</v>
      </c>
      <c r="E4750" t="s">
        <v>38</v>
      </c>
      <c r="F4750" t="s">
        <v>40</v>
      </c>
      <c r="G4750" t="s">
        <v>33</v>
      </c>
      <c r="H4750">
        <v>30.21</v>
      </c>
    </row>
    <row r="4751" spans="1:8" x14ac:dyDescent="0.3">
      <c r="A4751">
        <v>202310</v>
      </c>
      <c r="B4751" s="1">
        <v>45200</v>
      </c>
      <c r="C4751">
        <v>2023</v>
      </c>
      <c r="D4751" t="s">
        <v>17</v>
      </c>
      <c r="E4751" t="s">
        <v>38</v>
      </c>
      <c r="F4751" t="s">
        <v>40</v>
      </c>
      <c r="G4751" t="s">
        <v>33</v>
      </c>
      <c r="H4751">
        <v>40.840000000000003</v>
      </c>
    </row>
    <row r="4752" spans="1:8" x14ac:dyDescent="0.3">
      <c r="A4752">
        <v>202311</v>
      </c>
      <c r="B4752" s="1">
        <v>45231</v>
      </c>
      <c r="C4752">
        <v>2023</v>
      </c>
      <c r="D4752" t="s">
        <v>18</v>
      </c>
      <c r="E4752" t="s">
        <v>38</v>
      </c>
      <c r="F4752" t="s">
        <v>40</v>
      </c>
      <c r="G4752" t="s">
        <v>33</v>
      </c>
      <c r="H4752">
        <v>27.64</v>
      </c>
    </row>
    <row r="4753" spans="1:8" x14ac:dyDescent="0.3">
      <c r="A4753">
        <v>202312</v>
      </c>
      <c r="B4753" s="1">
        <v>45261</v>
      </c>
      <c r="C4753">
        <v>2023</v>
      </c>
      <c r="D4753" t="s">
        <v>19</v>
      </c>
      <c r="E4753" t="s">
        <v>38</v>
      </c>
      <c r="F4753" t="s">
        <v>40</v>
      </c>
      <c r="G4753" t="s">
        <v>33</v>
      </c>
      <c r="H4753">
        <v>28.73</v>
      </c>
    </row>
    <row r="4754" spans="1:8" x14ac:dyDescent="0.3">
      <c r="A4754">
        <v>202301</v>
      </c>
      <c r="B4754" s="1">
        <v>44927</v>
      </c>
      <c r="C4754">
        <v>2023</v>
      </c>
      <c r="D4754" t="s">
        <v>6</v>
      </c>
      <c r="E4754" t="s">
        <v>38</v>
      </c>
      <c r="F4754" t="s">
        <v>40</v>
      </c>
      <c r="G4754" t="s">
        <v>33</v>
      </c>
      <c r="H4754">
        <v>93.48</v>
      </c>
    </row>
    <row r="4755" spans="1:8" x14ac:dyDescent="0.3">
      <c r="A4755">
        <v>202302</v>
      </c>
      <c r="B4755" s="1">
        <v>44958</v>
      </c>
      <c r="C4755">
        <v>2023</v>
      </c>
      <c r="D4755" t="s">
        <v>9</v>
      </c>
      <c r="E4755" t="s">
        <v>38</v>
      </c>
      <c r="F4755" t="s">
        <v>40</v>
      </c>
      <c r="G4755" t="s">
        <v>33</v>
      </c>
      <c r="H4755">
        <v>62.39</v>
      </c>
    </row>
    <row r="4756" spans="1:8" x14ac:dyDescent="0.3">
      <c r="A4756">
        <v>202303</v>
      </c>
      <c r="B4756" s="1">
        <v>44986</v>
      </c>
      <c r="C4756">
        <v>2023</v>
      </c>
      <c r="D4756" t="s">
        <v>10</v>
      </c>
      <c r="E4756" t="s">
        <v>38</v>
      </c>
      <c r="F4756" t="s">
        <v>40</v>
      </c>
      <c r="G4756" t="s">
        <v>33</v>
      </c>
      <c r="H4756">
        <v>67.040000000000006</v>
      </c>
    </row>
    <row r="4757" spans="1:8" x14ac:dyDescent="0.3">
      <c r="A4757">
        <v>202304</v>
      </c>
      <c r="B4757" s="1">
        <v>45017</v>
      </c>
      <c r="C4757">
        <v>2023</v>
      </c>
      <c r="D4757" t="s">
        <v>11</v>
      </c>
      <c r="E4757" t="s">
        <v>38</v>
      </c>
      <c r="F4757" t="s">
        <v>40</v>
      </c>
      <c r="G4757" t="s">
        <v>33</v>
      </c>
      <c r="H4757">
        <v>93.95</v>
      </c>
    </row>
    <row r="4758" spans="1:8" x14ac:dyDescent="0.3">
      <c r="A4758">
        <v>202305</v>
      </c>
      <c r="B4758" s="1">
        <v>45047</v>
      </c>
      <c r="C4758">
        <v>2023</v>
      </c>
      <c r="D4758" t="s">
        <v>12</v>
      </c>
      <c r="E4758" t="s">
        <v>38</v>
      </c>
      <c r="F4758" t="s">
        <v>40</v>
      </c>
      <c r="G4758" t="s">
        <v>33</v>
      </c>
      <c r="H4758">
        <v>90.72</v>
      </c>
    </row>
    <row r="4759" spans="1:8" x14ac:dyDescent="0.3">
      <c r="A4759">
        <v>202306</v>
      </c>
      <c r="B4759" s="1">
        <v>45078</v>
      </c>
      <c r="C4759">
        <v>2023</v>
      </c>
      <c r="D4759" t="s">
        <v>13</v>
      </c>
      <c r="E4759" t="s">
        <v>38</v>
      </c>
      <c r="F4759" t="s">
        <v>40</v>
      </c>
      <c r="G4759" t="s">
        <v>33</v>
      </c>
      <c r="H4759">
        <v>85.05</v>
      </c>
    </row>
    <row r="4760" spans="1:8" x14ac:dyDescent="0.3">
      <c r="A4760">
        <v>202307</v>
      </c>
      <c r="B4760" s="1">
        <v>45108</v>
      </c>
      <c r="C4760">
        <v>2023</v>
      </c>
      <c r="D4760" t="s">
        <v>14</v>
      </c>
      <c r="E4760" t="s">
        <v>38</v>
      </c>
      <c r="F4760" t="s">
        <v>40</v>
      </c>
      <c r="G4760" t="s">
        <v>33</v>
      </c>
      <c r="H4760">
        <v>81.77</v>
      </c>
    </row>
    <row r="4761" spans="1:8" x14ac:dyDescent="0.3">
      <c r="A4761">
        <v>202308</v>
      </c>
      <c r="B4761" s="1">
        <v>45139</v>
      </c>
      <c r="C4761">
        <v>2023</v>
      </c>
      <c r="D4761" t="s">
        <v>15</v>
      </c>
      <c r="E4761" t="s">
        <v>38</v>
      </c>
      <c r="F4761" t="s">
        <v>40</v>
      </c>
      <c r="G4761" t="s">
        <v>33</v>
      </c>
      <c r="H4761">
        <v>92.03</v>
      </c>
    </row>
    <row r="4762" spans="1:8" x14ac:dyDescent="0.3">
      <c r="A4762">
        <v>202309</v>
      </c>
      <c r="B4762" s="1">
        <v>45170</v>
      </c>
      <c r="C4762">
        <v>2023</v>
      </c>
      <c r="D4762" t="s">
        <v>16</v>
      </c>
      <c r="E4762" t="s">
        <v>38</v>
      </c>
      <c r="F4762" t="s">
        <v>40</v>
      </c>
      <c r="G4762" t="s">
        <v>33</v>
      </c>
      <c r="H4762">
        <v>69.86</v>
      </c>
    </row>
    <row r="4763" spans="1:8" x14ac:dyDescent="0.3">
      <c r="A4763">
        <v>202310</v>
      </c>
      <c r="B4763" s="1">
        <v>45200</v>
      </c>
      <c r="C4763">
        <v>2023</v>
      </c>
      <c r="D4763" t="s">
        <v>17</v>
      </c>
      <c r="E4763" t="s">
        <v>38</v>
      </c>
      <c r="F4763" t="s">
        <v>40</v>
      </c>
      <c r="G4763" t="s">
        <v>33</v>
      </c>
      <c r="H4763">
        <v>92.71</v>
      </c>
    </row>
    <row r="4764" spans="1:8" x14ac:dyDescent="0.3">
      <c r="A4764">
        <v>202311</v>
      </c>
      <c r="B4764" s="1">
        <v>45231</v>
      </c>
      <c r="C4764">
        <v>2023</v>
      </c>
      <c r="D4764" t="s">
        <v>18</v>
      </c>
      <c r="E4764" t="s">
        <v>38</v>
      </c>
      <c r="F4764" t="s">
        <v>40</v>
      </c>
      <c r="G4764" t="s">
        <v>33</v>
      </c>
      <c r="H4764">
        <v>63.6</v>
      </c>
    </row>
    <row r="4765" spans="1:8" x14ac:dyDescent="0.3">
      <c r="A4765">
        <v>202312</v>
      </c>
      <c r="B4765" s="1">
        <v>45261</v>
      </c>
      <c r="C4765">
        <v>2023</v>
      </c>
      <c r="D4765" t="s">
        <v>19</v>
      </c>
      <c r="E4765" t="s">
        <v>38</v>
      </c>
      <c r="F4765" t="s">
        <v>40</v>
      </c>
      <c r="G4765" t="s">
        <v>33</v>
      </c>
      <c r="H4765">
        <v>66.34</v>
      </c>
    </row>
    <row r="4766" spans="1:8" x14ac:dyDescent="0.3">
      <c r="A4766">
        <v>202301</v>
      </c>
      <c r="B4766" s="1">
        <v>44927</v>
      </c>
      <c r="C4766">
        <v>2023</v>
      </c>
      <c r="D4766" t="s">
        <v>6</v>
      </c>
      <c r="E4766" t="s">
        <v>38</v>
      </c>
      <c r="F4766" t="s">
        <v>40</v>
      </c>
      <c r="G4766" t="s">
        <v>33</v>
      </c>
      <c r="H4766">
        <v>402.8</v>
      </c>
    </row>
    <row r="4767" spans="1:8" x14ac:dyDescent="0.3">
      <c r="A4767">
        <v>202302</v>
      </c>
      <c r="B4767" s="1">
        <v>44958</v>
      </c>
      <c r="C4767">
        <v>2023</v>
      </c>
      <c r="D4767" t="s">
        <v>9</v>
      </c>
      <c r="E4767" t="s">
        <v>38</v>
      </c>
      <c r="F4767" t="s">
        <v>40</v>
      </c>
      <c r="G4767" t="s">
        <v>33</v>
      </c>
      <c r="H4767">
        <v>177.88</v>
      </c>
    </row>
    <row r="4768" spans="1:8" x14ac:dyDescent="0.3">
      <c r="A4768">
        <v>202303</v>
      </c>
      <c r="B4768" s="1">
        <v>44986</v>
      </c>
      <c r="C4768">
        <v>2023</v>
      </c>
      <c r="D4768" t="s">
        <v>10</v>
      </c>
      <c r="E4768" t="s">
        <v>38</v>
      </c>
      <c r="F4768" t="s">
        <v>40</v>
      </c>
      <c r="G4768" t="s">
        <v>33</v>
      </c>
      <c r="H4768">
        <v>251.93</v>
      </c>
    </row>
    <row r="4769" spans="1:8" x14ac:dyDescent="0.3">
      <c r="A4769">
        <v>202304</v>
      </c>
      <c r="B4769" s="1">
        <v>45017</v>
      </c>
      <c r="C4769">
        <v>2023</v>
      </c>
      <c r="D4769" t="s">
        <v>11</v>
      </c>
      <c r="E4769" t="s">
        <v>38</v>
      </c>
      <c r="F4769" t="s">
        <v>40</v>
      </c>
      <c r="G4769" t="s">
        <v>33</v>
      </c>
      <c r="H4769">
        <v>190</v>
      </c>
    </row>
    <row r="4770" spans="1:8" x14ac:dyDescent="0.3">
      <c r="A4770">
        <v>202305</v>
      </c>
      <c r="B4770" s="1">
        <v>45047</v>
      </c>
      <c r="C4770">
        <v>2023</v>
      </c>
      <c r="D4770" t="s">
        <v>12</v>
      </c>
      <c r="E4770" t="s">
        <v>38</v>
      </c>
      <c r="F4770" t="s">
        <v>40</v>
      </c>
      <c r="G4770" t="s">
        <v>33</v>
      </c>
      <c r="H4770">
        <v>246.79</v>
      </c>
    </row>
    <row r="4771" spans="1:8" x14ac:dyDescent="0.3">
      <c r="A4771">
        <v>202306</v>
      </c>
      <c r="B4771" s="1">
        <v>45078</v>
      </c>
      <c r="C4771">
        <v>2023</v>
      </c>
      <c r="D4771" t="s">
        <v>13</v>
      </c>
      <c r="E4771" t="s">
        <v>38</v>
      </c>
      <c r="F4771" t="s">
        <v>40</v>
      </c>
      <c r="G4771" t="s">
        <v>33</v>
      </c>
      <c r="H4771">
        <v>226.71</v>
      </c>
    </row>
    <row r="4772" spans="1:8" x14ac:dyDescent="0.3">
      <c r="A4772">
        <v>202307</v>
      </c>
      <c r="B4772" s="1">
        <v>45108</v>
      </c>
      <c r="C4772">
        <v>2023</v>
      </c>
      <c r="D4772" t="s">
        <v>14</v>
      </c>
      <c r="E4772" t="s">
        <v>38</v>
      </c>
      <c r="F4772" t="s">
        <v>40</v>
      </c>
      <c r="G4772" t="s">
        <v>33</v>
      </c>
      <c r="H4772">
        <v>235.69</v>
      </c>
    </row>
    <row r="4773" spans="1:8" x14ac:dyDescent="0.3">
      <c r="A4773">
        <v>202308</v>
      </c>
      <c r="B4773" s="1">
        <v>45139</v>
      </c>
      <c r="C4773">
        <v>2023</v>
      </c>
      <c r="D4773" t="s">
        <v>15</v>
      </c>
      <c r="E4773" t="s">
        <v>38</v>
      </c>
      <c r="F4773" t="s">
        <v>40</v>
      </c>
      <c r="G4773" t="s">
        <v>33</v>
      </c>
      <c r="H4773">
        <v>221.55</v>
      </c>
    </row>
    <row r="4774" spans="1:8" x14ac:dyDescent="0.3">
      <c r="A4774">
        <v>202309</v>
      </c>
      <c r="B4774" s="1">
        <v>45170</v>
      </c>
      <c r="C4774">
        <v>2023</v>
      </c>
      <c r="D4774" t="s">
        <v>16</v>
      </c>
      <c r="E4774" t="s">
        <v>38</v>
      </c>
      <c r="F4774" t="s">
        <v>40</v>
      </c>
      <c r="G4774" t="s">
        <v>33</v>
      </c>
      <c r="H4774">
        <v>224.46</v>
      </c>
    </row>
    <row r="4775" spans="1:8" x14ac:dyDescent="0.3">
      <c r="A4775">
        <v>202310</v>
      </c>
      <c r="B4775" s="1">
        <v>45200</v>
      </c>
      <c r="C4775">
        <v>2023</v>
      </c>
      <c r="D4775" t="s">
        <v>17</v>
      </c>
      <c r="E4775" t="s">
        <v>38</v>
      </c>
      <c r="F4775" t="s">
        <v>40</v>
      </c>
      <c r="G4775" t="s">
        <v>33</v>
      </c>
      <c r="H4775">
        <v>254.98</v>
      </c>
    </row>
    <row r="4776" spans="1:8" x14ac:dyDescent="0.3">
      <c r="A4776">
        <v>202311</v>
      </c>
      <c r="B4776" s="1">
        <v>45231</v>
      </c>
      <c r="C4776">
        <v>2023</v>
      </c>
      <c r="D4776" t="s">
        <v>18</v>
      </c>
      <c r="E4776" t="s">
        <v>38</v>
      </c>
      <c r="F4776" t="s">
        <v>40</v>
      </c>
      <c r="G4776" t="s">
        <v>33</v>
      </c>
      <c r="H4776">
        <v>283.55</v>
      </c>
    </row>
    <row r="4777" spans="1:8" x14ac:dyDescent="0.3">
      <c r="A4777">
        <v>202312</v>
      </c>
      <c r="B4777" s="1">
        <v>45261</v>
      </c>
      <c r="C4777">
        <v>2023</v>
      </c>
      <c r="D4777" t="s">
        <v>19</v>
      </c>
      <c r="E4777" t="s">
        <v>38</v>
      </c>
      <c r="F4777" t="s">
        <v>40</v>
      </c>
      <c r="G4777" t="s">
        <v>33</v>
      </c>
      <c r="H4777">
        <v>371.2</v>
      </c>
    </row>
    <row r="4778" spans="1:8" x14ac:dyDescent="0.3">
      <c r="A4778">
        <v>202301</v>
      </c>
      <c r="B4778" s="1">
        <v>44927</v>
      </c>
      <c r="C4778">
        <v>2023</v>
      </c>
      <c r="D4778" t="s">
        <v>6</v>
      </c>
      <c r="E4778" t="s">
        <v>38</v>
      </c>
      <c r="F4778" t="s">
        <v>40</v>
      </c>
      <c r="G4778" t="s">
        <v>33</v>
      </c>
      <c r="H4778">
        <v>39.46</v>
      </c>
    </row>
    <row r="4779" spans="1:8" x14ac:dyDescent="0.3">
      <c r="A4779">
        <v>202302</v>
      </c>
      <c r="B4779" s="1">
        <v>44958</v>
      </c>
      <c r="C4779">
        <v>2023</v>
      </c>
      <c r="D4779" t="s">
        <v>9</v>
      </c>
      <c r="E4779" t="s">
        <v>38</v>
      </c>
      <c r="F4779" t="s">
        <v>40</v>
      </c>
      <c r="G4779" t="s">
        <v>33</v>
      </c>
      <c r="H4779">
        <v>20.64</v>
      </c>
    </row>
    <row r="4780" spans="1:8" x14ac:dyDescent="0.3">
      <c r="A4780">
        <v>202303</v>
      </c>
      <c r="B4780" s="1">
        <v>44986</v>
      </c>
      <c r="C4780">
        <v>2023</v>
      </c>
      <c r="D4780" t="s">
        <v>10</v>
      </c>
      <c r="E4780" t="s">
        <v>38</v>
      </c>
      <c r="F4780" t="s">
        <v>40</v>
      </c>
      <c r="G4780" t="s">
        <v>33</v>
      </c>
      <c r="H4780">
        <v>33.340000000000003</v>
      </c>
    </row>
    <row r="4781" spans="1:8" x14ac:dyDescent="0.3">
      <c r="A4781">
        <v>202304</v>
      </c>
      <c r="B4781" s="1">
        <v>45017</v>
      </c>
      <c r="C4781">
        <v>2023</v>
      </c>
      <c r="D4781" t="s">
        <v>11</v>
      </c>
      <c r="E4781" t="s">
        <v>38</v>
      </c>
      <c r="F4781" t="s">
        <v>40</v>
      </c>
      <c r="G4781" t="s">
        <v>33</v>
      </c>
      <c r="H4781">
        <v>41.85</v>
      </c>
    </row>
    <row r="4782" spans="1:8" x14ac:dyDescent="0.3">
      <c r="A4782">
        <v>202305</v>
      </c>
      <c r="B4782" s="1">
        <v>45047</v>
      </c>
      <c r="C4782">
        <v>2023</v>
      </c>
      <c r="D4782" t="s">
        <v>12</v>
      </c>
      <c r="E4782" t="s">
        <v>38</v>
      </c>
      <c r="F4782" t="s">
        <v>40</v>
      </c>
      <c r="G4782" t="s">
        <v>33</v>
      </c>
      <c r="H4782">
        <v>16.8</v>
      </c>
    </row>
    <row r="4783" spans="1:8" x14ac:dyDescent="0.3">
      <c r="A4783">
        <v>202306</v>
      </c>
      <c r="B4783" s="1">
        <v>45078</v>
      </c>
      <c r="C4783">
        <v>2023</v>
      </c>
      <c r="D4783" t="s">
        <v>13</v>
      </c>
      <c r="E4783" t="s">
        <v>38</v>
      </c>
      <c r="F4783" t="s">
        <v>40</v>
      </c>
      <c r="G4783" t="s">
        <v>33</v>
      </c>
      <c r="H4783">
        <v>30.63</v>
      </c>
    </row>
    <row r="4784" spans="1:8" x14ac:dyDescent="0.3">
      <c r="A4784">
        <v>202307</v>
      </c>
      <c r="B4784" s="1">
        <v>45108</v>
      </c>
      <c r="C4784">
        <v>2023</v>
      </c>
      <c r="D4784" t="s">
        <v>14</v>
      </c>
      <c r="E4784" t="s">
        <v>38</v>
      </c>
      <c r="F4784" t="s">
        <v>40</v>
      </c>
      <c r="G4784" t="s">
        <v>33</v>
      </c>
      <c r="H4784">
        <v>19.309999999999999</v>
      </c>
    </row>
    <row r="4785" spans="1:8" x14ac:dyDescent="0.3">
      <c r="A4785">
        <v>202308</v>
      </c>
      <c r="B4785" s="1">
        <v>45139</v>
      </c>
      <c r="C4785">
        <v>2023</v>
      </c>
      <c r="D4785" t="s">
        <v>15</v>
      </c>
      <c r="E4785" t="s">
        <v>38</v>
      </c>
      <c r="F4785" t="s">
        <v>40</v>
      </c>
      <c r="G4785" t="s">
        <v>33</v>
      </c>
      <c r="H4785">
        <v>27.93</v>
      </c>
    </row>
    <row r="4786" spans="1:8" x14ac:dyDescent="0.3">
      <c r="A4786">
        <v>202309</v>
      </c>
      <c r="B4786" s="1">
        <v>45170</v>
      </c>
      <c r="C4786">
        <v>2023</v>
      </c>
      <c r="D4786" t="s">
        <v>16</v>
      </c>
      <c r="E4786" t="s">
        <v>38</v>
      </c>
      <c r="F4786" t="s">
        <v>40</v>
      </c>
      <c r="G4786" t="s">
        <v>33</v>
      </c>
      <c r="H4786">
        <v>24.03</v>
      </c>
    </row>
    <row r="4787" spans="1:8" x14ac:dyDescent="0.3">
      <c r="A4787">
        <v>202310</v>
      </c>
      <c r="B4787" s="1">
        <v>45200</v>
      </c>
      <c r="C4787">
        <v>2023</v>
      </c>
      <c r="D4787" t="s">
        <v>17</v>
      </c>
      <c r="E4787" t="s">
        <v>38</v>
      </c>
      <c r="F4787" t="s">
        <v>40</v>
      </c>
      <c r="G4787" t="s">
        <v>33</v>
      </c>
      <c r="H4787">
        <v>20.55</v>
      </c>
    </row>
    <row r="4788" spans="1:8" x14ac:dyDescent="0.3">
      <c r="A4788">
        <v>202311</v>
      </c>
      <c r="B4788" s="1">
        <v>45231</v>
      </c>
      <c r="C4788">
        <v>2023</v>
      </c>
      <c r="D4788" t="s">
        <v>18</v>
      </c>
      <c r="E4788" t="s">
        <v>38</v>
      </c>
      <c r="F4788" t="s">
        <v>40</v>
      </c>
      <c r="G4788" t="s">
        <v>33</v>
      </c>
      <c r="H4788">
        <v>19.12</v>
      </c>
    </row>
    <row r="4789" spans="1:8" x14ac:dyDescent="0.3">
      <c r="A4789">
        <v>202312</v>
      </c>
      <c r="B4789" s="1">
        <v>45261</v>
      </c>
      <c r="C4789">
        <v>2023</v>
      </c>
      <c r="D4789" t="s">
        <v>19</v>
      </c>
      <c r="E4789" t="s">
        <v>38</v>
      </c>
      <c r="F4789" t="s">
        <v>40</v>
      </c>
      <c r="G4789" t="s">
        <v>33</v>
      </c>
      <c r="H4789">
        <v>34.29</v>
      </c>
    </row>
    <row r="4790" spans="1:8" x14ac:dyDescent="0.3">
      <c r="A4790">
        <v>202301</v>
      </c>
      <c r="B4790" s="1">
        <v>44927</v>
      </c>
      <c r="C4790">
        <v>2023</v>
      </c>
      <c r="D4790" t="s">
        <v>6</v>
      </c>
      <c r="E4790" t="s">
        <v>38</v>
      </c>
      <c r="F4790" t="s">
        <v>40</v>
      </c>
      <c r="G4790" t="s">
        <v>33</v>
      </c>
      <c r="H4790">
        <v>35.78</v>
      </c>
    </row>
    <row r="4791" spans="1:8" x14ac:dyDescent="0.3">
      <c r="A4791">
        <v>202302</v>
      </c>
      <c r="B4791" s="1">
        <v>44958</v>
      </c>
      <c r="C4791">
        <v>2023</v>
      </c>
      <c r="D4791" t="s">
        <v>9</v>
      </c>
      <c r="E4791" t="s">
        <v>38</v>
      </c>
      <c r="F4791" t="s">
        <v>40</v>
      </c>
      <c r="G4791" t="s">
        <v>33</v>
      </c>
      <c r="H4791">
        <v>28.98</v>
      </c>
    </row>
    <row r="4792" spans="1:8" x14ac:dyDescent="0.3">
      <c r="A4792">
        <v>202303</v>
      </c>
      <c r="B4792" s="1">
        <v>44986</v>
      </c>
      <c r="C4792">
        <v>2023</v>
      </c>
      <c r="D4792" t="s">
        <v>10</v>
      </c>
      <c r="E4792" t="s">
        <v>38</v>
      </c>
      <c r="F4792" t="s">
        <v>40</v>
      </c>
      <c r="G4792" t="s">
        <v>33</v>
      </c>
      <c r="H4792">
        <v>37.049999999999997</v>
      </c>
    </row>
    <row r="4793" spans="1:8" x14ac:dyDescent="0.3">
      <c r="A4793">
        <v>202304</v>
      </c>
      <c r="B4793" s="1">
        <v>45017</v>
      </c>
      <c r="C4793">
        <v>2023</v>
      </c>
      <c r="D4793" t="s">
        <v>11</v>
      </c>
      <c r="E4793" t="s">
        <v>38</v>
      </c>
      <c r="F4793" t="s">
        <v>40</v>
      </c>
      <c r="G4793" t="s">
        <v>33</v>
      </c>
      <c r="H4793">
        <v>31.47</v>
      </c>
    </row>
    <row r="4794" spans="1:8" x14ac:dyDescent="0.3">
      <c r="A4794">
        <v>202305</v>
      </c>
      <c r="B4794" s="1">
        <v>45047</v>
      </c>
      <c r="C4794">
        <v>2023</v>
      </c>
      <c r="D4794" t="s">
        <v>12</v>
      </c>
      <c r="E4794" t="s">
        <v>38</v>
      </c>
      <c r="F4794" t="s">
        <v>40</v>
      </c>
      <c r="G4794" t="s">
        <v>33</v>
      </c>
      <c r="H4794">
        <v>12.24</v>
      </c>
    </row>
    <row r="4795" spans="1:8" x14ac:dyDescent="0.3">
      <c r="A4795">
        <v>202306</v>
      </c>
      <c r="B4795" s="1">
        <v>45078</v>
      </c>
      <c r="C4795">
        <v>2023</v>
      </c>
      <c r="D4795" t="s">
        <v>13</v>
      </c>
      <c r="E4795" t="s">
        <v>38</v>
      </c>
      <c r="F4795" t="s">
        <v>40</v>
      </c>
      <c r="G4795" t="s">
        <v>33</v>
      </c>
      <c r="H4795">
        <v>23.94</v>
      </c>
    </row>
    <row r="4796" spans="1:8" x14ac:dyDescent="0.3">
      <c r="A4796">
        <v>202307</v>
      </c>
      <c r="B4796" s="1">
        <v>45108</v>
      </c>
      <c r="C4796">
        <v>2023</v>
      </c>
      <c r="D4796" t="s">
        <v>14</v>
      </c>
      <c r="E4796" t="s">
        <v>38</v>
      </c>
      <c r="F4796" t="s">
        <v>40</v>
      </c>
      <c r="G4796" t="s">
        <v>33</v>
      </c>
      <c r="H4796">
        <v>18.55</v>
      </c>
    </row>
    <row r="4797" spans="1:8" x14ac:dyDescent="0.3">
      <c r="A4797">
        <v>202308</v>
      </c>
      <c r="B4797" s="1">
        <v>45139</v>
      </c>
      <c r="C4797">
        <v>2023</v>
      </c>
      <c r="D4797" t="s">
        <v>15</v>
      </c>
      <c r="E4797" t="s">
        <v>38</v>
      </c>
      <c r="F4797" t="s">
        <v>40</v>
      </c>
      <c r="G4797" t="s">
        <v>33</v>
      </c>
      <c r="H4797">
        <v>16.7</v>
      </c>
    </row>
    <row r="4798" spans="1:8" x14ac:dyDescent="0.3">
      <c r="A4798">
        <v>202309</v>
      </c>
      <c r="B4798" s="1">
        <v>45170</v>
      </c>
      <c r="C4798">
        <v>2023</v>
      </c>
      <c r="D4798" t="s">
        <v>16</v>
      </c>
      <c r="E4798" t="s">
        <v>38</v>
      </c>
      <c r="F4798" t="s">
        <v>40</v>
      </c>
      <c r="G4798" t="s">
        <v>33</v>
      </c>
      <c r="H4798">
        <v>12.33</v>
      </c>
    </row>
    <row r="4799" spans="1:8" x14ac:dyDescent="0.3">
      <c r="A4799">
        <v>202310</v>
      </c>
      <c r="B4799" s="1">
        <v>45200</v>
      </c>
      <c r="C4799">
        <v>2023</v>
      </c>
      <c r="D4799" t="s">
        <v>17</v>
      </c>
      <c r="E4799" t="s">
        <v>38</v>
      </c>
      <c r="F4799" t="s">
        <v>40</v>
      </c>
      <c r="G4799" t="s">
        <v>33</v>
      </c>
      <c r="H4799">
        <v>21.59</v>
      </c>
    </row>
    <row r="4800" spans="1:8" x14ac:dyDescent="0.3">
      <c r="A4800">
        <v>202311</v>
      </c>
      <c r="B4800" s="1">
        <v>45231</v>
      </c>
      <c r="C4800">
        <v>2023</v>
      </c>
      <c r="D4800" t="s">
        <v>18</v>
      </c>
      <c r="E4800" t="s">
        <v>38</v>
      </c>
      <c r="F4800" t="s">
        <v>40</v>
      </c>
      <c r="G4800" t="s">
        <v>33</v>
      </c>
      <c r="H4800">
        <v>15</v>
      </c>
    </row>
    <row r="4801" spans="1:8" x14ac:dyDescent="0.3">
      <c r="A4801">
        <v>202312</v>
      </c>
      <c r="B4801" s="1">
        <v>45261</v>
      </c>
      <c r="C4801">
        <v>2023</v>
      </c>
      <c r="D4801" t="s">
        <v>19</v>
      </c>
      <c r="E4801" t="s">
        <v>38</v>
      </c>
      <c r="F4801" t="s">
        <v>40</v>
      </c>
      <c r="G4801" t="s">
        <v>33</v>
      </c>
      <c r="H4801">
        <v>26.52</v>
      </c>
    </row>
    <row r="4802" spans="1:8" x14ac:dyDescent="0.3">
      <c r="A4802">
        <v>202401</v>
      </c>
      <c r="B4802" s="1">
        <v>45292</v>
      </c>
      <c r="C4802">
        <v>2024</v>
      </c>
      <c r="D4802" t="s">
        <v>6</v>
      </c>
      <c r="E4802" t="s">
        <v>7</v>
      </c>
      <c r="F4802" t="s">
        <v>7</v>
      </c>
      <c r="G4802" t="s">
        <v>8</v>
      </c>
      <c r="H4802">
        <v>1157.56</v>
      </c>
    </row>
    <row r="4803" spans="1:8" x14ac:dyDescent="0.3">
      <c r="A4803">
        <v>202402</v>
      </c>
      <c r="B4803" s="1">
        <v>45323</v>
      </c>
      <c r="C4803">
        <v>2024</v>
      </c>
      <c r="D4803" t="s">
        <v>9</v>
      </c>
      <c r="E4803" t="s">
        <v>7</v>
      </c>
      <c r="F4803" t="s">
        <v>7</v>
      </c>
      <c r="G4803" t="s">
        <v>8</v>
      </c>
      <c r="H4803">
        <v>368.72</v>
      </c>
    </row>
    <row r="4804" spans="1:8" x14ac:dyDescent="0.3">
      <c r="A4804">
        <v>202403</v>
      </c>
      <c r="B4804" s="1">
        <v>45352</v>
      </c>
      <c r="C4804">
        <v>2024</v>
      </c>
      <c r="D4804" t="s">
        <v>10</v>
      </c>
      <c r="E4804" t="s">
        <v>7</v>
      </c>
      <c r="F4804" t="s">
        <v>7</v>
      </c>
      <c r="G4804" t="s">
        <v>8</v>
      </c>
      <c r="H4804">
        <v>372.25</v>
      </c>
    </row>
    <row r="4805" spans="1:8" x14ac:dyDescent="0.3">
      <c r="A4805">
        <v>202404</v>
      </c>
      <c r="B4805" s="1">
        <v>45383</v>
      </c>
      <c r="C4805">
        <v>2024</v>
      </c>
      <c r="D4805" t="s">
        <v>11</v>
      </c>
      <c r="E4805" t="s">
        <v>7</v>
      </c>
      <c r="F4805" t="s">
        <v>7</v>
      </c>
      <c r="G4805" t="s">
        <v>8</v>
      </c>
      <c r="H4805">
        <v>1122.19</v>
      </c>
    </row>
    <row r="4806" spans="1:8" x14ac:dyDescent="0.3">
      <c r="A4806">
        <v>202405</v>
      </c>
      <c r="B4806" s="1">
        <v>45413</v>
      </c>
      <c r="C4806">
        <v>2024</v>
      </c>
      <c r="D4806" t="s">
        <v>12</v>
      </c>
      <c r="E4806" t="s">
        <v>7</v>
      </c>
      <c r="F4806" t="s">
        <v>7</v>
      </c>
      <c r="G4806" t="s">
        <v>8</v>
      </c>
      <c r="H4806">
        <v>658.68</v>
      </c>
    </row>
    <row r="4807" spans="1:8" x14ac:dyDescent="0.3">
      <c r="A4807">
        <v>202406</v>
      </c>
      <c r="B4807" s="1">
        <v>45444</v>
      </c>
      <c r="C4807">
        <v>2024</v>
      </c>
      <c r="D4807" t="s">
        <v>13</v>
      </c>
      <c r="E4807" t="s">
        <v>7</v>
      </c>
      <c r="F4807" t="s">
        <v>7</v>
      </c>
      <c r="G4807" t="s">
        <v>8</v>
      </c>
      <c r="H4807">
        <v>346.36</v>
      </c>
    </row>
    <row r="4808" spans="1:8" x14ac:dyDescent="0.3">
      <c r="A4808">
        <v>202407</v>
      </c>
      <c r="B4808" s="1">
        <v>45474</v>
      </c>
      <c r="C4808">
        <v>2024</v>
      </c>
      <c r="D4808" t="s">
        <v>14</v>
      </c>
      <c r="E4808" t="s">
        <v>7</v>
      </c>
      <c r="F4808" t="s">
        <v>7</v>
      </c>
      <c r="G4808" t="s">
        <v>8</v>
      </c>
      <c r="H4808">
        <v>951.09</v>
      </c>
    </row>
    <row r="4809" spans="1:8" x14ac:dyDescent="0.3">
      <c r="A4809">
        <v>202408</v>
      </c>
      <c r="B4809" s="1">
        <v>45505</v>
      </c>
      <c r="C4809">
        <v>2024</v>
      </c>
      <c r="D4809" t="s">
        <v>15</v>
      </c>
      <c r="E4809" t="s">
        <v>7</v>
      </c>
      <c r="F4809" t="s">
        <v>7</v>
      </c>
      <c r="G4809" t="s">
        <v>8</v>
      </c>
      <c r="H4809">
        <v>595.88</v>
      </c>
    </row>
    <row r="4810" spans="1:8" x14ac:dyDescent="0.3">
      <c r="A4810">
        <v>202409</v>
      </c>
      <c r="B4810" s="1">
        <v>45536</v>
      </c>
      <c r="C4810">
        <v>2024</v>
      </c>
      <c r="D4810" t="s">
        <v>16</v>
      </c>
      <c r="E4810" t="s">
        <v>7</v>
      </c>
      <c r="F4810" t="s">
        <v>7</v>
      </c>
      <c r="G4810" t="s">
        <v>8</v>
      </c>
      <c r="H4810">
        <v>494.53</v>
      </c>
    </row>
    <row r="4811" spans="1:8" x14ac:dyDescent="0.3">
      <c r="A4811">
        <v>202410</v>
      </c>
      <c r="B4811" s="1">
        <v>45566</v>
      </c>
      <c r="C4811">
        <v>2024</v>
      </c>
      <c r="D4811" t="s">
        <v>17</v>
      </c>
      <c r="E4811" t="s">
        <v>7</v>
      </c>
      <c r="F4811" t="s">
        <v>7</v>
      </c>
      <c r="G4811" t="s">
        <v>8</v>
      </c>
      <c r="H4811">
        <v>1126.93</v>
      </c>
    </row>
    <row r="4812" spans="1:8" x14ac:dyDescent="0.3">
      <c r="A4812">
        <v>202411</v>
      </c>
      <c r="B4812" s="1">
        <v>45597</v>
      </c>
      <c r="C4812">
        <v>2024</v>
      </c>
      <c r="D4812" t="s">
        <v>18</v>
      </c>
      <c r="E4812" t="s">
        <v>7</v>
      </c>
      <c r="F4812" t="s">
        <v>7</v>
      </c>
      <c r="G4812" t="s">
        <v>8</v>
      </c>
      <c r="H4812">
        <v>607.4</v>
      </c>
    </row>
    <row r="4813" spans="1:8" x14ac:dyDescent="0.3">
      <c r="A4813">
        <v>202412</v>
      </c>
      <c r="B4813" s="1">
        <v>45627</v>
      </c>
      <c r="C4813">
        <v>2024</v>
      </c>
      <c r="D4813" t="s">
        <v>19</v>
      </c>
      <c r="E4813" t="s">
        <v>7</v>
      </c>
      <c r="F4813" t="s">
        <v>7</v>
      </c>
      <c r="G4813" t="s">
        <v>8</v>
      </c>
      <c r="H4813">
        <v>443.47</v>
      </c>
    </row>
    <row r="4814" spans="1:8" x14ac:dyDescent="0.3">
      <c r="A4814">
        <v>202401</v>
      </c>
      <c r="B4814" s="1">
        <v>45292</v>
      </c>
      <c r="C4814">
        <v>2024</v>
      </c>
      <c r="D4814" t="s">
        <v>6</v>
      </c>
      <c r="E4814" t="s">
        <v>7</v>
      </c>
      <c r="F4814" t="s">
        <v>7</v>
      </c>
      <c r="G4814" t="s">
        <v>8</v>
      </c>
      <c r="H4814">
        <v>875.36</v>
      </c>
    </row>
    <row r="4815" spans="1:8" x14ac:dyDescent="0.3">
      <c r="A4815">
        <v>202402</v>
      </c>
      <c r="B4815" s="1">
        <v>45323</v>
      </c>
      <c r="C4815">
        <v>2024</v>
      </c>
      <c r="D4815" t="s">
        <v>9</v>
      </c>
      <c r="E4815" t="s">
        <v>7</v>
      </c>
      <c r="F4815" t="s">
        <v>7</v>
      </c>
      <c r="G4815" t="s">
        <v>8</v>
      </c>
      <c r="H4815">
        <v>321.89999999999998</v>
      </c>
    </row>
    <row r="4816" spans="1:8" x14ac:dyDescent="0.3">
      <c r="A4816">
        <v>202403</v>
      </c>
      <c r="B4816" s="1">
        <v>45352</v>
      </c>
      <c r="C4816">
        <v>2024</v>
      </c>
      <c r="D4816" t="s">
        <v>10</v>
      </c>
      <c r="E4816" t="s">
        <v>7</v>
      </c>
      <c r="F4816" t="s">
        <v>7</v>
      </c>
      <c r="G4816" t="s">
        <v>8</v>
      </c>
      <c r="H4816">
        <v>368.44</v>
      </c>
    </row>
    <row r="4817" spans="1:8" x14ac:dyDescent="0.3">
      <c r="A4817">
        <v>202404</v>
      </c>
      <c r="B4817" s="1">
        <v>45383</v>
      </c>
      <c r="C4817">
        <v>2024</v>
      </c>
      <c r="D4817" t="s">
        <v>11</v>
      </c>
      <c r="E4817" t="s">
        <v>7</v>
      </c>
      <c r="F4817" t="s">
        <v>7</v>
      </c>
      <c r="G4817" t="s">
        <v>8</v>
      </c>
      <c r="H4817">
        <v>1079.74</v>
      </c>
    </row>
    <row r="4818" spans="1:8" x14ac:dyDescent="0.3">
      <c r="A4818">
        <v>202405</v>
      </c>
      <c r="B4818" s="1">
        <v>45413</v>
      </c>
      <c r="C4818">
        <v>2024</v>
      </c>
      <c r="D4818" t="s">
        <v>12</v>
      </c>
      <c r="E4818" t="s">
        <v>7</v>
      </c>
      <c r="F4818" t="s">
        <v>7</v>
      </c>
      <c r="G4818" t="s">
        <v>8</v>
      </c>
      <c r="H4818">
        <v>530.62</v>
      </c>
    </row>
    <row r="4819" spans="1:8" x14ac:dyDescent="0.3">
      <c r="A4819">
        <v>202406</v>
      </c>
      <c r="B4819" s="1">
        <v>45444</v>
      </c>
      <c r="C4819">
        <v>2024</v>
      </c>
      <c r="D4819" t="s">
        <v>13</v>
      </c>
      <c r="E4819" t="s">
        <v>7</v>
      </c>
      <c r="F4819" t="s">
        <v>7</v>
      </c>
      <c r="G4819" t="s">
        <v>8</v>
      </c>
      <c r="H4819">
        <v>375.67</v>
      </c>
    </row>
    <row r="4820" spans="1:8" x14ac:dyDescent="0.3">
      <c r="A4820">
        <v>202407</v>
      </c>
      <c r="B4820" s="1">
        <v>45474</v>
      </c>
      <c r="C4820">
        <v>2024</v>
      </c>
      <c r="D4820" t="s">
        <v>14</v>
      </c>
      <c r="E4820" t="s">
        <v>7</v>
      </c>
      <c r="F4820" t="s">
        <v>7</v>
      </c>
      <c r="G4820" t="s">
        <v>8</v>
      </c>
      <c r="H4820">
        <v>810.87</v>
      </c>
    </row>
    <row r="4821" spans="1:8" x14ac:dyDescent="0.3">
      <c r="A4821">
        <v>202408</v>
      </c>
      <c r="B4821" s="1">
        <v>45505</v>
      </c>
      <c r="C4821">
        <v>2024</v>
      </c>
      <c r="D4821" t="s">
        <v>15</v>
      </c>
      <c r="E4821" t="s">
        <v>7</v>
      </c>
      <c r="F4821" t="s">
        <v>7</v>
      </c>
      <c r="G4821" t="s">
        <v>8</v>
      </c>
      <c r="H4821">
        <v>558.77</v>
      </c>
    </row>
    <row r="4822" spans="1:8" x14ac:dyDescent="0.3">
      <c r="A4822">
        <v>202409</v>
      </c>
      <c r="B4822" s="1">
        <v>45536</v>
      </c>
      <c r="C4822">
        <v>2024</v>
      </c>
      <c r="D4822" t="s">
        <v>16</v>
      </c>
      <c r="E4822" t="s">
        <v>7</v>
      </c>
      <c r="F4822" t="s">
        <v>7</v>
      </c>
      <c r="G4822" t="s">
        <v>8</v>
      </c>
      <c r="H4822">
        <v>358.07</v>
      </c>
    </row>
    <row r="4823" spans="1:8" x14ac:dyDescent="0.3">
      <c r="A4823">
        <v>202410</v>
      </c>
      <c r="B4823" s="1">
        <v>45566</v>
      </c>
      <c r="C4823">
        <v>2024</v>
      </c>
      <c r="D4823" t="s">
        <v>17</v>
      </c>
      <c r="E4823" t="s">
        <v>7</v>
      </c>
      <c r="F4823" t="s">
        <v>7</v>
      </c>
      <c r="G4823" t="s">
        <v>8</v>
      </c>
      <c r="H4823">
        <v>842.71</v>
      </c>
    </row>
    <row r="4824" spans="1:8" x14ac:dyDescent="0.3">
      <c r="A4824">
        <v>202411</v>
      </c>
      <c r="B4824" s="1">
        <v>45597</v>
      </c>
      <c r="C4824">
        <v>2024</v>
      </c>
      <c r="D4824" t="s">
        <v>18</v>
      </c>
      <c r="E4824" t="s">
        <v>7</v>
      </c>
      <c r="F4824" t="s">
        <v>7</v>
      </c>
      <c r="G4824" t="s">
        <v>8</v>
      </c>
      <c r="H4824">
        <v>550.91</v>
      </c>
    </row>
    <row r="4825" spans="1:8" x14ac:dyDescent="0.3">
      <c r="A4825">
        <v>202412</v>
      </c>
      <c r="B4825" s="1">
        <v>45627</v>
      </c>
      <c r="C4825">
        <v>2024</v>
      </c>
      <c r="D4825" t="s">
        <v>19</v>
      </c>
      <c r="E4825" t="s">
        <v>7</v>
      </c>
      <c r="F4825" t="s">
        <v>7</v>
      </c>
      <c r="G4825" t="s">
        <v>8</v>
      </c>
      <c r="H4825">
        <v>424.45</v>
      </c>
    </row>
    <row r="4826" spans="1:8" x14ac:dyDescent="0.3">
      <c r="A4826">
        <v>202401</v>
      </c>
      <c r="B4826" s="1">
        <v>45292</v>
      </c>
      <c r="C4826">
        <v>2024</v>
      </c>
      <c r="D4826" t="s">
        <v>6</v>
      </c>
      <c r="E4826" t="s">
        <v>7</v>
      </c>
      <c r="F4826" t="s">
        <v>7</v>
      </c>
      <c r="G4826" t="s">
        <v>8</v>
      </c>
      <c r="H4826">
        <v>16377.06</v>
      </c>
    </row>
    <row r="4827" spans="1:8" x14ac:dyDescent="0.3">
      <c r="A4827">
        <v>202402</v>
      </c>
      <c r="B4827" s="1">
        <v>45323</v>
      </c>
      <c r="C4827">
        <v>2024</v>
      </c>
      <c r="D4827" t="s">
        <v>9</v>
      </c>
      <c r="E4827" t="s">
        <v>7</v>
      </c>
      <c r="F4827" t="s">
        <v>7</v>
      </c>
      <c r="G4827" t="s">
        <v>8</v>
      </c>
      <c r="H4827">
        <v>6171.35</v>
      </c>
    </row>
    <row r="4828" spans="1:8" x14ac:dyDescent="0.3">
      <c r="A4828">
        <v>202403</v>
      </c>
      <c r="B4828" s="1">
        <v>45352</v>
      </c>
      <c r="C4828">
        <v>2024</v>
      </c>
      <c r="D4828" t="s">
        <v>10</v>
      </c>
      <c r="E4828" t="s">
        <v>7</v>
      </c>
      <c r="F4828" t="s">
        <v>7</v>
      </c>
      <c r="G4828" t="s">
        <v>8</v>
      </c>
      <c r="H4828">
        <v>6633.28</v>
      </c>
    </row>
    <row r="4829" spans="1:8" x14ac:dyDescent="0.3">
      <c r="A4829">
        <v>202404</v>
      </c>
      <c r="B4829" s="1">
        <v>45383</v>
      </c>
      <c r="C4829">
        <v>2024</v>
      </c>
      <c r="D4829" t="s">
        <v>11</v>
      </c>
      <c r="E4829" t="s">
        <v>7</v>
      </c>
      <c r="F4829" t="s">
        <v>7</v>
      </c>
      <c r="G4829" t="s">
        <v>8</v>
      </c>
      <c r="H4829">
        <v>20179.73</v>
      </c>
    </row>
    <row r="4830" spans="1:8" x14ac:dyDescent="0.3">
      <c r="A4830">
        <v>202405</v>
      </c>
      <c r="B4830" s="1">
        <v>45413</v>
      </c>
      <c r="C4830">
        <v>2024</v>
      </c>
      <c r="D4830" t="s">
        <v>12</v>
      </c>
      <c r="E4830" t="s">
        <v>7</v>
      </c>
      <c r="F4830" t="s">
        <v>7</v>
      </c>
      <c r="G4830" t="s">
        <v>8</v>
      </c>
      <c r="H4830">
        <v>10206.4</v>
      </c>
    </row>
    <row r="4831" spans="1:8" x14ac:dyDescent="0.3">
      <c r="A4831">
        <v>202406</v>
      </c>
      <c r="B4831" s="1">
        <v>45444</v>
      </c>
      <c r="C4831">
        <v>2024</v>
      </c>
      <c r="D4831" t="s">
        <v>13</v>
      </c>
      <c r="E4831" t="s">
        <v>7</v>
      </c>
      <c r="F4831" t="s">
        <v>7</v>
      </c>
      <c r="G4831" t="s">
        <v>8</v>
      </c>
      <c r="H4831">
        <v>11078.7</v>
      </c>
    </row>
    <row r="4832" spans="1:8" x14ac:dyDescent="0.3">
      <c r="A4832">
        <v>202407</v>
      </c>
      <c r="B4832" s="1">
        <v>45474</v>
      </c>
      <c r="C4832">
        <v>2024</v>
      </c>
      <c r="D4832" t="s">
        <v>14</v>
      </c>
      <c r="E4832" t="s">
        <v>7</v>
      </c>
      <c r="F4832" t="s">
        <v>7</v>
      </c>
      <c r="G4832" t="s">
        <v>8</v>
      </c>
      <c r="H4832">
        <v>17607.25</v>
      </c>
    </row>
    <row r="4833" spans="1:8" x14ac:dyDescent="0.3">
      <c r="A4833">
        <v>202408</v>
      </c>
      <c r="B4833" s="1">
        <v>45505</v>
      </c>
      <c r="C4833">
        <v>2024</v>
      </c>
      <c r="D4833" t="s">
        <v>15</v>
      </c>
      <c r="E4833" t="s">
        <v>7</v>
      </c>
      <c r="F4833" t="s">
        <v>7</v>
      </c>
      <c r="G4833" t="s">
        <v>8</v>
      </c>
      <c r="H4833">
        <v>10772.52</v>
      </c>
    </row>
    <row r="4834" spans="1:8" x14ac:dyDescent="0.3">
      <c r="A4834">
        <v>202409</v>
      </c>
      <c r="B4834" s="1">
        <v>45536</v>
      </c>
      <c r="C4834">
        <v>2024</v>
      </c>
      <c r="D4834" t="s">
        <v>16</v>
      </c>
      <c r="E4834" t="s">
        <v>7</v>
      </c>
      <c r="F4834" t="s">
        <v>7</v>
      </c>
      <c r="G4834" t="s">
        <v>8</v>
      </c>
      <c r="H4834">
        <v>7502.04</v>
      </c>
    </row>
    <row r="4835" spans="1:8" x14ac:dyDescent="0.3">
      <c r="A4835">
        <v>202410</v>
      </c>
      <c r="B4835" s="1">
        <v>45566</v>
      </c>
      <c r="C4835">
        <v>2024</v>
      </c>
      <c r="D4835" t="s">
        <v>17</v>
      </c>
      <c r="E4835" t="s">
        <v>7</v>
      </c>
      <c r="F4835" t="s">
        <v>7</v>
      </c>
      <c r="G4835" t="s">
        <v>8</v>
      </c>
      <c r="H4835">
        <v>15708.85</v>
      </c>
    </row>
    <row r="4836" spans="1:8" x14ac:dyDescent="0.3">
      <c r="A4836">
        <v>202411</v>
      </c>
      <c r="B4836" s="1">
        <v>45597</v>
      </c>
      <c r="C4836">
        <v>2024</v>
      </c>
      <c r="D4836" t="s">
        <v>18</v>
      </c>
      <c r="E4836" t="s">
        <v>7</v>
      </c>
      <c r="F4836" t="s">
        <v>7</v>
      </c>
      <c r="G4836" t="s">
        <v>8</v>
      </c>
      <c r="H4836">
        <v>12723.41</v>
      </c>
    </row>
    <row r="4837" spans="1:8" x14ac:dyDescent="0.3">
      <c r="A4837">
        <v>202412</v>
      </c>
      <c r="B4837" s="1">
        <v>45627</v>
      </c>
      <c r="C4837">
        <v>2024</v>
      </c>
      <c r="D4837" t="s">
        <v>19</v>
      </c>
      <c r="E4837" t="s">
        <v>7</v>
      </c>
      <c r="F4837" t="s">
        <v>7</v>
      </c>
      <c r="G4837" t="s">
        <v>8</v>
      </c>
      <c r="H4837">
        <v>8534.26</v>
      </c>
    </row>
    <row r="4838" spans="1:8" x14ac:dyDescent="0.3">
      <c r="A4838">
        <v>202401</v>
      </c>
      <c r="B4838" s="1">
        <v>45292</v>
      </c>
      <c r="C4838">
        <v>2024</v>
      </c>
      <c r="D4838" t="s">
        <v>6</v>
      </c>
      <c r="E4838" t="s">
        <v>7</v>
      </c>
      <c r="F4838" t="s">
        <v>7</v>
      </c>
      <c r="G4838" t="s">
        <v>8</v>
      </c>
      <c r="H4838">
        <v>569.89</v>
      </c>
    </row>
    <row r="4839" spans="1:8" x14ac:dyDescent="0.3">
      <c r="A4839">
        <v>202402</v>
      </c>
      <c r="B4839" s="1">
        <v>45323</v>
      </c>
      <c r="C4839">
        <v>2024</v>
      </c>
      <c r="D4839" t="s">
        <v>9</v>
      </c>
      <c r="E4839" t="s">
        <v>7</v>
      </c>
      <c r="F4839" t="s">
        <v>7</v>
      </c>
      <c r="G4839" t="s">
        <v>8</v>
      </c>
      <c r="H4839">
        <v>204.36</v>
      </c>
    </row>
    <row r="4840" spans="1:8" x14ac:dyDescent="0.3">
      <c r="A4840">
        <v>202403</v>
      </c>
      <c r="B4840" s="1">
        <v>45352</v>
      </c>
      <c r="C4840">
        <v>2024</v>
      </c>
      <c r="D4840" t="s">
        <v>10</v>
      </c>
      <c r="E4840" t="s">
        <v>7</v>
      </c>
      <c r="F4840" t="s">
        <v>7</v>
      </c>
      <c r="G4840" t="s">
        <v>8</v>
      </c>
      <c r="H4840">
        <v>270.76</v>
      </c>
    </row>
    <row r="4841" spans="1:8" x14ac:dyDescent="0.3">
      <c r="A4841">
        <v>202404</v>
      </c>
      <c r="B4841" s="1">
        <v>45383</v>
      </c>
      <c r="C4841">
        <v>2024</v>
      </c>
      <c r="D4841" t="s">
        <v>11</v>
      </c>
      <c r="E4841" t="s">
        <v>7</v>
      </c>
      <c r="F4841" t="s">
        <v>7</v>
      </c>
      <c r="G4841" t="s">
        <v>8</v>
      </c>
      <c r="H4841">
        <v>763.01</v>
      </c>
    </row>
    <row r="4842" spans="1:8" x14ac:dyDescent="0.3">
      <c r="A4842">
        <v>202405</v>
      </c>
      <c r="B4842" s="1">
        <v>45413</v>
      </c>
      <c r="C4842">
        <v>2024</v>
      </c>
      <c r="D4842" t="s">
        <v>12</v>
      </c>
      <c r="E4842" t="s">
        <v>7</v>
      </c>
      <c r="F4842" t="s">
        <v>7</v>
      </c>
      <c r="G4842" t="s">
        <v>8</v>
      </c>
      <c r="H4842">
        <v>310.47000000000003</v>
      </c>
    </row>
    <row r="4843" spans="1:8" x14ac:dyDescent="0.3">
      <c r="A4843">
        <v>202406</v>
      </c>
      <c r="B4843" s="1">
        <v>45444</v>
      </c>
      <c r="C4843">
        <v>2024</v>
      </c>
      <c r="D4843" t="s">
        <v>13</v>
      </c>
      <c r="E4843" t="s">
        <v>7</v>
      </c>
      <c r="F4843" t="s">
        <v>7</v>
      </c>
      <c r="G4843" t="s">
        <v>8</v>
      </c>
      <c r="H4843">
        <v>268.61</v>
      </c>
    </row>
    <row r="4844" spans="1:8" x14ac:dyDescent="0.3">
      <c r="A4844">
        <v>202407</v>
      </c>
      <c r="B4844" s="1">
        <v>45474</v>
      </c>
      <c r="C4844">
        <v>2024</v>
      </c>
      <c r="D4844" t="s">
        <v>14</v>
      </c>
      <c r="E4844" t="s">
        <v>7</v>
      </c>
      <c r="F4844" t="s">
        <v>7</v>
      </c>
      <c r="G4844" t="s">
        <v>8</v>
      </c>
      <c r="H4844">
        <v>591.62</v>
      </c>
    </row>
    <row r="4845" spans="1:8" x14ac:dyDescent="0.3">
      <c r="A4845">
        <v>202408</v>
      </c>
      <c r="B4845" s="1">
        <v>45505</v>
      </c>
      <c r="C4845">
        <v>2024</v>
      </c>
      <c r="D4845" t="s">
        <v>15</v>
      </c>
      <c r="E4845" t="s">
        <v>7</v>
      </c>
      <c r="F4845" t="s">
        <v>7</v>
      </c>
      <c r="G4845" t="s">
        <v>8</v>
      </c>
      <c r="H4845">
        <v>388.72</v>
      </c>
    </row>
    <row r="4846" spans="1:8" x14ac:dyDescent="0.3">
      <c r="A4846">
        <v>202409</v>
      </c>
      <c r="B4846" s="1">
        <v>45536</v>
      </c>
      <c r="C4846">
        <v>2024</v>
      </c>
      <c r="D4846" t="s">
        <v>16</v>
      </c>
      <c r="E4846" t="s">
        <v>7</v>
      </c>
      <c r="F4846" t="s">
        <v>7</v>
      </c>
      <c r="G4846" t="s">
        <v>8</v>
      </c>
      <c r="H4846">
        <v>288.37</v>
      </c>
    </row>
    <row r="4847" spans="1:8" x14ac:dyDescent="0.3">
      <c r="A4847">
        <v>202410</v>
      </c>
      <c r="B4847" s="1">
        <v>45566</v>
      </c>
      <c r="C4847">
        <v>2024</v>
      </c>
      <c r="D4847" t="s">
        <v>17</v>
      </c>
      <c r="E4847" t="s">
        <v>7</v>
      </c>
      <c r="F4847" t="s">
        <v>7</v>
      </c>
      <c r="G4847" t="s">
        <v>8</v>
      </c>
      <c r="H4847">
        <v>607.91999999999996</v>
      </c>
    </row>
    <row r="4848" spans="1:8" x14ac:dyDescent="0.3">
      <c r="A4848">
        <v>202411</v>
      </c>
      <c r="B4848" s="1">
        <v>45597</v>
      </c>
      <c r="C4848">
        <v>2024</v>
      </c>
      <c r="D4848" t="s">
        <v>18</v>
      </c>
      <c r="E4848" t="s">
        <v>7</v>
      </c>
      <c r="F4848" t="s">
        <v>7</v>
      </c>
      <c r="G4848" t="s">
        <v>8</v>
      </c>
      <c r="H4848">
        <v>337.41</v>
      </c>
    </row>
    <row r="4849" spans="1:8" x14ac:dyDescent="0.3">
      <c r="A4849">
        <v>202412</v>
      </c>
      <c r="B4849" s="1">
        <v>45627</v>
      </c>
      <c r="C4849">
        <v>2024</v>
      </c>
      <c r="D4849" t="s">
        <v>19</v>
      </c>
      <c r="E4849" t="s">
        <v>7</v>
      </c>
      <c r="F4849" t="s">
        <v>7</v>
      </c>
      <c r="G4849" t="s">
        <v>8</v>
      </c>
      <c r="H4849">
        <v>275.07</v>
      </c>
    </row>
    <row r="4850" spans="1:8" x14ac:dyDescent="0.3">
      <c r="A4850">
        <v>202401</v>
      </c>
      <c r="B4850" s="1">
        <v>45292</v>
      </c>
      <c r="C4850">
        <v>2024</v>
      </c>
      <c r="D4850" t="s">
        <v>6</v>
      </c>
      <c r="E4850" t="s">
        <v>7</v>
      </c>
      <c r="F4850" t="s">
        <v>7</v>
      </c>
      <c r="G4850" t="s">
        <v>8</v>
      </c>
      <c r="H4850">
        <v>5114.5</v>
      </c>
    </row>
    <row r="4851" spans="1:8" x14ac:dyDescent="0.3">
      <c r="A4851">
        <v>202402</v>
      </c>
      <c r="B4851" s="1">
        <v>45323</v>
      </c>
      <c r="C4851">
        <v>2024</v>
      </c>
      <c r="D4851" t="s">
        <v>9</v>
      </c>
      <c r="E4851" t="s">
        <v>7</v>
      </c>
      <c r="F4851" t="s">
        <v>7</v>
      </c>
      <c r="G4851" t="s">
        <v>8</v>
      </c>
      <c r="H4851">
        <v>1456.73</v>
      </c>
    </row>
    <row r="4852" spans="1:8" x14ac:dyDescent="0.3">
      <c r="A4852">
        <v>202403</v>
      </c>
      <c r="B4852" s="1">
        <v>45352</v>
      </c>
      <c r="C4852">
        <v>2024</v>
      </c>
      <c r="D4852" t="s">
        <v>10</v>
      </c>
      <c r="E4852" t="s">
        <v>7</v>
      </c>
      <c r="F4852" t="s">
        <v>7</v>
      </c>
      <c r="G4852" t="s">
        <v>8</v>
      </c>
      <c r="H4852">
        <v>1445.8</v>
      </c>
    </row>
    <row r="4853" spans="1:8" x14ac:dyDescent="0.3">
      <c r="A4853">
        <v>202404</v>
      </c>
      <c r="B4853" s="1">
        <v>45383</v>
      </c>
      <c r="C4853">
        <v>2024</v>
      </c>
      <c r="D4853" t="s">
        <v>11</v>
      </c>
      <c r="E4853" t="s">
        <v>7</v>
      </c>
      <c r="F4853" t="s">
        <v>7</v>
      </c>
      <c r="G4853" t="s">
        <v>8</v>
      </c>
      <c r="H4853">
        <v>4596.9799999999996</v>
      </c>
    </row>
    <row r="4854" spans="1:8" x14ac:dyDescent="0.3">
      <c r="A4854">
        <v>202405</v>
      </c>
      <c r="B4854" s="1">
        <v>45413</v>
      </c>
      <c r="C4854">
        <v>2024</v>
      </c>
      <c r="D4854" t="s">
        <v>12</v>
      </c>
      <c r="E4854" t="s">
        <v>7</v>
      </c>
      <c r="F4854" t="s">
        <v>7</v>
      </c>
      <c r="G4854" t="s">
        <v>8</v>
      </c>
      <c r="H4854">
        <v>2432.8000000000002</v>
      </c>
    </row>
    <row r="4855" spans="1:8" x14ac:dyDescent="0.3">
      <c r="A4855">
        <v>202406</v>
      </c>
      <c r="B4855" s="1">
        <v>45444</v>
      </c>
      <c r="C4855">
        <v>2024</v>
      </c>
      <c r="D4855" t="s">
        <v>13</v>
      </c>
      <c r="E4855" t="s">
        <v>7</v>
      </c>
      <c r="F4855" t="s">
        <v>7</v>
      </c>
      <c r="G4855" t="s">
        <v>8</v>
      </c>
      <c r="H4855">
        <v>2135.92</v>
      </c>
    </row>
    <row r="4856" spans="1:8" x14ac:dyDescent="0.3">
      <c r="A4856">
        <v>202407</v>
      </c>
      <c r="B4856" s="1">
        <v>45474</v>
      </c>
      <c r="C4856">
        <v>2024</v>
      </c>
      <c r="D4856" t="s">
        <v>14</v>
      </c>
      <c r="E4856" t="s">
        <v>7</v>
      </c>
      <c r="F4856" t="s">
        <v>7</v>
      </c>
      <c r="G4856" t="s">
        <v>8</v>
      </c>
      <c r="H4856">
        <v>3820.36</v>
      </c>
    </row>
    <row r="4857" spans="1:8" x14ac:dyDescent="0.3">
      <c r="A4857">
        <v>202408</v>
      </c>
      <c r="B4857" s="1">
        <v>45505</v>
      </c>
      <c r="C4857">
        <v>2024</v>
      </c>
      <c r="D4857" t="s">
        <v>15</v>
      </c>
      <c r="E4857" t="s">
        <v>7</v>
      </c>
      <c r="F4857" t="s">
        <v>7</v>
      </c>
      <c r="G4857" t="s">
        <v>8</v>
      </c>
      <c r="H4857">
        <v>2449.09</v>
      </c>
    </row>
    <row r="4858" spans="1:8" x14ac:dyDescent="0.3">
      <c r="A4858">
        <v>202409</v>
      </c>
      <c r="B4858" s="1">
        <v>45536</v>
      </c>
      <c r="C4858">
        <v>2024</v>
      </c>
      <c r="D4858" t="s">
        <v>16</v>
      </c>
      <c r="E4858" t="s">
        <v>7</v>
      </c>
      <c r="F4858" t="s">
        <v>7</v>
      </c>
      <c r="G4858" t="s">
        <v>8</v>
      </c>
      <c r="H4858">
        <v>1773.24</v>
      </c>
    </row>
    <row r="4859" spans="1:8" x14ac:dyDescent="0.3">
      <c r="A4859">
        <v>202410</v>
      </c>
      <c r="B4859" s="1">
        <v>45566</v>
      </c>
      <c r="C4859">
        <v>2024</v>
      </c>
      <c r="D4859" t="s">
        <v>17</v>
      </c>
      <c r="E4859" t="s">
        <v>7</v>
      </c>
      <c r="F4859" t="s">
        <v>7</v>
      </c>
      <c r="G4859" t="s">
        <v>8</v>
      </c>
      <c r="H4859">
        <v>3970.64</v>
      </c>
    </row>
    <row r="4860" spans="1:8" x14ac:dyDescent="0.3">
      <c r="A4860">
        <v>202411</v>
      </c>
      <c r="B4860" s="1">
        <v>45597</v>
      </c>
      <c r="C4860">
        <v>2024</v>
      </c>
      <c r="D4860" t="s">
        <v>18</v>
      </c>
      <c r="E4860" t="s">
        <v>7</v>
      </c>
      <c r="F4860" t="s">
        <v>7</v>
      </c>
      <c r="G4860" t="s">
        <v>8</v>
      </c>
      <c r="H4860">
        <v>2851.89</v>
      </c>
    </row>
    <row r="4861" spans="1:8" x14ac:dyDescent="0.3">
      <c r="A4861">
        <v>202412</v>
      </c>
      <c r="B4861" s="1">
        <v>45627</v>
      </c>
      <c r="C4861">
        <v>2024</v>
      </c>
      <c r="D4861" t="s">
        <v>19</v>
      </c>
      <c r="E4861" t="s">
        <v>7</v>
      </c>
      <c r="F4861" t="s">
        <v>7</v>
      </c>
      <c r="G4861" t="s">
        <v>8</v>
      </c>
      <c r="H4861">
        <v>2057.38</v>
      </c>
    </row>
    <row r="4862" spans="1:8" x14ac:dyDescent="0.3">
      <c r="A4862">
        <v>202401</v>
      </c>
      <c r="B4862" s="1">
        <v>45292</v>
      </c>
      <c r="C4862">
        <v>2024</v>
      </c>
      <c r="D4862" t="s">
        <v>6</v>
      </c>
      <c r="E4862" t="s">
        <v>7</v>
      </c>
      <c r="F4862" t="s">
        <v>7</v>
      </c>
      <c r="G4862" t="s">
        <v>8</v>
      </c>
      <c r="H4862">
        <v>6849.7</v>
      </c>
    </row>
    <row r="4863" spans="1:8" x14ac:dyDescent="0.3">
      <c r="A4863">
        <v>202402</v>
      </c>
      <c r="B4863" s="1">
        <v>45323</v>
      </c>
      <c r="C4863">
        <v>2024</v>
      </c>
      <c r="D4863" t="s">
        <v>9</v>
      </c>
      <c r="E4863" t="s">
        <v>7</v>
      </c>
      <c r="F4863" t="s">
        <v>7</v>
      </c>
      <c r="G4863" t="s">
        <v>8</v>
      </c>
      <c r="H4863">
        <v>2802.99</v>
      </c>
    </row>
    <row r="4864" spans="1:8" x14ac:dyDescent="0.3">
      <c r="A4864">
        <v>202403</v>
      </c>
      <c r="B4864" s="1">
        <v>45352</v>
      </c>
      <c r="C4864">
        <v>2024</v>
      </c>
      <c r="D4864" t="s">
        <v>10</v>
      </c>
      <c r="E4864" t="s">
        <v>7</v>
      </c>
      <c r="F4864" t="s">
        <v>7</v>
      </c>
      <c r="G4864" t="s">
        <v>8</v>
      </c>
      <c r="H4864">
        <v>3098.75</v>
      </c>
    </row>
    <row r="4865" spans="1:8" x14ac:dyDescent="0.3">
      <c r="A4865">
        <v>202404</v>
      </c>
      <c r="B4865" s="1">
        <v>45383</v>
      </c>
      <c r="C4865">
        <v>2024</v>
      </c>
      <c r="D4865" t="s">
        <v>11</v>
      </c>
      <c r="E4865" t="s">
        <v>7</v>
      </c>
      <c r="F4865" t="s">
        <v>7</v>
      </c>
      <c r="G4865" t="s">
        <v>8</v>
      </c>
      <c r="H4865">
        <v>7096.66</v>
      </c>
    </row>
    <row r="4866" spans="1:8" x14ac:dyDescent="0.3">
      <c r="A4866">
        <v>202405</v>
      </c>
      <c r="B4866" s="1">
        <v>45413</v>
      </c>
      <c r="C4866">
        <v>2024</v>
      </c>
      <c r="D4866" t="s">
        <v>12</v>
      </c>
      <c r="E4866" t="s">
        <v>7</v>
      </c>
      <c r="F4866" t="s">
        <v>7</v>
      </c>
      <c r="G4866" t="s">
        <v>8</v>
      </c>
      <c r="H4866">
        <v>4642.33</v>
      </c>
    </row>
    <row r="4867" spans="1:8" x14ac:dyDescent="0.3">
      <c r="A4867">
        <v>202406</v>
      </c>
      <c r="B4867" s="1">
        <v>45444</v>
      </c>
      <c r="C4867">
        <v>2024</v>
      </c>
      <c r="D4867" t="s">
        <v>13</v>
      </c>
      <c r="E4867" t="s">
        <v>7</v>
      </c>
      <c r="F4867" t="s">
        <v>7</v>
      </c>
      <c r="G4867" t="s">
        <v>8</v>
      </c>
      <c r="H4867">
        <v>4145.5600000000004</v>
      </c>
    </row>
    <row r="4868" spans="1:8" x14ac:dyDescent="0.3">
      <c r="A4868">
        <v>202407</v>
      </c>
      <c r="B4868" s="1">
        <v>45474</v>
      </c>
      <c r="C4868">
        <v>2024</v>
      </c>
      <c r="D4868" t="s">
        <v>14</v>
      </c>
      <c r="E4868" t="s">
        <v>7</v>
      </c>
      <c r="F4868" t="s">
        <v>7</v>
      </c>
      <c r="G4868" t="s">
        <v>8</v>
      </c>
      <c r="H4868">
        <v>6073.6</v>
      </c>
    </row>
    <row r="4869" spans="1:8" x14ac:dyDescent="0.3">
      <c r="A4869">
        <v>202408</v>
      </c>
      <c r="B4869" s="1">
        <v>45505</v>
      </c>
      <c r="C4869">
        <v>2024</v>
      </c>
      <c r="D4869" t="s">
        <v>15</v>
      </c>
      <c r="E4869" t="s">
        <v>7</v>
      </c>
      <c r="F4869" t="s">
        <v>7</v>
      </c>
      <c r="G4869" t="s">
        <v>8</v>
      </c>
      <c r="H4869">
        <v>4435.28</v>
      </c>
    </row>
    <row r="4870" spans="1:8" x14ac:dyDescent="0.3">
      <c r="A4870">
        <v>202409</v>
      </c>
      <c r="B4870" s="1">
        <v>45536</v>
      </c>
      <c r="C4870">
        <v>2024</v>
      </c>
      <c r="D4870" t="s">
        <v>16</v>
      </c>
      <c r="E4870" t="s">
        <v>7</v>
      </c>
      <c r="F4870" t="s">
        <v>7</v>
      </c>
      <c r="G4870" t="s">
        <v>8</v>
      </c>
      <c r="H4870">
        <v>3780.95</v>
      </c>
    </row>
    <row r="4871" spans="1:8" x14ac:dyDescent="0.3">
      <c r="A4871">
        <v>202410</v>
      </c>
      <c r="B4871" s="1">
        <v>45566</v>
      </c>
      <c r="C4871">
        <v>2024</v>
      </c>
      <c r="D4871" t="s">
        <v>17</v>
      </c>
      <c r="E4871" t="s">
        <v>7</v>
      </c>
      <c r="F4871" t="s">
        <v>7</v>
      </c>
      <c r="G4871" t="s">
        <v>8</v>
      </c>
      <c r="H4871">
        <v>6997.37</v>
      </c>
    </row>
    <row r="4872" spans="1:8" x14ac:dyDescent="0.3">
      <c r="A4872">
        <v>202411</v>
      </c>
      <c r="B4872" s="1">
        <v>45597</v>
      </c>
      <c r="C4872">
        <v>2024</v>
      </c>
      <c r="D4872" t="s">
        <v>18</v>
      </c>
      <c r="E4872" t="s">
        <v>7</v>
      </c>
      <c r="F4872" t="s">
        <v>7</v>
      </c>
      <c r="G4872" t="s">
        <v>8</v>
      </c>
      <c r="H4872">
        <v>5149.21</v>
      </c>
    </row>
    <row r="4873" spans="1:8" x14ac:dyDescent="0.3">
      <c r="A4873">
        <v>202412</v>
      </c>
      <c r="B4873" s="1">
        <v>45627</v>
      </c>
      <c r="C4873">
        <v>2024</v>
      </c>
      <c r="D4873" t="s">
        <v>19</v>
      </c>
      <c r="E4873" t="s">
        <v>7</v>
      </c>
      <c r="F4873" t="s">
        <v>7</v>
      </c>
      <c r="G4873" t="s">
        <v>8</v>
      </c>
      <c r="H4873">
        <v>5319.05</v>
      </c>
    </row>
    <row r="4874" spans="1:8" x14ac:dyDescent="0.3">
      <c r="A4874">
        <v>202401</v>
      </c>
      <c r="B4874" s="1">
        <v>45292</v>
      </c>
      <c r="C4874">
        <v>2024</v>
      </c>
      <c r="D4874" t="s">
        <v>6</v>
      </c>
      <c r="E4874" t="s">
        <v>7</v>
      </c>
      <c r="F4874" t="s">
        <v>7</v>
      </c>
      <c r="G4874" t="s">
        <v>8</v>
      </c>
      <c r="H4874">
        <v>1251.7</v>
      </c>
    </row>
    <row r="4875" spans="1:8" x14ac:dyDescent="0.3">
      <c r="A4875">
        <v>202402</v>
      </c>
      <c r="B4875" s="1">
        <v>45323</v>
      </c>
      <c r="C4875">
        <v>2024</v>
      </c>
      <c r="D4875" t="s">
        <v>9</v>
      </c>
      <c r="E4875" t="s">
        <v>7</v>
      </c>
      <c r="F4875" t="s">
        <v>7</v>
      </c>
      <c r="G4875" t="s">
        <v>8</v>
      </c>
      <c r="H4875">
        <v>598.91</v>
      </c>
    </row>
    <row r="4876" spans="1:8" x14ac:dyDescent="0.3">
      <c r="A4876">
        <v>202403</v>
      </c>
      <c r="B4876" s="1">
        <v>45352</v>
      </c>
      <c r="C4876">
        <v>2024</v>
      </c>
      <c r="D4876" t="s">
        <v>10</v>
      </c>
      <c r="E4876" t="s">
        <v>7</v>
      </c>
      <c r="F4876" t="s">
        <v>7</v>
      </c>
      <c r="G4876" t="s">
        <v>8</v>
      </c>
      <c r="H4876">
        <v>560.91</v>
      </c>
    </row>
    <row r="4877" spans="1:8" x14ac:dyDescent="0.3">
      <c r="A4877">
        <v>202404</v>
      </c>
      <c r="B4877" s="1">
        <v>45383</v>
      </c>
      <c r="C4877">
        <v>2024</v>
      </c>
      <c r="D4877" t="s">
        <v>11</v>
      </c>
      <c r="E4877" t="s">
        <v>7</v>
      </c>
      <c r="F4877" t="s">
        <v>7</v>
      </c>
      <c r="G4877" t="s">
        <v>8</v>
      </c>
      <c r="H4877">
        <v>1991.47</v>
      </c>
    </row>
    <row r="4878" spans="1:8" x14ac:dyDescent="0.3">
      <c r="A4878">
        <v>202405</v>
      </c>
      <c r="B4878" s="1">
        <v>45413</v>
      </c>
      <c r="C4878">
        <v>2024</v>
      </c>
      <c r="D4878" t="s">
        <v>12</v>
      </c>
      <c r="E4878" t="s">
        <v>7</v>
      </c>
      <c r="F4878" t="s">
        <v>7</v>
      </c>
      <c r="G4878" t="s">
        <v>8</v>
      </c>
      <c r="H4878">
        <v>754.01</v>
      </c>
    </row>
    <row r="4879" spans="1:8" x14ac:dyDescent="0.3">
      <c r="A4879">
        <v>202406</v>
      </c>
      <c r="B4879" s="1">
        <v>45444</v>
      </c>
      <c r="C4879">
        <v>2024</v>
      </c>
      <c r="D4879" t="s">
        <v>13</v>
      </c>
      <c r="E4879" t="s">
        <v>7</v>
      </c>
      <c r="F4879" t="s">
        <v>7</v>
      </c>
      <c r="G4879" t="s">
        <v>8</v>
      </c>
      <c r="H4879">
        <v>610.07000000000005</v>
      </c>
    </row>
    <row r="4880" spans="1:8" x14ac:dyDescent="0.3">
      <c r="A4880">
        <v>202407</v>
      </c>
      <c r="B4880" s="1">
        <v>45474</v>
      </c>
      <c r="C4880">
        <v>2024</v>
      </c>
      <c r="D4880" t="s">
        <v>14</v>
      </c>
      <c r="E4880" t="s">
        <v>7</v>
      </c>
      <c r="F4880" t="s">
        <v>7</v>
      </c>
      <c r="G4880" t="s">
        <v>8</v>
      </c>
      <c r="H4880">
        <v>1356.76</v>
      </c>
    </row>
    <row r="4881" spans="1:8" x14ac:dyDescent="0.3">
      <c r="A4881">
        <v>202408</v>
      </c>
      <c r="B4881" s="1">
        <v>45505</v>
      </c>
      <c r="C4881">
        <v>2024</v>
      </c>
      <c r="D4881" t="s">
        <v>15</v>
      </c>
      <c r="E4881" t="s">
        <v>7</v>
      </c>
      <c r="F4881" t="s">
        <v>7</v>
      </c>
      <c r="G4881" t="s">
        <v>8</v>
      </c>
      <c r="H4881">
        <v>898.99</v>
      </c>
    </row>
    <row r="4882" spans="1:8" x14ac:dyDescent="0.3">
      <c r="A4882">
        <v>202409</v>
      </c>
      <c r="B4882" s="1">
        <v>45536</v>
      </c>
      <c r="C4882">
        <v>2024</v>
      </c>
      <c r="D4882" t="s">
        <v>16</v>
      </c>
      <c r="E4882" t="s">
        <v>7</v>
      </c>
      <c r="F4882" t="s">
        <v>7</v>
      </c>
      <c r="G4882" t="s">
        <v>8</v>
      </c>
      <c r="H4882">
        <v>656.69</v>
      </c>
    </row>
    <row r="4883" spans="1:8" x14ac:dyDescent="0.3">
      <c r="A4883">
        <v>202410</v>
      </c>
      <c r="B4883" s="1">
        <v>45566</v>
      </c>
      <c r="C4883">
        <v>2024</v>
      </c>
      <c r="D4883" t="s">
        <v>17</v>
      </c>
      <c r="E4883" t="s">
        <v>7</v>
      </c>
      <c r="F4883" t="s">
        <v>7</v>
      </c>
      <c r="G4883" t="s">
        <v>8</v>
      </c>
      <c r="H4883">
        <v>1381.63</v>
      </c>
    </row>
    <row r="4884" spans="1:8" x14ac:dyDescent="0.3">
      <c r="A4884">
        <v>202411</v>
      </c>
      <c r="B4884" s="1">
        <v>45597</v>
      </c>
      <c r="C4884">
        <v>2024</v>
      </c>
      <c r="D4884" t="s">
        <v>18</v>
      </c>
      <c r="E4884" t="s">
        <v>7</v>
      </c>
      <c r="F4884" t="s">
        <v>7</v>
      </c>
      <c r="G4884" t="s">
        <v>8</v>
      </c>
      <c r="H4884">
        <v>981.46</v>
      </c>
    </row>
    <row r="4885" spans="1:8" x14ac:dyDescent="0.3">
      <c r="A4885">
        <v>202412</v>
      </c>
      <c r="B4885" s="1">
        <v>45627</v>
      </c>
      <c r="C4885">
        <v>2024</v>
      </c>
      <c r="D4885" t="s">
        <v>19</v>
      </c>
      <c r="E4885" t="s">
        <v>7</v>
      </c>
      <c r="F4885" t="s">
        <v>7</v>
      </c>
      <c r="G4885" t="s">
        <v>8</v>
      </c>
      <c r="H4885">
        <v>645.03</v>
      </c>
    </row>
    <row r="4886" spans="1:8" x14ac:dyDescent="0.3">
      <c r="A4886">
        <v>202401</v>
      </c>
      <c r="B4886" s="1">
        <v>45292</v>
      </c>
      <c r="C4886">
        <v>2024</v>
      </c>
      <c r="D4886" t="s">
        <v>6</v>
      </c>
      <c r="E4886" t="s">
        <v>7</v>
      </c>
      <c r="F4886" t="s">
        <v>7</v>
      </c>
      <c r="G4886" t="s">
        <v>8</v>
      </c>
      <c r="H4886">
        <v>1944.58</v>
      </c>
    </row>
    <row r="4887" spans="1:8" x14ac:dyDescent="0.3">
      <c r="A4887">
        <v>202402</v>
      </c>
      <c r="B4887" s="1">
        <v>45323</v>
      </c>
      <c r="C4887">
        <v>2024</v>
      </c>
      <c r="D4887" t="s">
        <v>9</v>
      </c>
      <c r="E4887" t="s">
        <v>7</v>
      </c>
      <c r="F4887" t="s">
        <v>7</v>
      </c>
      <c r="G4887" t="s">
        <v>8</v>
      </c>
      <c r="H4887">
        <v>1003.05</v>
      </c>
    </row>
    <row r="4888" spans="1:8" x14ac:dyDescent="0.3">
      <c r="A4888">
        <v>202403</v>
      </c>
      <c r="B4888" s="1">
        <v>45352</v>
      </c>
      <c r="C4888">
        <v>2024</v>
      </c>
      <c r="D4888" t="s">
        <v>10</v>
      </c>
      <c r="E4888" t="s">
        <v>7</v>
      </c>
      <c r="F4888" t="s">
        <v>7</v>
      </c>
      <c r="G4888" t="s">
        <v>8</v>
      </c>
      <c r="H4888">
        <v>957.79</v>
      </c>
    </row>
    <row r="4889" spans="1:8" x14ac:dyDescent="0.3">
      <c r="A4889">
        <v>202404</v>
      </c>
      <c r="B4889" s="1">
        <v>45383</v>
      </c>
      <c r="C4889">
        <v>2024</v>
      </c>
      <c r="D4889" t="s">
        <v>11</v>
      </c>
      <c r="E4889" t="s">
        <v>7</v>
      </c>
      <c r="F4889" t="s">
        <v>7</v>
      </c>
      <c r="G4889" t="s">
        <v>8</v>
      </c>
      <c r="H4889">
        <v>2345.63</v>
      </c>
    </row>
    <row r="4890" spans="1:8" x14ac:dyDescent="0.3">
      <c r="A4890">
        <v>202405</v>
      </c>
      <c r="B4890" s="1">
        <v>45413</v>
      </c>
      <c r="C4890">
        <v>2024</v>
      </c>
      <c r="D4890" t="s">
        <v>12</v>
      </c>
      <c r="E4890" t="s">
        <v>7</v>
      </c>
      <c r="F4890" t="s">
        <v>7</v>
      </c>
      <c r="G4890" t="s">
        <v>8</v>
      </c>
      <c r="H4890">
        <v>1294.07</v>
      </c>
    </row>
    <row r="4891" spans="1:8" x14ac:dyDescent="0.3">
      <c r="A4891">
        <v>202406</v>
      </c>
      <c r="B4891" s="1">
        <v>45444</v>
      </c>
      <c r="C4891">
        <v>2024</v>
      </c>
      <c r="D4891" t="s">
        <v>13</v>
      </c>
      <c r="E4891" t="s">
        <v>7</v>
      </c>
      <c r="F4891" t="s">
        <v>7</v>
      </c>
      <c r="G4891" t="s">
        <v>8</v>
      </c>
      <c r="H4891">
        <v>971.53</v>
      </c>
    </row>
    <row r="4892" spans="1:8" x14ac:dyDescent="0.3">
      <c r="A4892">
        <v>202407</v>
      </c>
      <c r="B4892" s="1">
        <v>45474</v>
      </c>
      <c r="C4892">
        <v>2024</v>
      </c>
      <c r="D4892" t="s">
        <v>14</v>
      </c>
      <c r="E4892" t="s">
        <v>7</v>
      </c>
      <c r="F4892" t="s">
        <v>7</v>
      </c>
      <c r="G4892" t="s">
        <v>8</v>
      </c>
      <c r="H4892">
        <v>1803.84</v>
      </c>
    </row>
    <row r="4893" spans="1:8" x14ac:dyDescent="0.3">
      <c r="A4893">
        <v>202408</v>
      </c>
      <c r="B4893" s="1">
        <v>45505</v>
      </c>
      <c r="C4893">
        <v>2024</v>
      </c>
      <c r="D4893" t="s">
        <v>15</v>
      </c>
      <c r="E4893" t="s">
        <v>7</v>
      </c>
      <c r="F4893" t="s">
        <v>7</v>
      </c>
      <c r="G4893" t="s">
        <v>8</v>
      </c>
      <c r="H4893">
        <v>1215.51</v>
      </c>
    </row>
    <row r="4894" spans="1:8" x14ac:dyDescent="0.3">
      <c r="A4894">
        <v>202409</v>
      </c>
      <c r="B4894" s="1">
        <v>45536</v>
      </c>
      <c r="C4894">
        <v>2024</v>
      </c>
      <c r="D4894" t="s">
        <v>16</v>
      </c>
      <c r="E4894" t="s">
        <v>7</v>
      </c>
      <c r="F4894" t="s">
        <v>7</v>
      </c>
      <c r="G4894" t="s">
        <v>8</v>
      </c>
      <c r="H4894">
        <v>900.12</v>
      </c>
    </row>
    <row r="4895" spans="1:8" x14ac:dyDescent="0.3">
      <c r="A4895">
        <v>202410</v>
      </c>
      <c r="B4895" s="1">
        <v>45566</v>
      </c>
      <c r="C4895">
        <v>2024</v>
      </c>
      <c r="D4895" t="s">
        <v>17</v>
      </c>
      <c r="E4895" t="s">
        <v>7</v>
      </c>
      <c r="F4895" t="s">
        <v>7</v>
      </c>
      <c r="G4895" t="s">
        <v>8</v>
      </c>
      <c r="H4895">
        <v>1731.62</v>
      </c>
    </row>
    <row r="4896" spans="1:8" x14ac:dyDescent="0.3">
      <c r="A4896">
        <v>202411</v>
      </c>
      <c r="B4896" s="1">
        <v>45597</v>
      </c>
      <c r="C4896">
        <v>2024</v>
      </c>
      <c r="D4896" t="s">
        <v>18</v>
      </c>
      <c r="E4896" t="s">
        <v>7</v>
      </c>
      <c r="F4896" t="s">
        <v>7</v>
      </c>
      <c r="G4896" t="s">
        <v>8</v>
      </c>
      <c r="H4896">
        <v>1388.28</v>
      </c>
    </row>
    <row r="4897" spans="1:8" x14ac:dyDescent="0.3">
      <c r="A4897">
        <v>202412</v>
      </c>
      <c r="B4897" s="1">
        <v>45627</v>
      </c>
      <c r="C4897">
        <v>2024</v>
      </c>
      <c r="D4897" t="s">
        <v>19</v>
      </c>
      <c r="E4897" t="s">
        <v>7</v>
      </c>
      <c r="F4897" t="s">
        <v>7</v>
      </c>
      <c r="G4897" t="s">
        <v>8</v>
      </c>
      <c r="H4897">
        <v>1109.4100000000001</v>
      </c>
    </row>
    <row r="4898" spans="1:8" x14ac:dyDescent="0.3">
      <c r="A4898">
        <v>202401</v>
      </c>
      <c r="B4898" s="1">
        <v>45292</v>
      </c>
      <c r="C4898">
        <v>2024</v>
      </c>
      <c r="D4898" t="s">
        <v>6</v>
      </c>
      <c r="E4898" t="s">
        <v>7</v>
      </c>
      <c r="F4898" t="s">
        <v>7</v>
      </c>
      <c r="G4898" t="s">
        <v>8</v>
      </c>
      <c r="H4898">
        <v>2191.33</v>
      </c>
    </row>
    <row r="4899" spans="1:8" x14ac:dyDescent="0.3">
      <c r="A4899">
        <v>202402</v>
      </c>
      <c r="B4899" s="1">
        <v>45323</v>
      </c>
      <c r="C4899">
        <v>2024</v>
      </c>
      <c r="D4899" t="s">
        <v>9</v>
      </c>
      <c r="E4899" t="s">
        <v>7</v>
      </c>
      <c r="F4899" t="s">
        <v>7</v>
      </c>
      <c r="G4899" t="s">
        <v>8</v>
      </c>
      <c r="H4899">
        <v>943.57</v>
      </c>
    </row>
    <row r="4900" spans="1:8" x14ac:dyDescent="0.3">
      <c r="A4900">
        <v>202403</v>
      </c>
      <c r="B4900" s="1">
        <v>45352</v>
      </c>
      <c r="C4900">
        <v>2024</v>
      </c>
      <c r="D4900" t="s">
        <v>10</v>
      </c>
      <c r="E4900" t="s">
        <v>7</v>
      </c>
      <c r="F4900" t="s">
        <v>7</v>
      </c>
      <c r="G4900" t="s">
        <v>8</v>
      </c>
      <c r="H4900">
        <v>1057.4100000000001</v>
      </c>
    </row>
    <row r="4901" spans="1:8" x14ac:dyDescent="0.3">
      <c r="A4901">
        <v>202404</v>
      </c>
      <c r="B4901" s="1">
        <v>45383</v>
      </c>
      <c r="C4901">
        <v>2024</v>
      </c>
      <c r="D4901" t="s">
        <v>11</v>
      </c>
      <c r="E4901" t="s">
        <v>7</v>
      </c>
      <c r="F4901" t="s">
        <v>7</v>
      </c>
      <c r="G4901" t="s">
        <v>8</v>
      </c>
      <c r="H4901">
        <v>3463.36</v>
      </c>
    </row>
    <row r="4902" spans="1:8" x14ac:dyDescent="0.3">
      <c r="A4902">
        <v>202405</v>
      </c>
      <c r="B4902" s="1">
        <v>45413</v>
      </c>
      <c r="C4902">
        <v>2024</v>
      </c>
      <c r="D4902" t="s">
        <v>12</v>
      </c>
      <c r="E4902" t="s">
        <v>7</v>
      </c>
      <c r="F4902" t="s">
        <v>7</v>
      </c>
      <c r="G4902" t="s">
        <v>8</v>
      </c>
      <c r="H4902">
        <v>1712.2</v>
      </c>
    </row>
    <row r="4903" spans="1:8" x14ac:dyDescent="0.3">
      <c r="A4903">
        <v>202406</v>
      </c>
      <c r="B4903" s="1">
        <v>45444</v>
      </c>
      <c r="C4903">
        <v>2024</v>
      </c>
      <c r="D4903" t="s">
        <v>13</v>
      </c>
      <c r="E4903" t="s">
        <v>7</v>
      </c>
      <c r="F4903" t="s">
        <v>7</v>
      </c>
      <c r="G4903" t="s">
        <v>8</v>
      </c>
      <c r="H4903">
        <v>1247.28</v>
      </c>
    </row>
    <row r="4904" spans="1:8" x14ac:dyDescent="0.3">
      <c r="A4904">
        <v>202407</v>
      </c>
      <c r="B4904" s="1">
        <v>45474</v>
      </c>
      <c r="C4904">
        <v>2024</v>
      </c>
      <c r="D4904" t="s">
        <v>14</v>
      </c>
      <c r="E4904" t="s">
        <v>7</v>
      </c>
      <c r="F4904" t="s">
        <v>7</v>
      </c>
      <c r="G4904" t="s">
        <v>8</v>
      </c>
      <c r="H4904">
        <v>2395.17</v>
      </c>
    </row>
    <row r="4905" spans="1:8" x14ac:dyDescent="0.3">
      <c r="A4905">
        <v>202408</v>
      </c>
      <c r="B4905" s="1">
        <v>45505</v>
      </c>
      <c r="C4905">
        <v>2024</v>
      </c>
      <c r="D4905" t="s">
        <v>15</v>
      </c>
      <c r="E4905" t="s">
        <v>7</v>
      </c>
      <c r="F4905" t="s">
        <v>7</v>
      </c>
      <c r="G4905" t="s">
        <v>8</v>
      </c>
      <c r="H4905">
        <v>1778.77</v>
      </c>
    </row>
    <row r="4906" spans="1:8" x14ac:dyDescent="0.3">
      <c r="A4906">
        <v>202409</v>
      </c>
      <c r="B4906" s="1">
        <v>45536</v>
      </c>
      <c r="C4906">
        <v>2024</v>
      </c>
      <c r="D4906" t="s">
        <v>16</v>
      </c>
      <c r="E4906" t="s">
        <v>7</v>
      </c>
      <c r="F4906" t="s">
        <v>7</v>
      </c>
      <c r="G4906" t="s">
        <v>8</v>
      </c>
      <c r="H4906">
        <v>1179.93</v>
      </c>
    </row>
    <row r="4907" spans="1:8" x14ac:dyDescent="0.3">
      <c r="A4907">
        <v>202410</v>
      </c>
      <c r="B4907" s="1">
        <v>45566</v>
      </c>
      <c r="C4907">
        <v>2024</v>
      </c>
      <c r="D4907" t="s">
        <v>17</v>
      </c>
      <c r="E4907" t="s">
        <v>7</v>
      </c>
      <c r="F4907" t="s">
        <v>7</v>
      </c>
      <c r="G4907" t="s">
        <v>8</v>
      </c>
      <c r="H4907">
        <v>2413.4699999999998</v>
      </c>
    </row>
    <row r="4908" spans="1:8" x14ac:dyDescent="0.3">
      <c r="A4908">
        <v>202411</v>
      </c>
      <c r="B4908" s="1">
        <v>45597</v>
      </c>
      <c r="C4908">
        <v>2024</v>
      </c>
      <c r="D4908" t="s">
        <v>18</v>
      </c>
      <c r="E4908" t="s">
        <v>7</v>
      </c>
      <c r="F4908" t="s">
        <v>7</v>
      </c>
      <c r="G4908" t="s">
        <v>8</v>
      </c>
      <c r="H4908">
        <v>1631.9</v>
      </c>
    </row>
    <row r="4909" spans="1:8" x14ac:dyDescent="0.3">
      <c r="A4909">
        <v>202412</v>
      </c>
      <c r="B4909" s="1">
        <v>45627</v>
      </c>
      <c r="C4909">
        <v>2024</v>
      </c>
      <c r="D4909" t="s">
        <v>19</v>
      </c>
      <c r="E4909" t="s">
        <v>7</v>
      </c>
      <c r="F4909" t="s">
        <v>7</v>
      </c>
      <c r="G4909" t="s">
        <v>8</v>
      </c>
      <c r="H4909">
        <v>1096.1600000000001</v>
      </c>
    </row>
    <row r="4910" spans="1:8" x14ac:dyDescent="0.3">
      <c r="A4910">
        <v>202401</v>
      </c>
      <c r="B4910" s="1">
        <v>45292</v>
      </c>
      <c r="C4910">
        <v>2024</v>
      </c>
      <c r="D4910" t="s">
        <v>6</v>
      </c>
      <c r="E4910" t="s">
        <v>7</v>
      </c>
      <c r="F4910" t="s">
        <v>7</v>
      </c>
      <c r="G4910" t="s">
        <v>8</v>
      </c>
      <c r="H4910">
        <v>3621.15</v>
      </c>
    </row>
    <row r="4911" spans="1:8" x14ac:dyDescent="0.3">
      <c r="A4911">
        <v>202402</v>
      </c>
      <c r="B4911" s="1">
        <v>45323</v>
      </c>
      <c r="C4911">
        <v>2024</v>
      </c>
      <c r="D4911" t="s">
        <v>9</v>
      </c>
      <c r="E4911" t="s">
        <v>7</v>
      </c>
      <c r="F4911" t="s">
        <v>7</v>
      </c>
      <c r="G4911" t="s">
        <v>8</v>
      </c>
      <c r="H4911">
        <v>1129.8900000000001</v>
      </c>
    </row>
    <row r="4912" spans="1:8" x14ac:dyDescent="0.3">
      <c r="A4912">
        <v>202403</v>
      </c>
      <c r="B4912" s="1">
        <v>45352</v>
      </c>
      <c r="C4912">
        <v>2024</v>
      </c>
      <c r="D4912" t="s">
        <v>10</v>
      </c>
      <c r="E4912" t="s">
        <v>7</v>
      </c>
      <c r="F4912" t="s">
        <v>7</v>
      </c>
      <c r="G4912" t="s">
        <v>8</v>
      </c>
      <c r="H4912">
        <v>1108.19</v>
      </c>
    </row>
    <row r="4913" spans="1:8" x14ac:dyDescent="0.3">
      <c r="A4913">
        <v>202404</v>
      </c>
      <c r="B4913" s="1">
        <v>45383</v>
      </c>
      <c r="C4913">
        <v>2024</v>
      </c>
      <c r="D4913" t="s">
        <v>11</v>
      </c>
      <c r="E4913" t="s">
        <v>7</v>
      </c>
      <c r="F4913" t="s">
        <v>7</v>
      </c>
      <c r="G4913" t="s">
        <v>8</v>
      </c>
      <c r="H4913">
        <v>2814.32</v>
      </c>
    </row>
    <row r="4914" spans="1:8" x14ac:dyDescent="0.3">
      <c r="A4914">
        <v>202405</v>
      </c>
      <c r="B4914" s="1">
        <v>45413</v>
      </c>
      <c r="C4914">
        <v>2024</v>
      </c>
      <c r="D4914" t="s">
        <v>12</v>
      </c>
      <c r="E4914" t="s">
        <v>7</v>
      </c>
      <c r="F4914" t="s">
        <v>7</v>
      </c>
      <c r="G4914" t="s">
        <v>8</v>
      </c>
      <c r="H4914">
        <v>1596.66</v>
      </c>
    </row>
    <row r="4915" spans="1:8" x14ac:dyDescent="0.3">
      <c r="A4915">
        <v>202406</v>
      </c>
      <c r="B4915" s="1">
        <v>45444</v>
      </c>
      <c r="C4915">
        <v>2024</v>
      </c>
      <c r="D4915" t="s">
        <v>13</v>
      </c>
      <c r="E4915" t="s">
        <v>7</v>
      </c>
      <c r="F4915" t="s">
        <v>7</v>
      </c>
      <c r="G4915" t="s">
        <v>8</v>
      </c>
      <c r="H4915">
        <v>1780.86</v>
      </c>
    </row>
    <row r="4916" spans="1:8" x14ac:dyDescent="0.3">
      <c r="A4916">
        <v>202407</v>
      </c>
      <c r="B4916" s="1">
        <v>45474</v>
      </c>
      <c r="C4916">
        <v>2024</v>
      </c>
      <c r="D4916" t="s">
        <v>14</v>
      </c>
      <c r="E4916" t="s">
        <v>7</v>
      </c>
      <c r="F4916" t="s">
        <v>7</v>
      </c>
      <c r="G4916" t="s">
        <v>8</v>
      </c>
      <c r="H4916">
        <v>3984.67</v>
      </c>
    </row>
    <row r="4917" spans="1:8" x14ac:dyDescent="0.3">
      <c r="A4917">
        <v>202408</v>
      </c>
      <c r="B4917" s="1">
        <v>45505</v>
      </c>
      <c r="C4917">
        <v>2024</v>
      </c>
      <c r="D4917" t="s">
        <v>15</v>
      </c>
      <c r="E4917" t="s">
        <v>7</v>
      </c>
      <c r="F4917" t="s">
        <v>7</v>
      </c>
      <c r="G4917" t="s">
        <v>8</v>
      </c>
      <c r="H4917">
        <v>1849.34</v>
      </c>
    </row>
    <row r="4918" spans="1:8" x14ac:dyDescent="0.3">
      <c r="A4918">
        <v>202409</v>
      </c>
      <c r="B4918" s="1">
        <v>45536</v>
      </c>
      <c r="C4918">
        <v>2024</v>
      </c>
      <c r="D4918" t="s">
        <v>16</v>
      </c>
      <c r="E4918" t="s">
        <v>7</v>
      </c>
      <c r="F4918" t="s">
        <v>7</v>
      </c>
      <c r="G4918" t="s">
        <v>8</v>
      </c>
      <c r="H4918">
        <v>1386.25</v>
      </c>
    </row>
    <row r="4919" spans="1:8" x14ac:dyDescent="0.3">
      <c r="A4919">
        <v>202410</v>
      </c>
      <c r="B4919" s="1">
        <v>45566</v>
      </c>
      <c r="C4919">
        <v>2024</v>
      </c>
      <c r="D4919" t="s">
        <v>17</v>
      </c>
      <c r="E4919" t="s">
        <v>7</v>
      </c>
      <c r="F4919" t="s">
        <v>7</v>
      </c>
      <c r="G4919" t="s">
        <v>8</v>
      </c>
      <c r="H4919">
        <v>3305.33</v>
      </c>
    </row>
    <row r="4920" spans="1:8" x14ac:dyDescent="0.3">
      <c r="A4920">
        <v>202411</v>
      </c>
      <c r="B4920" s="1">
        <v>45597</v>
      </c>
      <c r="C4920">
        <v>2024</v>
      </c>
      <c r="D4920" t="s">
        <v>18</v>
      </c>
      <c r="E4920" t="s">
        <v>7</v>
      </c>
      <c r="F4920" t="s">
        <v>7</v>
      </c>
      <c r="G4920" t="s">
        <v>8</v>
      </c>
      <c r="H4920">
        <v>2190.64</v>
      </c>
    </row>
    <row r="4921" spans="1:8" x14ac:dyDescent="0.3">
      <c r="A4921">
        <v>202412</v>
      </c>
      <c r="B4921" s="1">
        <v>45627</v>
      </c>
      <c r="C4921">
        <v>2024</v>
      </c>
      <c r="D4921" t="s">
        <v>19</v>
      </c>
      <c r="E4921" t="s">
        <v>7</v>
      </c>
      <c r="F4921" t="s">
        <v>7</v>
      </c>
      <c r="G4921" t="s">
        <v>8</v>
      </c>
      <c r="H4921">
        <v>1661.74</v>
      </c>
    </row>
    <row r="4922" spans="1:8" x14ac:dyDescent="0.3">
      <c r="A4922">
        <v>202401</v>
      </c>
      <c r="B4922" s="1">
        <v>45292</v>
      </c>
      <c r="C4922">
        <v>2024</v>
      </c>
      <c r="D4922" t="s">
        <v>6</v>
      </c>
      <c r="E4922" t="s">
        <v>7</v>
      </c>
      <c r="F4922" t="s">
        <v>7</v>
      </c>
      <c r="G4922" t="s">
        <v>8</v>
      </c>
      <c r="H4922">
        <v>7483.96</v>
      </c>
    </row>
    <row r="4923" spans="1:8" x14ac:dyDescent="0.3">
      <c r="A4923">
        <v>202402</v>
      </c>
      <c r="B4923" s="1">
        <v>45323</v>
      </c>
      <c r="C4923">
        <v>2024</v>
      </c>
      <c r="D4923" t="s">
        <v>9</v>
      </c>
      <c r="E4923" t="s">
        <v>7</v>
      </c>
      <c r="F4923" t="s">
        <v>7</v>
      </c>
      <c r="G4923" t="s">
        <v>8</v>
      </c>
      <c r="H4923">
        <v>2630.31</v>
      </c>
    </row>
    <row r="4924" spans="1:8" x14ac:dyDescent="0.3">
      <c r="A4924">
        <v>202403</v>
      </c>
      <c r="B4924" s="1">
        <v>45352</v>
      </c>
      <c r="C4924">
        <v>2024</v>
      </c>
      <c r="D4924" t="s">
        <v>10</v>
      </c>
      <c r="E4924" t="s">
        <v>7</v>
      </c>
      <c r="F4924" t="s">
        <v>7</v>
      </c>
      <c r="G4924" t="s">
        <v>8</v>
      </c>
      <c r="H4924">
        <v>2555.37</v>
      </c>
    </row>
    <row r="4925" spans="1:8" x14ac:dyDescent="0.3">
      <c r="A4925">
        <v>202404</v>
      </c>
      <c r="B4925" s="1">
        <v>45383</v>
      </c>
      <c r="C4925">
        <v>2024</v>
      </c>
      <c r="D4925" t="s">
        <v>11</v>
      </c>
      <c r="E4925" t="s">
        <v>7</v>
      </c>
      <c r="F4925" t="s">
        <v>7</v>
      </c>
      <c r="G4925" t="s">
        <v>8</v>
      </c>
      <c r="H4925">
        <v>8376.07</v>
      </c>
    </row>
    <row r="4926" spans="1:8" x14ac:dyDescent="0.3">
      <c r="A4926">
        <v>202405</v>
      </c>
      <c r="B4926" s="1">
        <v>45413</v>
      </c>
      <c r="C4926">
        <v>2024</v>
      </c>
      <c r="D4926" t="s">
        <v>12</v>
      </c>
      <c r="E4926" t="s">
        <v>7</v>
      </c>
      <c r="F4926" t="s">
        <v>7</v>
      </c>
      <c r="G4926" t="s">
        <v>8</v>
      </c>
      <c r="H4926">
        <v>4037.32</v>
      </c>
    </row>
    <row r="4927" spans="1:8" x14ac:dyDescent="0.3">
      <c r="A4927">
        <v>202406</v>
      </c>
      <c r="B4927" s="1">
        <v>45444</v>
      </c>
      <c r="C4927">
        <v>2024</v>
      </c>
      <c r="D4927" t="s">
        <v>13</v>
      </c>
      <c r="E4927" t="s">
        <v>7</v>
      </c>
      <c r="F4927" t="s">
        <v>7</v>
      </c>
      <c r="G4927" t="s">
        <v>8</v>
      </c>
      <c r="H4927">
        <v>2738.91</v>
      </c>
    </row>
    <row r="4928" spans="1:8" x14ac:dyDescent="0.3">
      <c r="A4928">
        <v>202407</v>
      </c>
      <c r="B4928" s="1">
        <v>45474</v>
      </c>
      <c r="C4928">
        <v>2024</v>
      </c>
      <c r="D4928" t="s">
        <v>14</v>
      </c>
      <c r="E4928" t="s">
        <v>7</v>
      </c>
      <c r="F4928" t="s">
        <v>7</v>
      </c>
      <c r="G4928" t="s">
        <v>8</v>
      </c>
      <c r="H4928">
        <v>7404.41</v>
      </c>
    </row>
    <row r="4929" spans="1:8" x14ac:dyDescent="0.3">
      <c r="A4929">
        <v>202408</v>
      </c>
      <c r="B4929" s="1">
        <v>45505</v>
      </c>
      <c r="C4929">
        <v>2024</v>
      </c>
      <c r="D4929" t="s">
        <v>15</v>
      </c>
      <c r="E4929" t="s">
        <v>7</v>
      </c>
      <c r="F4929" t="s">
        <v>7</v>
      </c>
      <c r="G4929" t="s">
        <v>8</v>
      </c>
      <c r="H4929">
        <v>4141.8999999999996</v>
      </c>
    </row>
    <row r="4930" spans="1:8" x14ac:dyDescent="0.3">
      <c r="A4930">
        <v>202409</v>
      </c>
      <c r="B4930" s="1">
        <v>45536</v>
      </c>
      <c r="C4930">
        <v>2024</v>
      </c>
      <c r="D4930" t="s">
        <v>16</v>
      </c>
      <c r="E4930" t="s">
        <v>7</v>
      </c>
      <c r="F4930" t="s">
        <v>7</v>
      </c>
      <c r="G4930" t="s">
        <v>8</v>
      </c>
      <c r="H4930">
        <v>2941.01</v>
      </c>
    </row>
    <row r="4931" spans="1:8" x14ac:dyDescent="0.3">
      <c r="A4931">
        <v>202410</v>
      </c>
      <c r="B4931" s="1">
        <v>45566</v>
      </c>
      <c r="C4931">
        <v>2024</v>
      </c>
      <c r="D4931" t="s">
        <v>17</v>
      </c>
      <c r="E4931" t="s">
        <v>7</v>
      </c>
      <c r="F4931" t="s">
        <v>7</v>
      </c>
      <c r="G4931" t="s">
        <v>8</v>
      </c>
      <c r="H4931">
        <v>7614.3</v>
      </c>
    </row>
    <row r="4932" spans="1:8" x14ac:dyDescent="0.3">
      <c r="A4932">
        <v>202411</v>
      </c>
      <c r="B4932" s="1">
        <v>45597</v>
      </c>
      <c r="C4932">
        <v>2024</v>
      </c>
      <c r="D4932" t="s">
        <v>18</v>
      </c>
      <c r="E4932" t="s">
        <v>7</v>
      </c>
      <c r="F4932" t="s">
        <v>7</v>
      </c>
      <c r="G4932" t="s">
        <v>8</v>
      </c>
      <c r="H4932">
        <v>4347.37</v>
      </c>
    </row>
    <row r="4933" spans="1:8" x14ac:dyDescent="0.3">
      <c r="A4933">
        <v>202412</v>
      </c>
      <c r="B4933" s="1">
        <v>45627</v>
      </c>
      <c r="C4933">
        <v>2024</v>
      </c>
      <c r="D4933" t="s">
        <v>19</v>
      </c>
      <c r="E4933" t="s">
        <v>7</v>
      </c>
      <c r="F4933" t="s">
        <v>7</v>
      </c>
      <c r="G4933" t="s">
        <v>8</v>
      </c>
      <c r="H4933">
        <v>3270.92</v>
      </c>
    </row>
    <row r="4934" spans="1:8" x14ac:dyDescent="0.3">
      <c r="A4934">
        <v>202401</v>
      </c>
      <c r="B4934" s="1">
        <v>45292</v>
      </c>
      <c r="C4934">
        <v>2024</v>
      </c>
      <c r="D4934" t="s">
        <v>6</v>
      </c>
      <c r="E4934" t="s">
        <v>7</v>
      </c>
      <c r="F4934" t="s">
        <v>7</v>
      </c>
      <c r="G4934" t="s">
        <v>8</v>
      </c>
      <c r="H4934">
        <v>12115.84</v>
      </c>
    </row>
    <row r="4935" spans="1:8" x14ac:dyDescent="0.3">
      <c r="A4935">
        <v>202402</v>
      </c>
      <c r="B4935" s="1">
        <v>45323</v>
      </c>
      <c r="C4935">
        <v>2024</v>
      </c>
      <c r="D4935" t="s">
        <v>9</v>
      </c>
      <c r="E4935" t="s">
        <v>7</v>
      </c>
      <c r="F4935" t="s">
        <v>7</v>
      </c>
      <c r="G4935" t="s">
        <v>8</v>
      </c>
      <c r="H4935">
        <v>4924.53</v>
      </c>
    </row>
    <row r="4936" spans="1:8" x14ac:dyDescent="0.3">
      <c r="A4936">
        <v>202403</v>
      </c>
      <c r="B4936" s="1">
        <v>45352</v>
      </c>
      <c r="C4936">
        <v>2024</v>
      </c>
      <c r="D4936" t="s">
        <v>10</v>
      </c>
      <c r="E4936" t="s">
        <v>7</v>
      </c>
      <c r="F4936" t="s">
        <v>7</v>
      </c>
      <c r="G4936" t="s">
        <v>8</v>
      </c>
      <c r="H4936">
        <v>5322.81</v>
      </c>
    </row>
    <row r="4937" spans="1:8" x14ac:dyDescent="0.3">
      <c r="A4937">
        <v>202404</v>
      </c>
      <c r="B4937" s="1">
        <v>45383</v>
      </c>
      <c r="C4937">
        <v>2024</v>
      </c>
      <c r="D4937" t="s">
        <v>11</v>
      </c>
      <c r="E4937" t="s">
        <v>7</v>
      </c>
      <c r="F4937" t="s">
        <v>7</v>
      </c>
      <c r="G4937" t="s">
        <v>8</v>
      </c>
      <c r="H4937">
        <v>13638.1</v>
      </c>
    </row>
    <row r="4938" spans="1:8" x14ac:dyDescent="0.3">
      <c r="A4938">
        <v>202405</v>
      </c>
      <c r="B4938" s="1">
        <v>45413</v>
      </c>
      <c r="C4938">
        <v>2024</v>
      </c>
      <c r="D4938" t="s">
        <v>12</v>
      </c>
      <c r="E4938" t="s">
        <v>7</v>
      </c>
      <c r="F4938" t="s">
        <v>7</v>
      </c>
      <c r="G4938" t="s">
        <v>8</v>
      </c>
      <c r="H4938">
        <v>7579.45</v>
      </c>
    </row>
    <row r="4939" spans="1:8" x14ac:dyDescent="0.3">
      <c r="A4939">
        <v>202406</v>
      </c>
      <c r="B4939" s="1">
        <v>45444</v>
      </c>
      <c r="C4939">
        <v>2024</v>
      </c>
      <c r="D4939" t="s">
        <v>13</v>
      </c>
      <c r="E4939" t="s">
        <v>7</v>
      </c>
      <c r="F4939" t="s">
        <v>7</v>
      </c>
      <c r="G4939" t="s">
        <v>8</v>
      </c>
      <c r="H4939">
        <v>6379.26</v>
      </c>
    </row>
    <row r="4940" spans="1:8" x14ac:dyDescent="0.3">
      <c r="A4940">
        <v>202407</v>
      </c>
      <c r="B4940" s="1">
        <v>45474</v>
      </c>
      <c r="C4940">
        <v>2024</v>
      </c>
      <c r="D4940" t="s">
        <v>14</v>
      </c>
      <c r="E4940" t="s">
        <v>7</v>
      </c>
      <c r="F4940" t="s">
        <v>7</v>
      </c>
      <c r="G4940" t="s">
        <v>8</v>
      </c>
      <c r="H4940">
        <v>11674.71</v>
      </c>
    </row>
    <row r="4941" spans="1:8" x14ac:dyDescent="0.3">
      <c r="A4941">
        <v>202408</v>
      </c>
      <c r="B4941" s="1">
        <v>45505</v>
      </c>
      <c r="C4941">
        <v>2024</v>
      </c>
      <c r="D4941" t="s">
        <v>15</v>
      </c>
      <c r="E4941" t="s">
        <v>7</v>
      </c>
      <c r="F4941" t="s">
        <v>7</v>
      </c>
      <c r="G4941" t="s">
        <v>8</v>
      </c>
      <c r="H4941">
        <v>9244.93</v>
      </c>
    </row>
    <row r="4942" spans="1:8" x14ac:dyDescent="0.3">
      <c r="A4942">
        <v>202409</v>
      </c>
      <c r="B4942" s="1">
        <v>45536</v>
      </c>
      <c r="C4942">
        <v>2024</v>
      </c>
      <c r="D4942" t="s">
        <v>16</v>
      </c>
      <c r="E4942" t="s">
        <v>7</v>
      </c>
      <c r="F4942" t="s">
        <v>7</v>
      </c>
      <c r="G4942" t="s">
        <v>8</v>
      </c>
      <c r="H4942">
        <v>6251.8</v>
      </c>
    </row>
    <row r="4943" spans="1:8" x14ac:dyDescent="0.3">
      <c r="A4943">
        <v>202410</v>
      </c>
      <c r="B4943" s="1">
        <v>45566</v>
      </c>
      <c r="C4943">
        <v>2024</v>
      </c>
      <c r="D4943" t="s">
        <v>17</v>
      </c>
      <c r="E4943" t="s">
        <v>7</v>
      </c>
      <c r="F4943" t="s">
        <v>7</v>
      </c>
      <c r="G4943" t="s">
        <v>8</v>
      </c>
      <c r="H4943">
        <v>12930.01</v>
      </c>
    </row>
    <row r="4944" spans="1:8" x14ac:dyDescent="0.3">
      <c r="A4944">
        <v>202411</v>
      </c>
      <c r="B4944" s="1">
        <v>45597</v>
      </c>
      <c r="C4944">
        <v>2024</v>
      </c>
      <c r="D4944" t="s">
        <v>18</v>
      </c>
      <c r="E4944" t="s">
        <v>7</v>
      </c>
      <c r="F4944" t="s">
        <v>7</v>
      </c>
      <c r="G4944" t="s">
        <v>8</v>
      </c>
      <c r="H4944">
        <v>8784.4599999999991</v>
      </c>
    </row>
    <row r="4945" spans="1:8" x14ac:dyDescent="0.3">
      <c r="A4945">
        <v>202412</v>
      </c>
      <c r="B4945" s="1">
        <v>45627</v>
      </c>
      <c r="C4945">
        <v>2024</v>
      </c>
      <c r="D4945" t="s">
        <v>19</v>
      </c>
      <c r="E4945" t="s">
        <v>7</v>
      </c>
      <c r="F4945" t="s">
        <v>7</v>
      </c>
      <c r="G4945" t="s">
        <v>8</v>
      </c>
      <c r="H4945">
        <v>7518.43</v>
      </c>
    </row>
    <row r="4946" spans="1:8" x14ac:dyDescent="0.3">
      <c r="A4946">
        <v>202401</v>
      </c>
      <c r="B4946" s="1">
        <v>45292</v>
      </c>
      <c r="C4946">
        <v>2024</v>
      </c>
      <c r="D4946" t="s">
        <v>6</v>
      </c>
      <c r="E4946" t="s">
        <v>7</v>
      </c>
      <c r="F4946" t="s">
        <v>7</v>
      </c>
      <c r="G4946" t="s">
        <v>8</v>
      </c>
      <c r="H4946">
        <v>1152.44</v>
      </c>
    </row>
    <row r="4947" spans="1:8" x14ac:dyDescent="0.3">
      <c r="A4947">
        <v>202402</v>
      </c>
      <c r="B4947" s="1">
        <v>45323</v>
      </c>
      <c r="C4947">
        <v>2024</v>
      </c>
      <c r="D4947" t="s">
        <v>9</v>
      </c>
      <c r="E4947" t="s">
        <v>7</v>
      </c>
      <c r="F4947" t="s">
        <v>7</v>
      </c>
      <c r="G4947" t="s">
        <v>8</v>
      </c>
      <c r="H4947">
        <v>476.37</v>
      </c>
    </row>
    <row r="4948" spans="1:8" x14ac:dyDescent="0.3">
      <c r="A4948">
        <v>202403</v>
      </c>
      <c r="B4948" s="1">
        <v>45352</v>
      </c>
      <c r="C4948">
        <v>2024</v>
      </c>
      <c r="D4948" t="s">
        <v>10</v>
      </c>
      <c r="E4948" t="s">
        <v>7</v>
      </c>
      <c r="F4948" t="s">
        <v>7</v>
      </c>
      <c r="G4948" t="s">
        <v>8</v>
      </c>
      <c r="H4948">
        <v>518.04999999999995</v>
      </c>
    </row>
    <row r="4949" spans="1:8" x14ac:dyDescent="0.3">
      <c r="A4949">
        <v>202404</v>
      </c>
      <c r="B4949" s="1">
        <v>45383</v>
      </c>
      <c r="C4949">
        <v>2024</v>
      </c>
      <c r="D4949" t="s">
        <v>11</v>
      </c>
      <c r="E4949" t="s">
        <v>7</v>
      </c>
      <c r="F4949" t="s">
        <v>7</v>
      </c>
      <c r="G4949" t="s">
        <v>8</v>
      </c>
      <c r="H4949">
        <v>1360.63</v>
      </c>
    </row>
    <row r="4950" spans="1:8" x14ac:dyDescent="0.3">
      <c r="A4950">
        <v>202405</v>
      </c>
      <c r="B4950" s="1">
        <v>45413</v>
      </c>
      <c r="C4950">
        <v>2024</v>
      </c>
      <c r="D4950" t="s">
        <v>12</v>
      </c>
      <c r="E4950" t="s">
        <v>7</v>
      </c>
      <c r="F4950" t="s">
        <v>7</v>
      </c>
      <c r="G4950" t="s">
        <v>8</v>
      </c>
      <c r="H4950">
        <v>589.42999999999995</v>
      </c>
    </row>
    <row r="4951" spans="1:8" x14ac:dyDescent="0.3">
      <c r="A4951">
        <v>202406</v>
      </c>
      <c r="B4951" s="1">
        <v>45444</v>
      </c>
      <c r="C4951">
        <v>2024</v>
      </c>
      <c r="D4951" t="s">
        <v>13</v>
      </c>
      <c r="E4951" t="s">
        <v>7</v>
      </c>
      <c r="F4951" t="s">
        <v>7</v>
      </c>
      <c r="G4951" t="s">
        <v>8</v>
      </c>
      <c r="H4951">
        <v>493.07</v>
      </c>
    </row>
    <row r="4952" spans="1:8" x14ac:dyDescent="0.3">
      <c r="A4952">
        <v>202407</v>
      </c>
      <c r="B4952" s="1">
        <v>45474</v>
      </c>
      <c r="C4952">
        <v>2024</v>
      </c>
      <c r="D4952" t="s">
        <v>14</v>
      </c>
      <c r="E4952" t="s">
        <v>7</v>
      </c>
      <c r="F4952" t="s">
        <v>7</v>
      </c>
      <c r="G4952" t="s">
        <v>8</v>
      </c>
      <c r="H4952">
        <v>1084.95</v>
      </c>
    </row>
    <row r="4953" spans="1:8" x14ac:dyDescent="0.3">
      <c r="A4953">
        <v>202408</v>
      </c>
      <c r="B4953" s="1">
        <v>45505</v>
      </c>
      <c r="C4953">
        <v>2024</v>
      </c>
      <c r="D4953" t="s">
        <v>15</v>
      </c>
      <c r="E4953" t="s">
        <v>7</v>
      </c>
      <c r="F4953" t="s">
        <v>7</v>
      </c>
      <c r="G4953" t="s">
        <v>8</v>
      </c>
      <c r="H4953">
        <v>591.61</v>
      </c>
    </row>
    <row r="4954" spans="1:8" x14ac:dyDescent="0.3">
      <c r="A4954">
        <v>202409</v>
      </c>
      <c r="B4954" s="1">
        <v>45536</v>
      </c>
      <c r="C4954">
        <v>2024</v>
      </c>
      <c r="D4954" t="s">
        <v>16</v>
      </c>
      <c r="E4954" t="s">
        <v>7</v>
      </c>
      <c r="F4954" t="s">
        <v>7</v>
      </c>
      <c r="G4954" t="s">
        <v>8</v>
      </c>
      <c r="H4954">
        <v>452.52</v>
      </c>
    </row>
    <row r="4955" spans="1:8" x14ac:dyDescent="0.3">
      <c r="A4955">
        <v>202410</v>
      </c>
      <c r="B4955" s="1">
        <v>45566</v>
      </c>
      <c r="C4955">
        <v>2024</v>
      </c>
      <c r="D4955" t="s">
        <v>17</v>
      </c>
      <c r="E4955" t="s">
        <v>7</v>
      </c>
      <c r="F4955" t="s">
        <v>7</v>
      </c>
      <c r="G4955" t="s">
        <v>8</v>
      </c>
      <c r="H4955">
        <v>1118.5899999999999</v>
      </c>
    </row>
    <row r="4956" spans="1:8" x14ac:dyDescent="0.3">
      <c r="A4956">
        <v>202411</v>
      </c>
      <c r="B4956" s="1">
        <v>45597</v>
      </c>
      <c r="C4956">
        <v>2024</v>
      </c>
      <c r="D4956" t="s">
        <v>18</v>
      </c>
      <c r="E4956" t="s">
        <v>7</v>
      </c>
      <c r="F4956" t="s">
        <v>7</v>
      </c>
      <c r="G4956" t="s">
        <v>8</v>
      </c>
      <c r="H4956">
        <v>699.7</v>
      </c>
    </row>
    <row r="4957" spans="1:8" x14ac:dyDescent="0.3">
      <c r="A4957">
        <v>202412</v>
      </c>
      <c r="B4957" s="1">
        <v>45627</v>
      </c>
      <c r="C4957">
        <v>2024</v>
      </c>
      <c r="D4957" t="s">
        <v>19</v>
      </c>
      <c r="E4957" t="s">
        <v>7</v>
      </c>
      <c r="F4957" t="s">
        <v>7</v>
      </c>
      <c r="G4957" t="s">
        <v>8</v>
      </c>
      <c r="H4957">
        <v>560.16</v>
      </c>
    </row>
    <row r="4958" spans="1:8" x14ac:dyDescent="0.3">
      <c r="A4958">
        <v>202401</v>
      </c>
      <c r="B4958" s="1">
        <v>45292</v>
      </c>
      <c r="C4958">
        <v>2024</v>
      </c>
      <c r="D4958" t="s">
        <v>6</v>
      </c>
      <c r="E4958" t="s">
        <v>7</v>
      </c>
      <c r="F4958" t="s">
        <v>7</v>
      </c>
      <c r="G4958" t="s">
        <v>8</v>
      </c>
      <c r="H4958">
        <v>9878.14</v>
      </c>
    </row>
    <row r="4959" spans="1:8" x14ac:dyDescent="0.3">
      <c r="A4959">
        <v>202402</v>
      </c>
      <c r="B4959" s="1">
        <v>45323</v>
      </c>
      <c r="C4959">
        <v>2024</v>
      </c>
      <c r="D4959" t="s">
        <v>9</v>
      </c>
      <c r="E4959" t="s">
        <v>7</v>
      </c>
      <c r="F4959" t="s">
        <v>7</v>
      </c>
      <c r="G4959" t="s">
        <v>8</v>
      </c>
      <c r="H4959">
        <v>4368.8599999999997</v>
      </c>
    </row>
    <row r="4960" spans="1:8" x14ac:dyDescent="0.3">
      <c r="A4960">
        <v>202403</v>
      </c>
      <c r="B4960" s="1">
        <v>45352</v>
      </c>
      <c r="C4960">
        <v>2024</v>
      </c>
      <c r="D4960" t="s">
        <v>10</v>
      </c>
      <c r="E4960" t="s">
        <v>7</v>
      </c>
      <c r="F4960" t="s">
        <v>7</v>
      </c>
      <c r="G4960" t="s">
        <v>8</v>
      </c>
      <c r="H4960">
        <v>4975.6099999999997</v>
      </c>
    </row>
    <row r="4961" spans="1:8" x14ac:dyDescent="0.3">
      <c r="A4961">
        <v>202404</v>
      </c>
      <c r="B4961" s="1">
        <v>45383</v>
      </c>
      <c r="C4961">
        <v>2024</v>
      </c>
      <c r="D4961" t="s">
        <v>11</v>
      </c>
      <c r="E4961" t="s">
        <v>7</v>
      </c>
      <c r="F4961" t="s">
        <v>7</v>
      </c>
      <c r="G4961" t="s">
        <v>8</v>
      </c>
      <c r="H4961">
        <v>12474.62</v>
      </c>
    </row>
    <row r="4962" spans="1:8" x14ac:dyDescent="0.3">
      <c r="A4962">
        <v>202405</v>
      </c>
      <c r="B4962" s="1">
        <v>45413</v>
      </c>
      <c r="C4962">
        <v>2024</v>
      </c>
      <c r="D4962" t="s">
        <v>12</v>
      </c>
      <c r="E4962" t="s">
        <v>7</v>
      </c>
      <c r="F4962" t="s">
        <v>7</v>
      </c>
      <c r="G4962" t="s">
        <v>8</v>
      </c>
      <c r="H4962">
        <v>6905.65</v>
      </c>
    </row>
    <row r="4963" spans="1:8" x14ac:dyDescent="0.3">
      <c r="A4963">
        <v>202406</v>
      </c>
      <c r="B4963" s="1">
        <v>45444</v>
      </c>
      <c r="C4963">
        <v>2024</v>
      </c>
      <c r="D4963" t="s">
        <v>13</v>
      </c>
      <c r="E4963" t="s">
        <v>7</v>
      </c>
      <c r="F4963" t="s">
        <v>7</v>
      </c>
      <c r="G4963" t="s">
        <v>8</v>
      </c>
      <c r="H4963">
        <v>4906.67</v>
      </c>
    </row>
    <row r="4964" spans="1:8" x14ac:dyDescent="0.3">
      <c r="A4964">
        <v>202407</v>
      </c>
      <c r="B4964" s="1">
        <v>45474</v>
      </c>
      <c r="C4964">
        <v>2024</v>
      </c>
      <c r="D4964" t="s">
        <v>14</v>
      </c>
      <c r="E4964" t="s">
        <v>7</v>
      </c>
      <c r="F4964" t="s">
        <v>7</v>
      </c>
      <c r="G4964" t="s">
        <v>8</v>
      </c>
      <c r="H4964">
        <v>11345.62</v>
      </c>
    </row>
    <row r="4965" spans="1:8" x14ac:dyDescent="0.3">
      <c r="A4965">
        <v>202408</v>
      </c>
      <c r="B4965" s="1">
        <v>45505</v>
      </c>
      <c r="C4965">
        <v>2024</v>
      </c>
      <c r="D4965" t="s">
        <v>15</v>
      </c>
      <c r="E4965" t="s">
        <v>7</v>
      </c>
      <c r="F4965" t="s">
        <v>7</v>
      </c>
      <c r="G4965" t="s">
        <v>8</v>
      </c>
      <c r="H4965">
        <v>7840.76</v>
      </c>
    </row>
    <row r="4966" spans="1:8" x14ac:dyDescent="0.3">
      <c r="A4966">
        <v>202409</v>
      </c>
      <c r="B4966" s="1">
        <v>45536</v>
      </c>
      <c r="C4966">
        <v>2024</v>
      </c>
      <c r="D4966" t="s">
        <v>16</v>
      </c>
      <c r="E4966" t="s">
        <v>7</v>
      </c>
      <c r="F4966" t="s">
        <v>7</v>
      </c>
      <c r="G4966" t="s">
        <v>8</v>
      </c>
      <c r="H4966">
        <v>5530.65</v>
      </c>
    </row>
    <row r="4967" spans="1:8" x14ac:dyDescent="0.3">
      <c r="A4967">
        <v>202410</v>
      </c>
      <c r="B4967" s="1">
        <v>45566</v>
      </c>
      <c r="C4967">
        <v>2024</v>
      </c>
      <c r="D4967" t="s">
        <v>17</v>
      </c>
      <c r="E4967" t="s">
        <v>7</v>
      </c>
      <c r="F4967" t="s">
        <v>7</v>
      </c>
      <c r="G4967" t="s">
        <v>8</v>
      </c>
      <c r="H4967">
        <v>10859.2</v>
      </c>
    </row>
    <row r="4968" spans="1:8" x14ac:dyDescent="0.3">
      <c r="A4968">
        <v>202411</v>
      </c>
      <c r="B4968" s="1">
        <v>45597</v>
      </c>
      <c r="C4968">
        <v>2024</v>
      </c>
      <c r="D4968" t="s">
        <v>18</v>
      </c>
      <c r="E4968" t="s">
        <v>7</v>
      </c>
      <c r="F4968" t="s">
        <v>7</v>
      </c>
      <c r="G4968" t="s">
        <v>8</v>
      </c>
      <c r="H4968">
        <v>8599.9</v>
      </c>
    </row>
    <row r="4969" spans="1:8" x14ac:dyDescent="0.3">
      <c r="A4969">
        <v>202412</v>
      </c>
      <c r="B4969" s="1">
        <v>45627</v>
      </c>
      <c r="C4969">
        <v>2024</v>
      </c>
      <c r="D4969" t="s">
        <v>19</v>
      </c>
      <c r="E4969" t="s">
        <v>7</v>
      </c>
      <c r="F4969" t="s">
        <v>7</v>
      </c>
      <c r="G4969" t="s">
        <v>8</v>
      </c>
      <c r="H4969">
        <v>6437.37</v>
      </c>
    </row>
    <row r="4970" spans="1:8" x14ac:dyDescent="0.3">
      <c r="A4970">
        <v>202401</v>
      </c>
      <c r="B4970" s="1">
        <v>45292</v>
      </c>
      <c r="C4970">
        <v>2024</v>
      </c>
      <c r="D4970" t="s">
        <v>6</v>
      </c>
      <c r="E4970" t="s">
        <v>7</v>
      </c>
      <c r="F4970" t="s">
        <v>7</v>
      </c>
      <c r="G4970" t="s">
        <v>8</v>
      </c>
      <c r="H4970">
        <v>945.4</v>
      </c>
    </row>
    <row r="4971" spans="1:8" x14ac:dyDescent="0.3">
      <c r="A4971">
        <v>202402</v>
      </c>
      <c r="B4971" s="1">
        <v>45323</v>
      </c>
      <c r="C4971">
        <v>2024</v>
      </c>
      <c r="D4971" t="s">
        <v>9</v>
      </c>
      <c r="E4971" t="s">
        <v>7</v>
      </c>
      <c r="F4971" t="s">
        <v>7</v>
      </c>
      <c r="G4971" t="s">
        <v>8</v>
      </c>
      <c r="H4971">
        <v>311.39</v>
      </c>
    </row>
    <row r="4972" spans="1:8" x14ac:dyDescent="0.3">
      <c r="A4972">
        <v>202403</v>
      </c>
      <c r="B4972" s="1">
        <v>45352</v>
      </c>
      <c r="C4972">
        <v>2024</v>
      </c>
      <c r="D4972" t="s">
        <v>10</v>
      </c>
      <c r="E4972" t="s">
        <v>7</v>
      </c>
      <c r="F4972" t="s">
        <v>7</v>
      </c>
      <c r="G4972" t="s">
        <v>8</v>
      </c>
      <c r="H4972">
        <v>350</v>
      </c>
    </row>
    <row r="4973" spans="1:8" x14ac:dyDescent="0.3">
      <c r="A4973">
        <v>202404</v>
      </c>
      <c r="B4973" s="1">
        <v>45383</v>
      </c>
      <c r="C4973">
        <v>2024</v>
      </c>
      <c r="D4973" t="s">
        <v>11</v>
      </c>
      <c r="E4973" t="s">
        <v>7</v>
      </c>
      <c r="F4973" t="s">
        <v>7</v>
      </c>
      <c r="G4973" t="s">
        <v>8</v>
      </c>
      <c r="H4973">
        <v>1050.28</v>
      </c>
    </row>
    <row r="4974" spans="1:8" x14ac:dyDescent="0.3">
      <c r="A4974">
        <v>202405</v>
      </c>
      <c r="B4974" s="1">
        <v>45413</v>
      </c>
      <c r="C4974">
        <v>2024</v>
      </c>
      <c r="D4974" t="s">
        <v>12</v>
      </c>
      <c r="E4974" t="s">
        <v>7</v>
      </c>
      <c r="F4974" t="s">
        <v>7</v>
      </c>
      <c r="G4974" t="s">
        <v>8</v>
      </c>
      <c r="H4974">
        <v>614.99</v>
      </c>
    </row>
    <row r="4975" spans="1:8" x14ac:dyDescent="0.3">
      <c r="A4975">
        <v>202406</v>
      </c>
      <c r="B4975" s="1">
        <v>45444</v>
      </c>
      <c r="C4975">
        <v>2024</v>
      </c>
      <c r="D4975" t="s">
        <v>13</v>
      </c>
      <c r="E4975" t="s">
        <v>7</v>
      </c>
      <c r="F4975" t="s">
        <v>7</v>
      </c>
      <c r="G4975" t="s">
        <v>8</v>
      </c>
      <c r="H4975">
        <v>593.83000000000004</v>
      </c>
    </row>
    <row r="4976" spans="1:8" x14ac:dyDescent="0.3">
      <c r="A4976">
        <v>202407</v>
      </c>
      <c r="B4976" s="1">
        <v>45474</v>
      </c>
      <c r="C4976">
        <v>2024</v>
      </c>
      <c r="D4976" t="s">
        <v>14</v>
      </c>
      <c r="E4976" t="s">
        <v>7</v>
      </c>
      <c r="F4976" t="s">
        <v>7</v>
      </c>
      <c r="G4976" t="s">
        <v>8</v>
      </c>
      <c r="H4976">
        <v>968.83</v>
      </c>
    </row>
    <row r="4977" spans="1:8" x14ac:dyDescent="0.3">
      <c r="A4977">
        <v>202408</v>
      </c>
      <c r="B4977" s="1">
        <v>45505</v>
      </c>
      <c r="C4977">
        <v>2024</v>
      </c>
      <c r="D4977" t="s">
        <v>15</v>
      </c>
      <c r="E4977" t="s">
        <v>7</v>
      </c>
      <c r="F4977" t="s">
        <v>7</v>
      </c>
      <c r="G4977" t="s">
        <v>8</v>
      </c>
      <c r="H4977">
        <v>555.33000000000004</v>
      </c>
    </row>
    <row r="4978" spans="1:8" x14ac:dyDescent="0.3">
      <c r="A4978">
        <v>202409</v>
      </c>
      <c r="B4978" s="1">
        <v>45536</v>
      </c>
      <c r="C4978">
        <v>2024</v>
      </c>
      <c r="D4978" t="s">
        <v>16</v>
      </c>
      <c r="E4978" t="s">
        <v>7</v>
      </c>
      <c r="F4978" t="s">
        <v>7</v>
      </c>
      <c r="G4978" t="s">
        <v>8</v>
      </c>
      <c r="H4978">
        <v>437.79</v>
      </c>
    </row>
    <row r="4979" spans="1:8" x14ac:dyDescent="0.3">
      <c r="A4979">
        <v>202410</v>
      </c>
      <c r="B4979" s="1">
        <v>45566</v>
      </c>
      <c r="C4979">
        <v>2024</v>
      </c>
      <c r="D4979" t="s">
        <v>17</v>
      </c>
      <c r="E4979" t="s">
        <v>7</v>
      </c>
      <c r="F4979" t="s">
        <v>7</v>
      </c>
      <c r="G4979" t="s">
        <v>8</v>
      </c>
      <c r="H4979">
        <v>949.45</v>
      </c>
    </row>
    <row r="4980" spans="1:8" x14ac:dyDescent="0.3">
      <c r="A4980">
        <v>202411</v>
      </c>
      <c r="B4980" s="1">
        <v>45597</v>
      </c>
      <c r="C4980">
        <v>2024</v>
      </c>
      <c r="D4980" t="s">
        <v>18</v>
      </c>
      <c r="E4980" t="s">
        <v>7</v>
      </c>
      <c r="F4980" t="s">
        <v>7</v>
      </c>
      <c r="G4980" t="s">
        <v>8</v>
      </c>
      <c r="H4980">
        <v>597.05999999999995</v>
      </c>
    </row>
    <row r="4981" spans="1:8" x14ac:dyDescent="0.3">
      <c r="A4981">
        <v>202412</v>
      </c>
      <c r="B4981" s="1">
        <v>45627</v>
      </c>
      <c r="C4981">
        <v>2024</v>
      </c>
      <c r="D4981" t="s">
        <v>19</v>
      </c>
      <c r="E4981" t="s">
        <v>7</v>
      </c>
      <c r="F4981" t="s">
        <v>7</v>
      </c>
      <c r="G4981" t="s">
        <v>8</v>
      </c>
      <c r="H4981">
        <v>487.03</v>
      </c>
    </row>
    <row r="4982" spans="1:8" x14ac:dyDescent="0.3">
      <c r="A4982">
        <v>202401</v>
      </c>
      <c r="B4982" s="1">
        <v>45292</v>
      </c>
      <c r="C4982">
        <v>2024</v>
      </c>
      <c r="D4982" t="s">
        <v>6</v>
      </c>
      <c r="E4982" t="s">
        <v>7</v>
      </c>
      <c r="F4982" t="s">
        <v>7</v>
      </c>
      <c r="G4982" t="s">
        <v>8</v>
      </c>
      <c r="H4982">
        <v>176820.88</v>
      </c>
    </row>
    <row r="4983" spans="1:8" x14ac:dyDescent="0.3">
      <c r="A4983">
        <v>202402</v>
      </c>
      <c r="B4983" s="1">
        <v>45323</v>
      </c>
      <c r="C4983">
        <v>2024</v>
      </c>
      <c r="D4983" t="s">
        <v>9</v>
      </c>
      <c r="E4983" t="s">
        <v>7</v>
      </c>
      <c r="F4983" t="s">
        <v>7</v>
      </c>
      <c r="G4983" t="s">
        <v>8</v>
      </c>
      <c r="H4983">
        <v>78679.929999999993</v>
      </c>
    </row>
    <row r="4984" spans="1:8" x14ac:dyDescent="0.3">
      <c r="A4984">
        <v>202403</v>
      </c>
      <c r="B4984" s="1">
        <v>45352</v>
      </c>
      <c r="C4984">
        <v>2024</v>
      </c>
      <c r="D4984" t="s">
        <v>10</v>
      </c>
      <c r="E4984" t="s">
        <v>7</v>
      </c>
      <c r="F4984" t="s">
        <v>7</v>
      </c>
      <c r="G4984" t="s">
        <v>8</v>
      </c>
      <c r="H4984">
        <v>77629.490000000005</v>
      </c>
    </row>
    <row r="4985" spans="1:8" x14ac:dyDescent="0.3">
      <c r="A4985">
        <v>202404</v>
      </c>
      <c r="B4985" s="1">
        <v>45383</v>
      </c>
      <c r="C4985">
        <v>2024</v>
      </c>
      <c r="D4985" t="s">
        <v>11</v>
      </c>
      <c r="E4985" t="s">
        <v>7</v>
      </c>
      <c r="F4985" t="s">
        <v>7</v>
      </c>
      <c r="G4985" t="s">
        <v>8</v>
      </c>
      <c r="H4985">
        <v>220204.11</v>
      </c>
    </row>
    <row r="4986" spans="1:8" x14ac:dyDescent="0.3">
      <c r="A4986">
        <v>202405</v>
      </c>
      <c r="B4986" s="1">
        <v>45413</v>
      </c>
      <c r="C4986">
        <v>2024</v>
      </c>
      <c r="D4986" t="s">
        <v>12</v>
      </c>
      <c r="E4986" t="s">
        <v>7</v>
      </c>
      <c r="F4986" t="s">
        <v>7</v>
      </c>
      <c r="G4986" t="s">
        <v>8</v>
      </c>
      <c r="H4986">
        <v>128868.01</v>
      </c>
    </row>
    <row r="4987" spans="1:8" x14ac:dyDescent="0.3">
      <c r="A4987">
        <v>202406</v>
      </c>
      <c r="B4987" s="1">
        <v>45444</v>
      </c>
      <c r="C4987">
        <v>2024</v>
      </c>
      <c r="D4987" t="s">
        <v>13</v>
      </c>
      <c r="E4987" t="s">
        <v>7</v>
      </c>
      <c r="F4987" t="s">
        <v>7</v>
      </c>
      <c r="G4987" t="s">
        <v>8</v>
      </c>
      <c r="H4987">
        <v>96566.86</v>
      </c>
    </row>
    <row r="4988" spans="1:8" x14ac:dyDescent="0.3">
      <c r="A4988">
        <v>202407</v>
      </c>
      <c r="B4988" s="1">
        <v>45474</v>
      </c>
      <c r="C4988">
        <v>2024</v>
      </c>
      <c r="D4988" t="s">
        <v>14</v>
      </c>
      <c r="E4988" t="s">
        <v>7</v>
      </c>
      <c r="F4988" t="s">
        <v>7</v>
      </c>
      <c r="G4988" t="s">
        <v>8</v>
      </c>
      <c r="H4988">
        <v>183673.2</v>
      </c>
    </row>
    <row r="4989" spans="1:8" x14ac:dyDescent="0.3">
      <c r="A4989">
        <v>202408</v>
      </c>
      <c r="B4989" s="1">
        <v>45505</v>
      </c>
      <c r="C4989">
        <v>2024</v>
      </c>
      <c r="D4989" t="s">
        <v>15</v>
      </c>
      <c r="E4989" t="s">
        <v>7</v>
      </c>
      <c r="F4989" t="s">
        <v>7</v>
      </c>
      <c r="G4989" t="s">
        <v>8</v>
      </c>
      <c r="H4989">
        <v>138831.10999999999</v>
      </c>
    </row>
    <row r="4990" spans="1:8" x14ac:dyDescent="0.3">
      <c r="A4990">
        <v>202409</v>
      </c>
      <c r="B4990" s="1">
        <v>45536</v>
      </c>
      <c r="C4990">
        <v>2024</v>
      </c>
      <c r="D4990" t="s">
        <v>16</v>
      </c>
      <c r="E4990" t="s">
        <v>7</v>
      </c>
      <c r="F4990" t="s">
        <v>7</v>
      </c>
      <c r="G4990" t="s">
        <v>8</v>
      </c>
      <c r="H4990">
        <v>94149.68</v>
      </c>
    </row>
    <row r="4991" spans="1:8" x14ac:dyDescent="0.3">
      <c r="A4991">
        <v>202410</v>
      </c>
      <c r="B4991" s="1">
        <v>45566</v>
      </c>
      <c r="C4991">
        <v>2024</v>
      </c>
      <c r="D4991" t="s">
        <v>17</v>
      </c>
      <c r="E4991" t="s">
        <v>7</v>
      </c>
      <c r="F4991" t="s">
        <v>7</v>
      </c>
      <c r="G4991" t="s">
        <v>8</v>
      </c>
      <c r="H4991">
        <v>191803.09</v>
      </c>
    </row>
    <row r="4992" spans="1:8" x14ac:dyDescent="0.3">
      <c r="A4992">
        <v>202411</v>
      </c>
      <c r="B4992" s="1">
        <v>45597</v>
      </c>
      <c r="C4992">
        <v>2024</v>
      </c>
      <c r="D4992" t="s">
        <v>18</v>
      </c>
      <c r="E4992" t="s">
        <v>7</v>
      </c>
      <c r="F4992" t="s">
        <v>7</v>
      </c>
      <c r="G4992" t="s">
        <v>8</v>
      </c>
      <c r="H4992">
        <v>142193.53</v>
      </c>
    </row>
    <row r="4993" spans="1:8" x14ac:dyDescent="0.3">
      <c r="A4993">
        <v>202412</v>
      </c>
      <c r="B4993" s="1">
        <v>45627</v>
      </c>
      <c r="C4993">
        <v>2024</v>
      </c>
      <c r="D4993" t="s">
        <v>19</v>
      </c>
      <c r="E4993" t="s">
        <v>7</v>
      </c>
      <c r="F4993" t="s">
        <v>7</v>
      </c>
      <c r="G4993" t="s">
        <v>8</v>
      </c>
      <c r="H4993">
        <v>104352.83</v>
      </c>
    </row>
    <row r="4994" spans="1:8" x14ac:dyDescent="0.3">
      <c r="A4994">
        <v>202401</v>
      </c>
      <c r="B4994" s="1">
        <v>45292</v>
      </c>
      <c r="C4994">
        <v>2024</v>
      </c>
      <c r="D4994" t="s">
        <v>6</v>
      </c>
      <c r="E4994" t="s">
        <v>20</v>
      </c>
      <c r="F4994" t="s">
        <v>40</v>
      </c>
      <c r="G4994" t="s">
        <v>8</v>
      </c>
      <c r="H4994">
        <v>127.14</v>
      </c>
    </row>
    <row r="4995" spans="1:8" x14ac:dyDescent="0.3">
      <c r="A4995">
        <v>202402</v>
      </c>
      <c r="B4995" s="1">
        <v>45323</v>
      </c>
      <c r="C4995">
        <v>2024</v>
      </c>
      <c r="D4995" t="s">
        <v>9</v>
      </c>
      <c r="E4995" t="s">
        <v>20</v>
      </c>
      <c r="F4995" t="s">
        <v>40</v>
      </c>
      <c r="G4995" t="s">
        <v>8</v>
      </c>
      <c r="H4995">
        <v>79.92</v>
      </c>
    </row>
    <row r="4996" spans="1:8" x14ac:dyDescent="0.3">
      <c r="A4996">
        <v>202403</v>
      </c>
      <c r="B4996" s="1">
        <v>45352</v>
      </c>
      <c r="C4996">
        <v>2024</v>
      </c>
      <c r="D4996" t="s">
        <v>10</v>
      </c>
      <c r="E4996" t="s">
        <v>20</v>
      </c>
      <c r="F4996" t="s">
        <v>40</v>
      </c>
      <c r="G4996" t="s">
        <v>8</v>
      </c>
      <c r="H4996">
        <v>101.85</v>
      </c>
    </row>
    <row r="4997" spans="1:8" x14ac:dyDescent="0.3">
      <c r="A4997">
        <v>202404</v>
      </c>
      <c r="B4997" s="1">
        <v>45383</v>
      </c>
      <c r="C4997">
        <v>2024</v>
      </c>
      <c r="D4997" t="s">
        <v>11</v>
      </c>
      <c r="E4997" t="s">
        <v>20</v>
      </c>
      <c r="F4997" t="s">
        <v>40</v>
      </c>
      <c r="G4997" t="s">
        <v>8</v>
      </c>
      <c r="H4997">
        <v>98.09</v>
      </c>
    </row>
    <row r="4998" spans="1:8" x14ac:dyDescent="0.3">
      <c r="A4998">
        <v>202405</v>
      </c>
      <c r="B4998" s="1">
        <v>45413</v>
      </c>
      <c r="C4998">
        <v>2024</v>
      </c>
      <c r="D4998" t="s">
        <v>12</v>
      </c>
      <c r="E4998" t="s">
        <v>20</v>
      </c>
      <c r="F4998" t="s">
        <v>40</v>
      </c>
      <c r="G4998" t="s">
        <v>8</v>
      </c>
      <c r="H4998">
        <v>114.63</v>
      </c>
    </row>
    <row r="4999" spans="1:8" x14ac:dyDescent="0.3">
      <c r="A4999">
        <v>202406</v>
      </c>
      <c r="B4999" s="1">
        <v>45444</v>
      </c>
      <c r="C4999">
        <v>2024</v>
      </c>
      <c r="D4999" t="s">
        <v>13</v>
      </c>
      <c r="E4999" t="s">
        <v>20</v>
      </c>
      <c r="F4999" t="s">
        <v>40</v>
      </c>
      <c r="G4999" t="s">
        <v>8</v>
      </c>
      <c r="H4999">
        <v>108.08</v>
      </c>
    </row>
    <row r="5000" spans="1:8" x14ac:dyDescent="0.3">
      <c r="A5000">
        <v>202407</v>
      </c>
      <c r="B5000" s="1">
        <v>45474</v>
      </c>
      <c r="C5000">
        <v>2024</v>
      </c>
      <c r="D5000" t="s">
        <v>14</v>
      </c>
      <c r="E5000" t="s">
        <v>20</v>
      </c>
      <c r="F5000" t="s">
        <v>40</v>
      </c>
      <c r="G5000" t="s">
        <v>8</v>
      </c>
      <c r="H5000">
        <v>92.14</v>
      </c>
    </row>
    <row r="5001" spans="1:8" x14ac:dyDescent="0.3">
      <c r="A5001">
        <v>202408</v>
      </c>
      <c r="B5001" s="1">
        <v>45505</v>
      </c>
      <c r="C5001">
        <v>2024</v>
      </c>
      <c r="D5001" t="s">
        <v>15</v>
      </c>
      <c r="E5001" t="s">
        <v>20</v>
      </c>
      <c r="F5001" t="s">
        <v>40</v>
      </c>
      <c r="G5001" t="s">
        <v>8</v>
      </c>
      <c r="H5001">
        <v>216.42</v>
      </c>
    </row>
    <row r="5002" spans="1:8" x14ac:dyDescent="0.3">
      <c r="A5002">
        <v>202409</v>
      </c>
      <c r="B5002" s="1">
        <v>45536</v>
      </c>
      <c r="C5002">
        <v>2024</v>
      </c>
      <c r="D5002" t="s">
        <v>16</v>
      </c>
      <c r="E5002" t="s">
        <v>20</v>
      </c>
      <c r="F5002" t="s">
        <v>40</v>
      </c>
      <c r="G5002" t="s">
        <v>8</v>
      </c>
      <c r="H5002">
        <v>105.92</v>
      </c>
    </row>
    <row r="5003" spans="1:8" x14ac:dyDescent="0.3">
      <c r="A5003">
        <v>202410</v>
      </c>
      <c r="B5003" s="1">
        <v>45566</v>
      </c>
      <c r="C5003">
        <v>2024</v>
      </c>
      <c r="D5003" t="s">
        <v>17</v>
      </c>
      <c r="E5003" t="s">
        <v>20</v>
      </c>
      <c r="F5003" t="s">
        <v>40</v>
      </c>
      <c r="G5003" t="s">
        <v>8</v>
      </c>
      <c r="H5003">
        <v>169.52</v>
      </c>
    </row>
    <row r="5004" spans="1:8" x14ac:dyDescent="0.3">
      <c r="A5004">
        <v>202411</v>
      </c>
      <c r="B5004" s="1">
        <v>45597</v>
      </c>
      <c r="C5004">
        <v>2024</v>
      </c>
      <c r="D5004" t="s">
        <v>18</v>
      </c>
      <c r="E5004" t="s">
        <v>20</v>
      </c>
      <c r="F5004" t="s">
        <v>40</v>
      </c>
      <c r="G5004" t="s">
        <v>8</v>
      </c>
      <c r="H5004">
        <v>187.8</v>
      </c>
    </row>
    <row r="5005" spans="1:8" x14ac:dyDescent="0.3">
      <c r="A5005">
        <v>202412</v>
      </c>
      <c r="B5005" s="1">
        <v>45627</v>
      </c>
      <c r="C5005">
        <v>2024</v>
      </c>
      <c r="D5005" t="s">
        <v>19</v>
      </c>
      <c r="E5005" t="s">
        <v>20</v>
      </c>
      <c r="F5005" t="s">
        <v>40</v>
      </c>
      <c r="G5005" t="s">
        <v>8</v>
      </c>
      <c r="H5005">
        <v>83.33</v>
      </c>
    </row>
    <row r="5006" spans="1:8" x14ac:dyDescent="0.3">
      <c r="A5006">
        <v>202401</v>
      </c>
      <c r="B5006" s="1">
        <v>45292</v>
      </c>
      <c r="C5006">
        <v>2024</v>
      </c>
      <c r="D5006" t="s">
        <v>6</v>
      </c>
      <c r="E5006" t="s">
        <v>20</v>
      </c>
      <c r="F5006" t="s">
        <v>40</v>
      </c>
      <c r="G5006" t="s">
        <v>8</v>
      </c>
      <c r="H5006">
        <v>147.05000000000001</v>
      </c>
    </row>
    <row r="5007" spans="1:8" x14ac:dyDescent="0.3">
      <c r="A5007">
        <v>202402</v>
      </c>
      <c r="B5007" s="1">
        <v>45323</v>
      </c>
      <c r="C5007">
        <v>2024</v>
      </c>
      <c r="D5007" t="s">
        <v>9</v>
      </c>
      <c r="E5007" t="s">
        <v>20</v>
      </c>
      <c r="F5007" t="s">
        <v>40</v>
      </c>
      <c r="G5007" t="s">
        <v>8</v>
      </c>
      <c r="H5007">
        <v>60.52</v>
      </c>
    </row>
    <row r="5008" spans="1:8" x14ac:dyDescent="0.3">
      <c r="A5008">
        <v>202403</v>
      </c>
      <c r="B5008" s="1">
        <v>45352</v>
      </c>
      <c r="C5008">
        <v>2024</v>
      </c>
      <c r="D5008" t="s">
        <v>10</v>
      </c>
      <c r="E5008" t="s">
        <v>20</v>
      </c>
      <c r="F5008" t="s">
        <v>40</v>
      </c>
      <c r="G5008" t="s">
        <v>8</v>
      </c>
      <c r="H5008">
        <v>80.790000000000006</v>
      </c>
    </row>
    <row r="5009" spans="1:8" x14ac:dyDescent="0.3">
      <c r="A5009">
        <v>202404</v>
      </c>
      <c r="B5009" s="1">
        <v>45383</v>
      </c>
      <c r="C5009">
        <v>2024</v>
      </c>
      <c r="D5009" t="s">
        <v>11</v>
      </c>
      <c r="E5009" t="s">
        <v>20</v>
      </c>
      <c r="F5009" t="s">
        <v>40</v>
      </c>
      <c r="G5009" t="s">
        <v>8</v>
      </c>
      <c r="H5009">
        <v>134.59</v>
      </c>
    </row>
    <row r="5010" spans="1:8" x14ac:dyDescent="0.3">
      <c r="A5010">
        <v>202405</v>
      </c>
      <c r="B5010" s="1">
        <v>45413</v>
      </c>
      <c r="C5010">
        <v>2024</v>
      </c>
      <c r="D5010" t="s">
        <v>12</v>
      </c>
      <c r="E5010" t="s">
        <v>20</v>
      </c>
      <c r="F5010" t="s">
        <v>40</v>
      </c>
      <c r="G5010" t="s">
        <v>8</v>
      </c>
      <c r="H5010">
        <v>104.06</v>
      </c>
    </row>
    <row r="5011" spans="1:8" x14ac:dyDescent="0.3">
      <c r="A5011">
        <v>202406</v>
      </c>
      <c r="B5011" s="1">
        <v>45444</v>
      </c>
      <c r="C5011">
        <v>2024</v>
      </c>
      <c r="D5011" t="s">
        <v>13</v>
      </c>
      <c r="E5011" t="s">
        <v>20</v>
      </c>
      <c r="F5011" t="s">
        <v>40</v>
      </c>
      <c r="G5011" t="s">
        <v>8</v>
      </c>
      <c r="H5011">
        <v>112.4</v>
      </c>
    </row>
    <row r="5012" spans="1:8" x14ac:dyDescent="0.3">
      <c r="A5012">
        <v>202407</v>
      </c>
      <c r="B5012" s="1">
        <v>45474</v>
      </c>
      <c r="C5012">
        <v>2024</v>
      </c>
      <c r="D5012" t="s">
        <v>14</v>
      </c>
      <c r="E5012" t="s">
        <v>20</v>
      </c>
      <c r="F5012" t="s">
        <v>40</v>
      </c>
      <c r="G5012" t="s">
        <v>8</v>
      </c>
      <c r="H5012">
        <v>121.66</v>
      </c>
    </row>
    <row r="5013" spans="1:8" x14ac:dyDescent="0.3">
      <c r="A5013">
        <v>202408</v>
      </c>
      <c r="B5013" s="1">
        <v>45505</v>
      </c>
      <c r="C5013">
        <v>2024</v>
      </c>
      <c r="D5013" t="s">
        <v>15</v>
      </c>
      <c r="E5013" t="s">
        <v>20</v>
      </c>
      <c r="F5013" t="s">
        <v>40</v>
      </c>
      <c r="G5013" t="s">
        <v>8</v>
      </c>
      <c r="H5013">
        <v>130.41999999999999</v>
      </c>
    </row>
    <row r="5014" spans="1:8" x14ac:dyDescent="0.3">
      <c r="A5014">
        <v>202409</v>
      </c>
      <c r="B5014" s="1">
        <v>45536</v>
      </c>
      <c r="C5014">
        <v>2024</v>
      </c>
      <c r="D5014" t="s">
        <v>16</v>
      </c>
      <c r="E5014" t="s">
        <v>20</v>
      </c>
      <c r="F5014" t="s">
        <v>40</v>
      </c>
      <c r="G5014" t="s">
        <v>8</v>
      </c>
      <c r="H5014">
        <v>172.25</v>
      </c>
    </row>
    <row r="5015" spans="1:8" x14ac:dyDescent="0.3">
      <c r="A5015">
        <v>202410</v>
      </c>
      <c r="B5015" s="1">
        <v>45566</v>
      </c>
      <c r="C5015">
        <v>2024</v>
      </c>
      <c r="D5015" t="s">
        <v>17</v>
      </c>
      <c r="E5015" t="s">
        <v>20</v>
      </c>
      <c r="F5015" t="s">
        <v>40</v>
      </c>
      <c r="G5015" t="s">
        <v>8</v>
      </c>
      <c r="H5015">
        <v>152.38</v>
      </c>
    </row>
    <row r="5016" spans="1:8" x14ac:dyDescent="0.3">
      <c r="A5016">
        <v>202411</v>
      </c>
      <c r="B5016" s="1">
        <v>45597</v>
      </c>
      <c r="C5016">
        <v>2024</v>
      </c>
      <c r="D5016" t="s">
        <v>18</v>
      </c>
      <c r="E5016" t="s">
        <v>20</v>
      </c>
      <c r="F5016" t="s">
        <v>40</v>
      </c>
      <c r="G5016" t="s">
        <v>8</v>
      </c>
      <c r="H5016">
        <v>104.83</v>
      </c>
    </row>
    <row r="5017" spans="1:8" x14ac:dyDescent="0.3">
      <c r="A5017">
        <v>202412</v>
      </c>
      <c r="B5017" s="1">
        <v>45627</v>
      </c>
      <c r="C5017">
        <v>2024</v>
      </c>
      <c r="D5017" t="s">
        <v>19</v>
      </c>
      <c r="E5017" t="s">
        <v>20</v>
      </c>
      <c r="F5017" t="s">
        <v>40</v>
      </c>
      <c r="G5017" t="s">
        <v>8</v>
      </c>
      <c r="H5017">
        <v>179.26</v>
      </c>
    </row>
    <row r="5018" spans="1:8" x14ac:dyDescent="0.3">
      <c r="A5018">
        <v>202401</v>
      </c>
      <c r="B5018" s="1">
        <v>45292</v>
      </c>
      <c r="C5018">
        <v>2024</v>
      </c>
      <c r="D5018" t="s">
        <v>6</v>
      </c>
      <c r="E5018" t="s">
        <v>20</v>
      </c>
      <c r="F5018" t="s">
        <v>40</v>
      </c>
      <c r="G5018" t="s">
        <v>8</v>
      </c>
      <c r="H5018">
        <v>192.12</v>
      </c>
    </row>
    <row r="5019" spans="1:8" x14ac:dyDescent="0.3">
      <c r="A5019">
        <v>202402</v>
      </c>
      <c r="B5019" s="1">
        <v>45323</v>
      </c>
      <c r="C5019">
        <v>2024</v>
      </c>
      <c r="D5019" t="s">
        <v>9</v>
      </c>
      <c r="E5019" t="s">
        <v>20</v>
      </c>
      <c r="F5019" t="s">
        <v>40</v>
      </c>
      <c r="G5019" t="s">
        <v>8</v>
      </c>
      <c r="H5019">
        <v>80.64</v>
      </c>
    </row>
    <row r="5020" spans="1:8" x14ac:dyDescent="0.3">
      <c r="A5020">
        <v>202403</v>
      </c>
      <c r="B5020" s="1">
        <v>45352</v>
      </c>
      <c r="C5020">
        <v>2024</v>
      </c>
      <c r="D5020" t="s">
        <v>10</v>
      </c>
      <c r="E5020" t="s">
        <v>20</v>
      </c>
      <c r="F5020" t="s">
        <v>40</v>
      </c>
      <c r="G5020" t="s">
        <v>8</v>
      </c>
      <c r="H5020">
        <v>89.3</v>
      </c>
    </row>
    <row r="5021" spans="1:8" x14ac:dyDescent="0.3">
      <c r="A5021">
        <v>202404</v>
      </c>
      <c r="B5021" s="1">
        <v>45383</v>
      </c>
      <c r="C5021">
        <v>2024</v>
      </c>
      <c r="D5021" t="s">
        <v>11</v>
      </c>
      <c r="E5021" t="s">
        <v>20</v>
      </c>
      <c r="F5021" t="s">
        <v>40</v>
      </c>
      <c r="G5021" t="s">
        <v>8</v>
      </c>
      <c r="H5021">
        <v>179.59</v>
      </c>
    </row>
    <row r="5022" spans="1:8" x14ac:dyDescent="0.3">
      <c r="A5022">
        <v>202405</v>
      </c>
      <c r="B5022" s="1">
        <v>45413</v>
      </c>
      <c r="C5022">
        <v>2024</v>
      </c>
      <c r="D5022" t="s">
        <v>12</v>
      </c>
      <c r="E5022" t="s">
        <v>20</v>
      </c>
      <c r="F5022" t="s">
        <v>40</v>
      </c>
      <c r="G5022" t="s">
        <v>8</v>
      </c>
      <c r="H5022">
        <v>119.89</v>
      </c>
    </row>
    <row r="5023" spans="1:8" x14ac:dyDescent="0.3">
      <c r="A5023">
        <v>202406</v>
      </c>
      <c r="B5023" s="1">
        <v>45444</v>
      </c>
      <c r="C5023">
        <v>2024</v>
      </c>
      <c r="D5023" t="s">
        <v>13</v>
      </c>
      <c r="E5023" t="s">
        <v>20</v>
      </c>
      <c r="F5023" t="s">
        <v>40</v>
      </c>
      <c r="G5023" t="s">
        <v>8</v>
      </c>
      <c r="H5023">
        <v>116.63</v>
      </c>
    </row>
    <row r="5024" spans="1:8" x14ac:dyDescent="0.3">
      <c r="A5024">
        <v>202407</v>
      </c>
      <c r="B5024" s="1">
        <v>45474</v>
      </c>
      <c r="C5024">
        <v>2024</v>
      </c>
      <c r="D5024" t="s">
        <v>14</v>
      </c>
      <c r="E5024" t="s">
        <v>20</v>
      </c>
      <c r="F5024" t="s">
        <v>40</v>
      </c>
      <c r="G5024" t="s">
        <v>8</v>
      </c>
      <c r="H5024">
        <v>199.39</v>
      </c>
    </row>
    <row r="5025" spans="1:8" x14ac:dyDescent="0.3">
      <c r="A5025">
        <v>202408</v>
      </c>
      <c r="B5025" s="1">
        <v>45505</v>
      </c>
      <c r="C5025">
        <v>2024</v>
      </c>
      <c r="D5025" t="s">
        <v>15</v>
      </c>
      <c r="E5025" t="s">
        <v>20</v>
      </c>
      <c r="F5025" t="s">
        <v>40</v>
      </c>
      <c r="G5025" t="s">
        <v>8</v>
      </c>
      <c r="H5025">
        <v>197.44</v>
      </c>
    </row>
    <row r="5026" spans="1:8" x14ac:dyDescent="0.3">
      <c r="A5026">
        <v>202409</v>
      </c>
      <c r="B5026" s="1">
        <v>45536</v>
      </c>
      <c r="C5026">
        <v>2024</v>
      </c>
      <c r="D5026" t="s">
        <v>16</v>
      </c>
      <c r="E5026" t="s">
        <v>20</v>
      </c>
      <c r="F5026" t="s">
        <v>40</v>
      </c>
      <c r="G5026" t="s">
        <v>8</v>
      </c>
      <c r="H5026">
        <v>165.58</v>
      </c>
    </row>
    <row r="5027" spans="1:8" x14ac:dyDescent="0.3">
      <c r="A5027">
        <v>202410</v>
      </c>
      <c r="B5027" s="1">
        <v>45566</v>
      </c>
      <c r="C5027">
        <v>2024</v>
      </c>
      <c r="D5027" t="s">
        <v>17</v>
      </c>
      <c r="E5027" t="s">
        <v>20</v>
      </c>
      <c r="F5027" t="s">
        <v>40</v>
      </c>
      <c r="G5027" t="s">
        <v>8</v>
      </c>
      <c r="H5027">
        <v>207.36</v>
      </c>
    </row>
    <row r="5028" spans="1:8" x14ac:dyDescent="0.3">
      <c r="A5028">
        <v>202411</v>
      </c>
      <c r="B5028" s="1">
        <v>45597</v>
      </c>
      <c r="C5028">
        <v>2024</v>
      </c>
      <c r="D5028" t="s">
        <v>18</v>
      </c>
      <c r="E5028" t="s">
        <v>20</v>
      </c>
      <c r="F5028" t="s">
        <v>40</v>
      </c>
      <c r="G5028" t="s">
        <v>8</v>
      </c>
      <c r="H5028">
        <v>147.72</v>
      </c>
    </row>
    <row r="5029" spans="1:8" x14ac:dyDescent="0.3">
      <c r="A5029">
        <v>202412</v>
      </c>
      <c r="B5029" s="1">
        <v>45627</v>
      </c>
      <c r="C5029">
        <v>2024</v>
      </c>
      <c r="D5029" t="s">
        <v>19</v>
      </c>
      <c r="E5029" t="s">
        <v>20</v>
      </c>
      <c r="F5029" t="s">
        <v>40</v>
      </c>
      <c r="G5029" t="s">
        <v>8</v>
      </c>
      <c r="H5029">
        <v>179.82</v>
      </c>
    </row>
    <row r="5030" spans="1:8" x14ac:dyDescent="0.3">
      <c r="A5030">
        <v>202401</v>
      </c>
      <c r="B5030" s="1">
        <v>45292</v>
      </c>
      <c r="C5030">
        <v>2024</v>
      </c>
      <c r="D5030" t="s">
        <v>6</v>
      </c>
      <c r="E5030" t="s">
        <v>20</v>
      </c>
      <c r="F5030" t="s">
        <v>40</v>
      </c>
      <c r="G5030" t="s">
        <v>8</v>
      </c>
      <c r="H5030">
        <v>43.17</v>
      </c>
    </row>
    <row r="5031" spans="1:8" x14ac:dyDescent="0.3">
      <c r="A5031">
        <v>202402</v>
      </c>
      <c r="B5031" s="1">
        <v>45323</v>
      </c>
      <c r="C5031">
        <v>2024</v>
      </c>
      <c r="D5031" t="s">
        <v>9</v>
      </c>
      <c r="E5031" t="s">
        <v>20</v>
      </c>
      <c r="F5031" t="s">
        <v>40</v>
      </c>
      <c r="G5031" t="s">
        <v>8</v>
      </c>
      <c r="H5031">
        <v>27.56</v>
      </c>
    </row>
    <row r="5032" spans="1:8" x14ac:dyDescent="0.3">
      <c r="A5032">
        <v>202403</v>
      </c>
      <c r="B5032" s="1">
        <v>45352</v>
      </c>
      <c r="C5032">
        <v>2024</v>
      </c>
      <c r="D5032" t="s">
        <v>10</v>
      </c>
      <c r="E5032" t="s">
        <v>20</v>
      </c>
      <c r="F5032" t="s">
        <v>40</v>
      </c>
      <c r="G5032" t="s">
        <v>8</v>
      </c>
      <c r="H5032">
        <v>34.72</v>
      </c>
    </row>
    <row r="5033" spans="1:8" x14ac:dyDescent="0.3">
      <c r="A5033">
        <v>202404</v>
      </c>
      <c r="B5033" s="1">
        <v>45383</v>
      </c>
      <c r="C5033">
        <v>2024</v>
      </c>
      <c r="D5033" t="s">
        <v>11</v>
      </c>
      <c r="E5033" t="s">
        <v>20</v>
      </c>
      <c r="F5033" t="s">
        <v>40</v>
      </c>
      <c r="G5033" t="s">
        <v>8</v>
      </c>
      <c r="H5033">
        <v>48.04</v>
      </c>
    </row>
    <row r="5034" spans="1:8" x14ac:dyDescent="0.3">
      <c r="A5034">
        <v>202405</v>
      </c>
      <c r="B5034" s="1">
        <v>45413</v>
      </c>
      <c r="C5034">
        <v>2024</v>
      </c>
      <c r="D5034" t="s">
        <v>12</v>
      </c>
      <c r="E5034" t="s">
        <v>20</v>
      </c>
      <c r="F5034" t="s">
        <v>40</v>
      </c>
      <c r="G5034" t="s">
        <v>8</v>
      </c>
      <c r="H5034">
        <v>42.12</v>
      </c>
    </row>
    <row r="5035" spans="1:8" x14ac:dyDescent="0.3">
      <c r="A5035">
        <v>202406</v>
      </c>
      <c r="B5035" s="1">
        <v>45444</v>
      </c>
      <c r="C5035">
        <v>2024</v>
      </c>
      <c r="D5035" t="s">
        <v>13</v>
      </c>
      <c r="E5035" t="s">
        <v>20</v>
      </c>
      <c r="F5035" t="s">
        <v>40</v>
      </c>
      <c r="G5035" t="s">
        <v>8</v>
      </c>
      <c r="H5035">
        <v>46.92</v>
      </c>
    </row>
    <row r="5036" spans="1:8" x14ac:dyDescent="0.3">
      <c r="A5036">
        <v>202407</v>
      </c>
      <c r="B5036" s="1">
        <v>45474</v>
      </c>
      <c r="C5036">
        <v>2024</v>
      </c>
      <c r="D5036" t="s">
        <v>14</v>
      </c>
      <c r="E5036" t="s">
        <v>20</v>
      </c>
      <c r="F5036" t="s">
        <v>40</v>
      </c>
      <c r="G5036" t="s">
        <v>8</v>
      </c>
      <c r="H5036">
        <v>61.95</v>
      </c>
    </row>
    <row r="5037" spans="1:8" x14ac:dyDescent="0.3">
      <c r="A5037">
        <v>202408</v>
      </c>
      <c r="B5037" s="1">
        <v>45505</v>
      </c>
      <c r="C5037">
        <v>2024</v>
      </c>
      <c r="D5037" t="s">
        <v>15</v>
      </c>
      <c r="E5037" t="s">
        <v>20</v>
      </c>
      <c r="F5037" t="s">
        <v>40</v>
      </c>
      <c r="G5037" t="s">
        <v>8</v>
      </c>
      <c r="H5037">
        <v>33.14</v>
      </c>
    </row>
    <row r="5038" spans="1:8" x14ac:dyDescent="0.3">
      <c r="A5038">
        <v>202409</v>
      </c>
      <c r="B5038" s="1">
        <v>45536</v>
      </c>
      <c r="C5038">
        <v>2024</v>
      </c>
      <c r="D5038" t="s">
        <v>16</v>
      </c>
      <c r="E5038" t="s">
        <v>20</v>
      </c>
      <c r="F5038" t="s">
        <v>40</v>
      </c>
      <c r="G5038" t="s">
        <v>8</v>
      </c>
      <c r="H5038">
        <v>55.26</v>
      </c>
    </row>
    <row r="5039" spans="1:8" x14ac:dyDescent="0.3">
      <c r="A5039">
        <v>202410</v>
      </c>
      <c r="B5039" s="1">
        <v>45566</v>
      </c>
      <c r="C5039">
        <v>2024</v>
      </c>
      <c r="D5039" t="s">
        <v>17</v>
      </c>
      <c r="E5039" t="s">
        <v>20</v>
      </c>
      <c r="F5039" t="s">
        <v>40</v>
      </c>
      <c r="G5039" t="s">
        <v>8</v>
      </c>
      <c r="H5039">
        <v>46.62</v>
      </c>
    </row>
    <row r="5040" spans="1:8" x14ac:dyDescent="0.3">
      <c r="A5040">
        <v>202411</v>
      </c>
      <c r="B5040" s="1">
        <v>45597</v>
      </c>
      <c r="C5040">
        <v>2024</v>
      </c>
      <c r="D5040" t="s">
        <v>18</v>
      </c>
      <c r="E5040" t="s">
        <v>20</v>
      </c>
      <c r="F5040" t="s">
        <v>40</v>
      </c>
      <c r="G5040" t="s">
        <v>8</v>
      </c>
      <c r="H5040">
        <v>51.32</v>
      </c>
    </row>
    <row r="5041" spans="1:8" x14ac:dyDescent="0.3">
      <c r="A5041">
        <v>202412</v>
      </c>
      <c r="B5041" s="1">
        <v>45627</v>
      </c>
      <c r="C5041">
        <v>2024</v>
      </c>
      <c r="D5041" t="s">
        <v>19</v>
      </c>
      <c r="E5041" t="s">
        <v>20</v>
      </c>
      <c r="F5041" t="s">
        <v>40</v>
      </c>
      <c r="G5041" t="s">
        <v>8</v>
      </c>
      <c r="H5041">
        <v>48.89</v>
      </c>
    </row>
    <row r="5042" spans="1:8" x14ac:dyDescent="0.3">
      <c r="A5042">
        <v>202401</v>
      </c>
      <c r="B5042" s="1">
        <v>45292</v>
      </c>
      <c r="C5042">
        <v>2024</v>
      </c>
      <c r="D5042" t="s">
        <v>6</v>
      </c>
      <c r="E5042" t="s">
        <v>20</v>
      </c>
      <c r="F5042" t="s">
        <v>40</v>
      </c>
      <c r="G5042" t="s">
        <v>8</v>
      </c>
      <c r="H5042">
        <v>61.42</v>
      </c>
    </row>
    <row r="5043" spans="1:8" x14ac:dyDescent="0.3">
      <c r="A5043">
        <v>202402</v>
      </c>
      <c r="B5043" s="1">
        <v>45323</v>
      </c>
      <c r="C5043">
        <v>2024</v>
      </c>
      <c r="D5043" t="s">
        <v>9</v>
      </c>
      <c r="E5043" t="s">
        <v>20</v>
      </c>
      <c r="F5043" t="s">
        <v>40</v>
      </c>
      <c r="G5043" t="s">
        <v>8</v>
      </c>
      <c r="H5043">
        <v>39.28</v>
      </c>
    </row>
    <row r="5044" spans="1:8" x14ac:dyDescent="0.3">
      <c r="A5044">
        <v>202403</v>
      </c>
      <c r="B5044" s="1">
        <v>45352</v>
      </c>
      <c r="C5044">
        <v>2024</v>
      </c>
      <c r="D5044" t="s">
        <v>10</v>
      </c>
      <c r="E5044" t="s">
        <v>20</v>
      </c>
      <c r="F5044" t="s">
        <v>40</v>
      </c>
      <c r="G5044" t="s">
        <v>8</v>
      </c>
      <c r="H5044">
        <v>27.74</v>
      </c>
    </row>
    <row r="5045" spans="1:8" x14ac:dyDescent="0.3">
      <c r="A5045">
        <v>202404</v>
      </c>
      <c r="B5045" s="1">
        <v>45383</v>
      </c>
      <c r="C5045">
        <v>2024</v>
      </c>
      <c r="D5045" t="s">
        <v>11</v>
      </c>
      <c r="E5045" t="s">
        <v>20</v>
      </c>
      <c r="F5045" t="s">
        <v>40</v>
      </c>
      <c r="G5045" t="s">
        <v>8</v>
      </c>
      <c r="H5045">
        <v>44.06</v>
      </c>
    </row>
    <row r="5046" spans="1:8" x14ac:dyDescent="0.3">
      <c r="A5046">
        <v>202405</v>
      </c>
      <c r="B5046" s="1">
        <v>45413</v>
      </c>
      <c r="C5046">
        <v>2024</v>
      </c>
      <c r="D5046" t="s">
        <v>12</v>
      </c>
      <c r="E5046" t="s">
        <v>20</v>
      </c>
      <c r="F5046" t="s">
        <v>40</v>
      </c>
      <c r="G5046" t="s">
        <v>8</v>
      </c>
      <c r="H5046">
        <v>52.99</v>
      </c>
    </row>
    <row r="5047" spans="1:8" x14ac:dyDescent="0.3">
      <c r="A5047">
        <v>202406</v>
      </c>
      <c r="B5047" s="1">
        <v>45444</v>
      </c>
      <c r="C5047">
        <v>2024</v>
      </c>
      <c r="D5047" t="s">
        <v>13</v>
      </c>
      <c r="E5047" t="s">
        <v>20</v>
      </c>
      <c r="F5047" t="s">
        <v>40</v>
      </c>
      <c r="G5047" t="s">
        <v>8</v>
      </c>
      <c r="H5047">
        <v>51.59</v>
      </c>
    </row>
    <row r="5048" spans="1:8" x14ac:dyDescent="0.3">
      <c r="A5048">
        <v>202407</v>
      </c>
      <c r="B5048" s="1">
        <v>45474</v>
      </c>
      <c r="C5048">
        <v>2024</v>
      </c>
      <c r="D5048" t="s">
        <v>14</v>
      </c>
      <c r="E5048" t="s">
        <v>20</v>
      </c>
      <c r="F5048" t="s">
        <v>40</v>
      </c>
      <c r="G5048" t="s">
        <v>8</v>
      </c>
      <c r="H5048">
        <v>58.72</v>
      </c>
    </row>
    <row r="5049" spans="1:8" x14ac:dyDescent="0.3">
      <c r="A5049">
        <v>202408</v>
      </c>
      <c r="B5049" s="1">
        <v>45505</v>
      </c>
      <c r="C5049">
        <v>2024</v>
      </c>
      <c r="D5049" t="s">
        <v>15</v>
      </c>
      <c r="E5049" t="s">
        <v>20</v>
      </c>
      <c r="F5049" t="s">
        <v>40</v>
      </c>
      <c r="G5049" t="s">
        <v>8</v>
      </c>
      <c r="H5049">
        <v>39.56</v>
      </c>
    </row>
    <row r="5050" spans="1:8" x14ac:dyDescent="0.3">
      <c r="A5050">
        <v>202409</v>
      </c>
      <c r="B5050" s="1">
        <v>45536</v>
      </c>
      <c r="C5050">
        <v>2024</v>
      </c>
      <c r="D5050" t="s">
        <v>16</v>
      </c>
      <c r="E5050" t="s">
        <v>20</v>
      </c>
      <c r="F5050" t="s">
        <v>40</v>
      </c>
      <c r="G5050" t="s">
        <v>8</v>
      </c>
      <c r="H5050">
        <v>54.76</v>
      </c>
    </row>
    <row r="5051" spans="1:8" x14ac:dyDescent="0.3">
      <c r="A5051">
        <v>202410</v>
      </c>
      <c r="B5051" s="1">
        <v>45566</v>
      </c>
      <c r="C5051">
        <v>2024</v>
      </c>
      <c r="D5051" t="s">
        <v>17</v>
      </c>
      <c r="E5051" t="s">
        <v>20</v>
      </c>
      <c r="F5051" t="s">
        <v>40</v>
      </c>
      <c r="G5051" t="s">
        <v>8</v>
      </c>
      <c r="H5051">
        <v>76.31</v>
      </c>
    </row>
    <row r="5052" spans="1:8" x14ac:dyDescent="0.3">
      <c r="A5052">
        <v>202411</v>
      </c>
      <c r="B5052" s="1">
        <v>45597</v>
      </c>
      <c r="C5052">
        <v>2024</v>
      </c>
      <c r="D5052" t="s">
        <v>18</v>
      </c>
      <c r="E5052" t="s">
        <v>20</v>
      </c>
      <c r="F5052" t="s">
        <v>40</v>
      </c>
      <c r="G5052" t="s">
        <v>8</v>
      </c>
      <c r="H5052">
        <v>42.89</v>
      </c>
    </row>
    <row r="5053" spans="1:8" x14ac:dyDescent="0.3">
      <c r="A5053">
        <v>202412</v>
      </c>
      <c r="B5053" s="1">
        <v>45627</v>
      </c>
      <c r="C5053">
        <v>2024</v>
      </c>
      <c r="D5053" t="s">
        <v>19</v>
      </c>
      <c r="E5053" t="s">
        <v>20</v>
      </c>
      <c r="F5053" t="s">
        <v>40</v>
      </c>
      <c r="G5053" t="s">
        <v>8</v>
      </c>
      <c r="H5053">
        <v>96.65</v>
      </c>
    </row>
    <row r="5054" spans="1:8" x14ac:dyDescent="0.3">
      <c r="A5054">
        <v>202401</v>
      </c>
      <c r="B5054" s="1">
        <v>45292</v>
      </c>
      <c r="C5054">
        <v>2024</v>
      </c>
      <c r="D5054" t="s">
        <v>6</v>
      </c>
      <c r="E5054" t="s">
        <v>20</v>
      </c>
      <c r="F5054" t="s">
        <v>40</v>
      </c>
      <c r="G5054" t="s">
        <v>8</v>
      </c>
      <c r="H5054">
        <v>506.02</v>
      </c>
    </row>
    <row r="5055" spans="1:8" x14ac:dyDescent="0.3">
      <c r="A5055">
        <v>202402</v>
      </c>
      <c r="B5055" s="1">
        <v>45323</v>
      </c>
      <c r="C5055">
        <v>2024</v>
      </c>
      <c r="D5055" t="s">
        <v>9</v>
      </c>
      <c r="E5055" t="s">
        <v>20</v>
      </c>
      <c r="F5055" t="s">
        <v>40</v>
      </c>
      <c r="G5055" t="s">
        <v>8</v>
      </c>
      <c r="H5055">
        <v>247.19</v>
      </c>
    </row>
    <row r="5056" spans="1:8" x14ac:dyDescent="0.3">
      <c r="A5056">
        <v>202403</v>
      </c>
      <c r="B5056" s="1">
        <v>45352</v>
      </c>
      <c r="C5056">
        <v>2024</v>
      </c>
      <c r="D5056" t="s">
        <v>10</v>
      </c>
      <c r="E5056" t="s">
        <v>20</v>
      </c>
      <c r="F5056" t="s">
        <v>40</v>
      </c>
      <c r="G5056" t="s">
        <v>8</v>
      </c>
      <c r="H5056">
        <v>265.66000000000003</v>
      </c>
    </row>
    <row r="5057" spans="1:8" x14ac:dyDescent="0.3">
      <c r="A5057">
        <v>202404</v>
      </c>
      <c r="B5057" s="1">
        <v>45383</v>
      </c>
      <c r="C5057">
        <v>2024</v>
      </c>
      <c r="D5057" t="s">
        <v>11</v>
      </c>
      <c r="E5057" t="s">
        <v>20</v>
      </c>
      <c r="F5057" t="s">
        <v>40</v>
      </c>
      <c r="G5057" t="s">
        <v>8</v>
      </c>
      <c r="H5057">
        <v>574.69000000000005</v>
      </c>
    </row>
    <row r="5058" spans="1:8" x14ac:dyDescent="0.3">
      <c r="A5058">
        <v>202405</v>
      </c>
      <c r="B5058" s="1">
        <v>45413</v>
      </c>
      <c r="C5058">
        <v>2024</v>
      </c>
      <c r="D5058" t="s">
        <v>12</v>
      </c>
      <c r="E5058" t="s">
        <v>20</v>
      </c>
      <c r="F5058" t="s">
        <v>40</v>
      </c>
      <c r="G5058" t="s">
        <v>8</v>
      </c>
      <c r="H5058">
        <v>375.31</v>
      </c>
    </row>
    <row r="5059" spans="1:8" x14ac:dyDescent="0.3">
      <c r="A5059">
        <v>202406</v>
      </c>
      <c r="B5059" s="1">
        <v>45444</v>
      </c>
      <c r="C5059">
        <v>2024</v>
      </c>
      <c r="D5059" t="s">
        <v>13</v>
      </c>
      <c r="E5059" t="s">
        <v>20</v>
      </c>
      <c r="F5059" t="s">
        <v>40</v>
      </c>
      <c r="G5059" t="s">
        <v>8</v>
      </c>
      <c r="H5059">
        <v>281.91000000000003</v>
      </c>
    </row>
    <row r="5060" spans="1:8" x14ac:dyDescent="0.3">
      <c r="A5060">
        <v>202407</v>
      </c>
      <c r="B5060" s="1">
        <v>45474</v>
      </c>
      <c r="C5060">
        <v>2024</v>
      </c>
      <c r="D5060" t="s">
        <v>14</v>
      </c>
      <c r="E5060" t="s">
        <v>20</v>
      </c>
      <c r="F5060" t="s">
        <v>40</v>
      </c>
      <c r="G5060" t="s">
        <v>8</v>
      </c>
      <c r="H5060">
        <v>532.70000000000005</v>
      </c>
    </row>
    <row r="5061" spans="1:8" x14ac:dyDescent="0.3">
      <c r="A5061">
        <v>202408</v>
      </c>
      <c r="B5061" s="1">
        <v>45505</v>
      </c>
      <c r="C5061">
        <v>2024</v>
      </c>
      <c r="D5061" t="s">
        <v>15</v>
      </c>
      <c r="E5061" t="s">
        <v>20</v>
      </c>
      <c r="F5061" t="s">
        <v>40</v>
      </c>
      <c r="G5061" t="s">
        <v>8</v>
      </c>
      <c r="H5061">
        <v>410.63</v>
      </c>
    </row>
    <row r="5062" spans="1:8" x14ac:dyDescent="0.3">
      <c r="A5062">
        <v>202409</v>
      </c>
      <c r="B5062" s="1">
        <v>45536</v>
      </c>
      <c r="C5062">
        <v>2024</v>
      </c>
      <c r="D5062" t="s">
        <v>16</v>
      </c>
      <c r="E5062" t="s">
        <v>20</v>
      </c>
      <c r="F5062" t="s">
        <v>40</v>
      </c>
      <c r="G5062" t="s">
        <v>8</v>
      </c>
      <c r="H5062">
        <v>349.51</v>
      </c>
    </row>
    <row r="5063" spans="1:8" x14ac:dyDescent="0.3">
      <c r="A5063">
        <v>202410</v>
      </c>
      <c r="B5063" s="1">
        <v>45566</v>
      </c>
      <c r="C5063">
        <v>2024</v>
      </c>
      <c r="D5063" t="s">
        <v>17</v>
      </c>
      <c r="E5063" t="s">
        <v>20</v>
      </c>
      <c r="F5063" t="s">
        <v>40</v>
      </c>
      <c r="G5063" t="s">
        <v>8</v>
      </c>
      <c r="H5063">
        <v>510.7</v>
      </c>
    </row>
    <row r="5064" spans="1:8" x14ac:dyDescent="0.3">
      <c r="A5064">
        <v>202411</v>
      </c>
      <c r="B5064" s="1">
        <v>45597</v>
      </c>
      <c r="C5064">
        <v>2024</v>
      </c>
      <c r="D5064" t="s">
        <v>18</v>
      </c>
      <c r="E5064" t="s">
        <v>20</v>
      </c>
      <c r="F5064" t="s">
        <v>40</v>
      </c>
      <c r="G5064" t="s">
        <v>8</v>
      </c>
      <c r="H5064">
        <v>353.51</v>
      </c>
    </row>
    <row r="5065" spans="1:8" x14ac:dyDescent="0.3">
      <c r="A5065">
        <v>202412</v>
      </c>
      <c r="B5065" s="1">
        <v>45627</v>
      </c>
      <c r="C5065">
        <v>2024</v>
      </c>
      <c r="D5065" t="s">
        <v>19</v>
      </c>
      <c r="E5065" t="s">
        <v>20</v>
      </c>
      <c r="F5065" t="s">
        <v>40</v>
      </c>
      <c r="G5065" t="s">
        <v>8</v>
      </c>
      <c r="H5065">
        <v>345.41</v>
      </c>
    </row>
    <row r="5066" spans="1:8" x14ac:dyDescent="0.3">
      <c r="A5066">
        <v>202401</v>
      </c>
      <c r="B5066" s="1">
        <v>45292</v>
      </c>
      <c r="C5066">
        <v>2024</v>
      </c>
      <c r="D5066" t="s">
        <v>6</v>
      </c>
      <c r="E5066" t="s">
        <v>21</v>
      </c>
      <c r="F5066" t="s">
        <v>40</v>
      </c>
      <c r="G5066" t="s">
        <v>8</v>
      </c>
      <c r="H5066">
        <v>362.07</v>
      </c>
    </row>
    <row r="5067" spans="1:8" x14ac:dyDescent="0.3">
      <c r="A5067">
        <v>202402</v>
      </c>
      <c r="B5067" s="1">
        <v>45323</v>
      </c>
      <c r="C5067">
        <v>2024</v>
      </c>
      <c r="D5067" t="s">
        <v>9</v>
      </c>
      <c r="E5067" t="s">
        <v>21</v>
      </c>
      <c r="F5067" t="s">
        <v>40</v>
      </c>
      <c r="G5067" t="s">
        <v>8</v>
      </c>
      <c r="H5067">
        <v>174.91</v>
      </c>
    </row>
    <row r="5068" spans="1:8" x14ac:dyDescent="0.3">
      <c r="A5068">
        <v>202403</v>
      </c>
      <c r="B5068" s="1">
        <v>45352</v>
      </c>
      <c r="C5068">
        <v>2024</v>
      </c>
      <c r="D5068" t="s">
        <v>10</v>
      </c>
      <c r="E5068" t="s">
        <v>21</v>
      </c>
      <c r="F5068" t="s">
        <v>40</v>
      </c>
      <c r="G5068" t="s">
        <v>8</v>
      </c>
      <c r="H5068">
        <v>237.35</v>
      </c>
    </row>
    <row r="5069" spans="1:8" x14ac:dyDescent="0.3">
      <c r="A5069">
        <v>202404</v>
      </c>
      <c r="B5069" s="1">
        <v>45383</v>
      </c>
      <c r="C5069">
        <v>2024</v>
      </c>
      <c r="D5069" t="s">
        <v>11</v>
      </c>
      <c r="E5069" t="s">
        <v>21</v>
      </c>
      <c r="F5069" t="s">
        <v>40</v>
      </c>
      <c r="G5069" t="s">
        <v>8</v>
      </c>
      <c r="H5069">
        <v>442.85</v>
      </c>
    </row>
    <row r="5070" spans="1:8" x14ac:dyDescent="0.3">
      <c r="A5070">
        <v>202405</v>
      </c>
      <c r="B5070" s="1">
        <v>45413</v>
      </c>
      <c r="C5070">
        <v>2024</v>
      </c>
      <c r="D5070" t="s">
        <v>12</v>
      </c>
      <c r="E5070" t="s">
        <v>21</v>
      </c>
      <c r="F5070" t="s">
        <v>40</v>
      </c>
      <c r="G5070" t="s">
        <v>8</v>
      </c>
      <c r="H5070">
        <v>345.28</v>
      </c>
    </row>
    <row r="5071" spans="1:8" x14ac:dyDescent="0.3">
      <c r="A5071">
        <v>202406</v>
      </c>
      <c r="B5071" s="1">
        <v>45444</v>
      </c>
      <c r="C5071">
        <v>2024</v>
      </c>
      <c r="D5071" t="s">
        <v>13</v>
      </c>
      <c r="E5071" t="s">
        <v>21</v>
      </c>
      <c r="F5071" t="s">
        <v>40</v>
      </c>
      <c r="G5071" t="s">
        <v>8</v>
      </c>
      <c r="H5071">
        <v>303.77</v>
      </c>
    </row>
    <row r="5072" spans="1:8" x14ac:dyDescent="0.3">
      <c r="A5072">
        <v>202407</v>
      </c>
      <c r="B5072" s="1">
        <v>45474</v>
      </c>
      <c r="C5072">
        <v>2024</v>
      </c>
      <c r="D5072" t="s">
        <v>14</v>
      </c>
      <c r="E5072" t="s">
        <v>21</v>
      </c>
      <c r="F5072" t="s">
        <v>40</v>
      </c>
      <c r="G5072" t="s">
        <v>8</v>
      </c>
      <c r="H5072">
        <v>334.48</v>
      </c>
    </row>
    <row r="5073" spans="1:8" x14ac:dyDescent="0.3">
      <c r="A5073">
        <v>202408</v>
      </c>
      <c r="B5073" s="1">
        <v>45505</v>
      </c>
      <c r="C5073">
        <v>2024</v>
      </c>
      <c r="D5073" t="s">
        <v>15</v>
      </c>
      <c r="E5073" t="s">
        <v>21</v>
      </c>
      <c r="F5073" t="s">
        <v>40</v>
      </c>
      <c r="G5073" t="s">
        <v>8</v>
      </c>
      <c r="H5073">
        <v>320.73</v>
      </c>
    </row>
    <row r="5074" spans="1:8" x14ac:dyDescent="0.3">
      <c r="A5074">
        <v>202409</v>
      </c>
      <c r="B5074" s="1">
        <v>45536</v>
      </c>
      <c r="C5074">
        <v>2024</v>
      </c>
      <c r="D5074" t="s">
        <v>16</v>
      </c>
      <c r="E5074" t="s">
        <v>21</v>
      </c>
      <c r="F5074" t="s">
        <v>40</v>
      </c>
      <c r="G5074" t="s">
        <v>8</v>
      </c>
      <c r="H5074">
        <v>226.2</v>
      </c>
    </row>
    <row r="5075" spans="1:8" x14ac:dyDescent="0.3">
      <c r="A5075">
        <v>202410</v>
      </c>
      <c r="B5075" s="1">
        <v>45566</v>
      </c>
      <c r="C5075">
        <v>2024</v>
      </c>
      <c r="D5075" t="s">
        <v>17</v>
      </c>
      <c r="E5075" t="s">
        <v>21</v>
      </c>
      <c r="F5075" t="s">
        <v>40</v>
      </c>
      <c r="G5075" t="s">
        <v>8</v>
      </c>
      <c r="H5075">
        <v>321.77999999999997</v>
      </c>
    </row>
    <row r="5076" spans="1:8" x14ac:dyDescent="0.3">
      <c r="A5076">
        <v>202411</v>
      </c>
      <c r="B5076" s="1">
        <v>45597</v>
      </c>
      <c r="C5076">
        <v>2024</v>
      </c>
      <c r="D5076" t="s">
        <v>18</v>
      </c>
      <c r="E5076" t="s">
        <v>21</v>
      </c>
      <c r="F5076" t="s">
        <v>40</v>
      </c>
      <c r="G5076" t="s">
        <v>8</v>
      </c>
      <c r="H5076">
        <v>263.19</v>
      </c>
    </row>
    <row r="5077" spans="1:8" x14ac:dyDescent="0.3">
      <c r="A5077">
        <v>202412</v>
      </c>
      <c r="B5077" s="1">
        <v>45627</v>
      </c>
      <c r="C5077">
        <v>2024</v>
      </c>
      <c r="D5077" t="s">
        <v>19</v>
      </c>
      <c r="E5077" t="s">
        <v>21</v>
      </c>
      <c r="F5077" t="s">
        <v>40</v>
      </c>
      <c r="G5077" t="s">
        <v>8</v>
      </c>
      <c r="H5077">
        <v>236.44</v>
      </c>
    </row>
    <row r="5078" spans="1:8" x14ac:dyDescent="0.3">
      <c r="A5078">
        <v>202401</v>
      </c>
      <c r="B5078" s="1">
        <v>45292</v>
      </c>
      <c r="C5078">
        <v>2024</v>
      </c>
      <c r="D5078" t="s">
        <v>6</v>
      </c>
      <c r="E5078" t="s">
        <v>21</v>
      </c>
      <c r="F5078" t="s">
        <v>40</v>
      </c>
      <c r="G5078" t="s">
        <v>8</v>
      </c>
      <c r="H5078">
        <v>535.08000000000004</v>
      </c>
    </row>
    <row r="5079" spans="1:8" x14ac:dyDescent="0.3">
      <c r="A5079">
        <v>202402</v>
      </c>
      <c r="B5079" s="1">
        <v>45323</v>
      </c>
      <c r="C5079">
        <v>2024</v>
      </c>
      <c r="D5079" t="s">
        <v>9</v>
      </c>
      <c r="E5079" t="s">
        <v>21</v>
      </c>
      <c r="F5079" t="s">
        <v>40</v>
      </c>
      <c r="G5079" t="s">
        <v>8</v>
      </c>
      <c r="H5079">
        <v>130.9</v>
      </c>
    </row>
    <row r="5080" spans="1:8" x14ac:dyDescent="0.3">
      <c r="A5080">
        <v>202403</v>
      </c>
      <c r="B5080" s="1">
        <v>45352</v>
      </c>
      <c r="C5080">
        <v>2024</v>
      </c>
      <c r="D5080" t="s">
        <v>10</v>
      </c>
      <c r="E5080" t="s">
        <v>21</v>
      </c>
      <c r="F5080" t="s">
        <v>40</v>
      </c>
      <c r="G5080" t="s">
        <v>8</v>
      </c>
      <c r="H5080">
        <v>175.42</v>
      </c>
    </row>
    <row r="5081" spans="1:8" x14ac:dyDescent="0.3">
      <c r="A5081">
        <v>202404</v>
      </c>
      <c r="B5081" s="1">
        <v>45383</v>
      </c>
      <c r="C5081">
        <v>2024</v>
      </c>
      <c r="D5081" t="s">
        <v>11</v>
      </c>
      <c r="E5081" t="s">
        <v>21</v>
      </c>
      <c r="F5081" t="s">
        <v>40</v>
      </c>
      <c r="G5081" t="s">
        <v>8</v>
      </c>
      <c r="H5081">
        <v>386.92</v>
      </c>
    </row>
    <row r="5082" spans="1:8" x14ac:dyDescent="0.3">
      <c r="A5082">
        <v>202405</v>
      </c>
      <c r="B5082" s="1">
        <v>45413</v>
      </c>
      <c r="C5082">
        <v>2024</v>
      </c>
      <c r="D5082" t="s">
        <v>12</v>
      </c>
      <c r="E5082" t="s">
        <v>21</v>
      </c>
      <c r="F5082" t="s">
        <v>40</v>
      </c>
      <c r="G5082" t="s">
        <v>8</v>
      </c>
      <c r="H5082">
        <v>241.03</v>
      </c>
    </row>
    <row r="5083" spans="1:8" x14ac:dyDescent="0.3">
      <c r="A5083">
        <v>202406</v>
      </c>
      <c r="B5083" s="1">
        <v>45444</v>
      </c>
      <c r="C5083">
        <v>2024</v>
      </c>
      <c r="D5083" t="s">
        <v>13</v>
      </c>
      <c r="E5083" t="s">
        <v>21</v>
      </c>
      <c r="F5083" t="s">
        <v>40</v>
      </c>
      <c r="G5083" t="s">
        <v>8</v>
      </c>
      <c r="H5083">
        <v>245.72</v>
      </c>
    </row>
    <row r="5084" spans="1:8" x14ac:dyDescent="0.3">
      <c r="A5084">
        <v>202407</v>
      </c>
      <c r="B5084" s="1">
        <v>45474</v>
      </c>
      <c r="C5084">
        <v>2024</v>
      </c>
      <c r="D5084" t="s">
        <v>14</v>
      </c>
      <c r="E5084" t="s">
        <v>21</v>
      </c>
      <c r="F5084" t="s">
        <v>40</v>
      </c>
      <c r="G5084" t="s">
        <v>8</v>
      </c>
      <c r="H5084">
        <v>303.29000000000002</v>
      </c>
    </row>
    <row r="5085" spans="1:8" x14ac:dyDescent="0.3">
      <c r="A5085">
        <v>202408</v>
      </c>
      <c r="B5085" s="1">
        <v>45505</v>
      </c>
      <c r="C5085">
        <v>2024</v>
      </c>
      <c r="D5085" t="s">
        <v>15</v>
      </c>
      <c r="E5085" t="s">
        <v>21</v>
      </c>
      <c r="F5085" t="s">
        <v>40</v>
      </c>
      <c r="G5085" t="s">
        <v>8</v>
      </c>
      <c r="H5085">
        <v>278.43</v>
      </c>
    </row>
    <row r="5086" spans="1:8" x14ac:dyDescent="0.3">
      <c r="A5086">
        <v>202409</v>
      </c>
      <c r="B5086" s="1">
        <v>45536</v>
      </c>
      <c r="C5086">
        <v>2024</v>
      </c>
      <c r="D5086" t="s">
        <v>16</v>
      </c>
      <c r="E5086" t="s">
        <v>21</v>
      </c>
      <c r="F5086" t="s">
        <v>40</v>
      </c>
      <c r="G5086" t="s">
        <v>8</v>
      </c>
      <c r="H5086">
        <v>232.05</v>
      </c>
    </row>
    <row r="5087" spans="1:8" x14ac:dyDescent="0.3">
      <c r="A5087">
        <v>202410</v>
      </c>
      <c r="B5087" s="1">
        <v>45566</v>
      </c>
      <c r="C5087">
        <v>2024</v>
      </c>
      <c r="D5087" t="s">
        <v>17</v>
      </c>
      <c r="E5087" t="s">
        <v>21</v>
      </c>
      <c r="F5087" t="s">
        <v>40</v>
      </c>
      <c r="G5087" t="s">
        <v>8</v>
      </c>
      <c r="H5087">
        <v>348.54</v>
      </c>
    </row>
    <row r="5088" spans="1:8" x14ac:dyDescent="0.3">
      <c r="A5088">
        <v>202411</v>
      </c>
      <c r="B5088" s="1">
        <v>45597</v>
      </c>
      <c r="C5088">
        <v>2024</v>
      </c>
      <c r="D5088" t="s">
        <v>18</v>
      </c>
      <c r="E5088" t="s">
        <v>21</v>
      </c>
      <c r="F5088" t="s">
        <v>40</v>
      </c>
      <c r="G5088" t="s">
        <v>8</v>
      </c>
      <c r="H5088">
        <v>249.64</v>
      </c>
    </row>
    <row r="5089" spans="1:8" x14ac:dyDescent="0.3">
      <c r="A5089">
        <v>202412</v>
      </c>
      <c r="B5089" s="1">
        <v>45627</v>
      </c>
      <c r="C5089">
        <v>2024</v>
      </c>
      <c r="D5089" t="s">
        <v>19</v>
      </c>
      <c r="E5089" t="s">
        <v>21</v>
      </c>
      <c r="F5089" t="s">
        <v>40</v>
      </c>
      <c r="G5089" t="s">
        <v>8</v>
      </c>
      <c r="H5089">
        <v>257.39</v>
      </c>
    </row>
    <row r="5090" spans="1:8" x14ac:dyDescent="0.3">
      <c r="A5090">
        <v>202401</v>
      </c>
      <c r="B5090" s="1">
        <v>45292</v>
      </c>
      <c r="C5090">
        <v>2024</v>
      </c>
      <c r="D5090" t="s">
        <v>6</v>
      </c>
      <c r="E5090" t="s">
        <v>21</v>
      </c>
      <c r="F5090" t="s">
        <v>40</v>
      </c>
      <c r="G5090" t="s">
        <v>8</v>
      </c>
      <c r="H5090">
        <v>619.53</v>
      </c>
    </row>
    <row r="5091" spans="1:8" x14ac:dyDescent="0.3">
      <c r="A5091">
        <v>202402</v>
      </c>
      <c r="B5091" s="1">
        <v>45323</v>
      </c>
      <c r="C5091">
        <v>2024</v>
      </c>
      <c r="D5091" t="s">
        <v>9</v>
      </c>
      <c r="E5091" t="s">
        <v>21</v>
      </c>
      <c r="F5091" t="s">
        <v>40</v>
      </c>
      <c r="G5091" t="s">
        <v>8</v>
      </c>
      <c r="H5091">
        <v>232.92</v>
      </c>
    </row>
    <row r="5092" spans="1:8" x14ac:dyDescent="0.3">
      <c r="A5092">
        <v>202403</v>
      </c>
      <c r="B5092" s="1">
        <v>45352</v>
      </c>
      <c r="C5092">
        <v>2024</v>
      </c>
      <c r="D5092" t="s">
        <v>10</v>
      </c>
      <c r="E5092" t="s">
        <v>21</v>
      </c>
      <c r="F5092" t="s">
        <v>40</v>
      </c>
      <c r="G5092" t="s">
        <v>8</v>
      </c>
      <c r="H5092">
        <v>295.7</v>
      </c>
    </row>
    <row r="5093" spans="1:8" x14ac:dyDescent="0.3">
      <c r="A5093">
        <v>202404</v>
      </c>
      <c r="B5093" s="1">
        <v>45383</v>
      </c>
      <c r="C5093">
        <v>2024</v>
      </c>
      <c r="D5093" t="s">
        <v>11</v>
      </c>
      <c r="E5093" t="s">
        <v>21</v>
      </c>
      <c r="F5093" t="s">
        <v>40</v>
      </c>
      <c r="G5093" t="s">
        <v>8</v>
      </c>
      <c r="H5093">
        <v>684.07</v>
      </c>
    </row>
    <row r="5094" spans="1:8" x14ac:dyDescent="0.3">
      <c r="A5094">
        <v>202405</v>
      </c>
      <c r="B5094" s="1">
        <v>45413</v>
      </c>
      <c r="C5094">
        <v>2024</v>
      </c>
      <c r="D5094" t="s">
        <v>12</v>
      </c>
      <c r="E5094" t="s">
        <v>21</v>
      </c>
      <c r="F5094" t="s">
        <v>40</v>
      </c>
      <c r="G5094" t="s">
        <v>8</v>
      </c>
      <c r="H5094">
        <v>478.33</v>
      </c>
    </row>
    <row r="5095" spans="1:8" x14ac:dyDescent="0.3">
      <c r="A5095">
        <v>202406</v>
      </c>
      <c r="B5095" s="1">
        <v>45444</v>
      </c>
      <c r="C5095">
        <v>2024</v>
      </c>
      <c r="D5095" t="s">
        <v>13</v>
      </c>
      <c r="E5095" t="s">
        <v>21</v>
      </c>
      <c r="F5095" t="s">
        <v>40</v>
      </c>
      <c r="G5095" t="s">
        <v>8</v>
      </c>
      <c r="H5095">
        <v>443.17</v>
      </c>
    </row>
    <row r="5096" spans="1:8" x14ac:dyDescent="0.3">
      <c r="A5096">
        <v>202407</v>
      </c>
      <c r="B5096" s="1">
        <v>45474</v>
      </c>
      <c r="C5096">
        <v>2024</v>
      </c>
      <c r="D5096" t="s">
        <v>14</v>
      </c>
      <c r="E5096" t="s">
        <v>21</v>
      </c>
      <c r="F5096" t="s">
        <v>40</v>
      </c>
      <c r="G5096" t="s">
        <v>8</v>
      </c>
      <c r="H5096">
        <v>555.28</v>
      </c>
    </row>
    <row r="5097" spans="1:8" x14ac:dyDescent="0.3">
      <c r="A5097">
        <v>202408</v>
      </c>
      <c r="B5097" s="1">
        <v>45505</v>
      </c>
      <c r="C5097">
        <v>2024</v>
      </c>
      <c r="D5097" t="s">
        <v>15</v>
      </c>
      <c r="E5097" t="s">
        <v>21</v>
      </c>
      <c r="F5097" t="s">
        <v>40</v>
      </c>
      <c r="G5097" t="s">
        <v>8</v>
      </c>
      <c r="H5097">
        <v>511.16</v>
      </c>
    </row>
    <row r="5098" spans="1:8" x14ac:dyDescent="0.3">
      <c r="A5098">
        <v>202409</v>
      </c>
      <c r="B5098" s="1">
        <v>45536</v>
      </c>
      <c r="C5098">
        <v>2024</v>
      </c>
      <c r="D5098" t="s">
        <v>16</v>
      </c>
      <c r="E5098" t="s">
        <v>21</v>
      </c>
      <c r="F5098" t="s">
        <v>40</v>
      </c>
      <c r="G5098" t="s">
        <v>8</v>
      </c>
      <c r="H5098">
        <v>420.58</v>
      </c>
    </row>
    <row r="5099" spans="1:8" x14ac:dyDescent="0.3">
      <c r="A5099">
        <v>202410</v>
      </c>
      <c r="B5099" s="1">
        <v>45566</v>
      </c>
      <c r="C5099">
        <v>2024</v>
      </c>
      <c r="D5099" t="s">
        <v>17</v>
      </c>
      <c r="E5099" t="s">
        <v>21</v>
      </c>
      <c r="F5099" t="s">
        <v>40</v>
      </c>
      <c r="G5099" t="s">
        <v>8</v>
      </c>
      <c r="H5099">
        <v>661.41</v>
      </c>
    </row>
    <row r="5100" spans="1:8" x14ac:dyDescent="0.3">
      <c r="A5100">
        <v>202411</v>
      </c>
      <c r="B5100" s="1">
        <v>45597</v>
      </c>
      <c r="C5100">
        <v>2024</v>
      </c>
      <c r="D5100" t="s">
        <v>18</v>
      </c>
      <c r="E5100" t="s">
        <v>21</v>
      </c>
      <c r="F5100" t="s">
        <v>40</v>
      </c>
      <c r="G5100" t="s">
        <v>8</v>
      </c>
      <c r="H5100">
        <v>537.39</v>
      </c>
    </row>
    <row r="5101" spans="1:8" x14ac:dyDescent="0.3">
      <c r="A5101">
        <v>202412</v>
      </c>
      <c r="B5101" s="1">
        <v>45627</v>
      </c>
      <c r="C5101">
        <v>2024</v>
      </c>
      <c r="D5101" t="s">
        <v>19</v>
      </c>
      <c r="E5101" t="s">
        <v>21</v>
      </c>
      <c r="F5101" t="s">
        <v>40</v>
      </c>
      <c r="G5101" t="s">
        <v>8</v>
      </c>
      <c r="H5101">
        <v>306.22000000000003</v>
      </c>
    </row>
    <row r="5102" spans="1:8" x14ac:dyDescent="0.3">
      <c r="A5102">
        <v>202401</v>
      </c>
      <c r="B5102" s="1">
        <v>45292</v>
      </c>
      <c r="C5102">
        <v>2024</v>
      </c>
      <c r="D5102" t="s">
        <v>6</v>
      </c>
      <c r="E5102" t="s">
        <v>21</v>
      </c>
      <c r="F5102" t="s">
        <v>40</v>
      </c>
      <c r="G5102" t="s">
        <v>8</v>
      </c>
      <c r="H5102">
        <v>1061.1199999999999</v>
      </c>
    </row>
    <row r="5103" spans="1:8" x14ac:dyDescent="0.3">
      <c r="A5103">
        <v>202402</v>
      </c>
      <c r="B5103" s="1">
        <v>45323</v>
      </c>
      <c r="C5103">
        <v>2024</v>
      </c>
      <c r="D5103" t="s">
        <v>9</v>
      </c>
      <c r="E5103" t="s">
        <v>21</v>
      </c>
      <c r="F5103" t="s">
        <v>40</v>
      </c>
      <c r="G5103" t="s">
        <v>8</v>
      </c>
      <c r="H5103">
        <v>614.91999999999996</v>
      </c>
    </row>
    <row r="5104" spans="1:8" x14ac:dyDescent="0.3">
      <c r="A5104">
        <v>202403</v>
      </c>
      <c r="B5104" s="1">
        <v>45352</v>
      </c>
      <c r="C5104">
        <v>2024</v>
      </c>
      <c r="D5104" t="s">
        <v>10</v>
      </c>
      <c r="E5104" t="s">
        <v>21</v>
      </c>
      <c r="F5104" t="s">
        <v>40</v>
      </c>
      <c r="G5104" t="s">
        <v>8</v>
      </c>
      <c r="H5104">
        <v>565.27</v>
      </c>
    </row>
    <row r="5105" spans="1:8" x14ac:dyDescent="0.3">
      <c r="A5105">
        <v>202404</v>
      </c>
      <c r="B5105" s="1">
        <v>45383</v>
      </c>
      <c r="C5105">
        <v>2024</v>
      </c>
      <c r="D5105" t="s">
        <v>11</v>
      </c>
      <c r="E5105" t="s">
        <v>21</v>
      </c>
      <c r="F5105" t="s">
        <v>40</v>
      </c>
      <c r="G5105" t="s">
        <v>8</v>
      </c>
      <c r="H5105">
        <v>1268.69</v>
      </c>
    </row>
    <row r="5106" spans="1:8" x14ac:dyDescent="0.3">
      <c r="A5106">
        <v>202405</v>
      </c>
      <c r="B5106" s="1">
        <v>45413</v>
      </c>
      <c r="C5106">
        <v>2024</v>
      </c>
      <c r="D5106" t="s">
        <v>12</v>
      </c>
      <c r="E5106" t="s">
        <v>21</v>
      </c>
      <c r="F5106" t="s">
        <v>40</v>
      </c>
      <c r="G5106" t="s">
        <v>8</v>
      </c>
      <c r="H5106">
        <v>794.18</v>
      </c>
    </row>
    <row r="5107" spans="1:8" x14ac:dyDescent="0.3">
      <c r="A5107">
        <v>202406</v>
      </c>
      <c r="B5107" s="1">
        <v>45444</v>
      </c>
      <c r="C5107">
        <v>2024</v>
      </c>
      <c r="D5107" t="s">
        <v>13</v>
      </c>
      <c r="E5107" t="s">
        <v>21</v>
      </c>
      <c r="F5107" t="s">
        <v>40</v>
      </c>
      <c r="G5107" t="s">
        <v>8</v>
      </c>
      <c r="H5107">
        <v>748.28</v>
      </c>
    </row>
    <row r="5108" spans="1:8" x14ac:dyDescent="0.3">
      <c r="A5108">
        <v>202407</v>
      </c>
      <c r="B5108" s="1">
        <v>45474</v>
      </c>
      <c r="C5108">
        <v>2024</v>
      </c>
      <c r="D5108" t="s">
        <v>14</v>
      </c>
      <c r="E5108" t="s">
        <v>21</v>
      </c>
      <c r="F5108" t="s">
        <v>40</v>
      </c>
      <c r="G5108" t="s">
        <v>8</v>
      </c>
      <c r="H5108">
        <v>1013.92</v>
      </c>
    </row>
    <row r="5109" spans="1:8" x14ac:dyDescent="0.3">
      <c r="A5109">
        <v>202408</v>
      </c>
      <c r="B5109" s="1">
        <v>45505</v>
      </c>
      <c r="C5109">
        <v>2024</v>
      </c>
      <c r="D5109" t="s">
        <v>15</v>
      </c>
      <c r="E5109" t="s">
        <v>21</v>
      </c>
      <c r="F5109" t="s">
        <v>40</v>
      </c>
      <c r="G5109" t="s">
        <v>8</v>
      </c>
      <c r="H5109">
        <v>1089.03</v>
      </c>
    </row>
    <row r="5110" spans="1:8" x14ac:dyDescent="0.3">
      <c r="A5110">
        <v>202409</v>
      </c>
      <c r="B5110" s="1">
        <v>45536</v>
      </c>
      <c r="C5110">
        <v>2024</v>
      </c>
      <c r="D5110" t="s">
        <v>16</v>
      </c>
      <c r="E5110" t="s">
        <v>21</v>
      </c>
      <c r="F5110" t="s">
        <v>40</v>
      </c>
      <c r="G5110" t="s">
        <v>8</v>
      </c>
      <c r="H5110">
        <v>791.23</v>
      </c>
    </row>
    <row r="5111" spans="1:8" x14ac:dyDescent="0.3">
      <c r="A5111">
        <v>202410</v>
      </c>
      <c r="B5111" s="1">
        <v>45566</v>
      </c>
      <c r="C5111">
        <v>2024</v>
      </c>
      <c r="D5111" t="s">
        <v>17</v>
      </c>
      <c r="E5111" t="s">
        <v>21</v>
      </c>
      <c r="F5111" t="s">
        <v>40</v>
      </c>
      <c r="G5111" t="s">
        <v>8</v>
      </c>
      <c r="H5111">
        <v>1030.25</v>
      </c>
    </row>
    <row r="5112" spans="1:8" x14ac:dyDescent="0.3">
      <c r="A5112">
        <v>202411</v>
      </c>
      <c r="B5112" s="1">
        <v>45597</v>
      </c>
      <c r="C5112">
        <v>2024</v>
      </c>
      <c r="D5112" t="s">
        <v>18</v>
      </c>
      <c r="E5112" t="s">
        <v>21</v>
      </c>
      <c r="F5112" t="s">
        <v>40</v>
      </c>
      <c r="G5112" t="s">
        <v>8</v>
      </c>
      <c r="H5112">
        <v>1247.3</v>
      </c>
    </row>
    <row r="5113" spans="1:8" x14ac:dyDescent="0.3">
      <c r="A5113">
        <v>202412</v>
      </c>
      <c r="B5113" s="1">
        <v>45627</v>
      </c>
      <c r="C5113">
        <v>2024</v>
      </c>
      <c r="D5113" t="s">
        <v>19</v>
      </c>
      <c r="E5113" t="s">
        <v>21</v>
      </c>
      <c r="F5113" t="s">
        <v>40</v>
      </c>
      <c r="G5113" t="s">
        <v>8</v>
      </c>
      <c r="H5113">
        <v>728.14</v>
      </c>
    </row>
    <row r="5114" spans="1:8" x14ac:dyDescent="0.3">
      <c r="A5114">
        <v>202401</v>
      </c>
      <c r="B5114" s="1">
        <v>45292</v>
      </c>
      <c r="C5114">
        <v>2024</v>
      </c>
      <c r="D5114" t="s">
        <v>6</v>
      </c>
      <c r="E5114" t="s">
        <v>22</v>
      </c>
      <c r="F5114" t="s">
        <v>40</v>
      </c>
      <c r="G5114" t="s">
        <v>8</v>
      </c>
      <c r="H5114">
        <v>482.21</v>
      </c>
    </row>
    <row r="5115" spans="1:8" x14ac:dyDescent="0.3">
      <c r="A5115">
        <v>202402</v>
      </c>
      <c r="B5115" s="1">
        <v>45323</v>
      </c>
      <c r="C5115">
        <v>2024</v>
      </c>
      <c r="D5115" t="s">
        <v>9</v>
      </c>
      <c r="E5115" t="s">
        <v>22</v>
      </c>
      <c r="F5115" t="s">
        <v>40</v>
      </c>
      <c r="G5115" t="s">
        <v>8</v>
      </c>
      <c r="H5115">
        <v>250.06</v>
      </c>
    </row>
    <row r="5116" spans="1:8" x14ac:dyDescent="0.3">
      <c r="A5116">
        <v>202403</v>
      </c>
      <c r="B5116" s="1">
        <v>45352</v>
      </c>
      <c r="C5116">
        <v>2024</v>
      </c>
      <c r="D5116" t="s">
        <v>10</v>
      </c>
      <c r="E5116" t="s">
        <v>22</v>
      </c>
      <c r="F5116" t="s">
        <v>40</v>
      </c>
      <c r="G5116" t="s">
        <v>8</v>
      </c>
      <c r="H5116">
        <v>336.68</v>
      </c>
    </row>
    <row r="5117" spans="1:8" x14ac:dyDescent="0.3">
      <c r="A5117">
        <v>202404</v>
      </c>
      <c r="B5117" s="1">
        <v>45383</v>
      </c>
      <c r="C5117">
        <v>2024</v>
      </c>
      <c r="D5117" t="s">
        <v>11</v>
      </c>
      <c r="E5117" t="s">
        <v>22</v>
      </c>
      <c r="F5117" t="s">
        <v>40</v>
      </c>
      <c r="G5117" t="s">
        <v>8</v>
      </c>
      <c r="H5117">
        <v>565.1</v>
      </c>
    </row>
    <row r="5118" spans="1:8" x14ac:dyDescent="0.3">
      <c r="A5118">
        <v>202405</v>
      </c>
      <c r="B5118" s="1">
        <v>45413</v>
      </c>
      <c r="C5118">
        <v>2024</v>
      </c>
      <c r="D5118" t="s">
        <v>12</v>
      </c>
      <c r="E5118" t="s">
        <v>22</v>
      </c>
      <c r="F5118" t="s">
        <v>40</v>
      </c>
      <c r="G5118" t="s">
        <v>8</v>
      </c>
      <c r="H5118">
        <v>404.21</v>
      </c>
    </row>
    <row r="5119" spans="1:8" x14ac:dyDescent="0.3">
      <c r="A5119">
        <v>202406</v>
      </c>
      <c r="B5119" s="1">
        <v>45444</v>
      </c>
      <c r="C5119">
        <v>2024</v>
      </c>
      <c r="D5119" t="s">
        <v>13</v>
      </c>
      <c r="E5119" t="s">
        <v>22</v>
      </c>
      <c r="F5119" t="s">
        <v>40</v>
      </c>
      <c r="G5119" t="s">
        <v>8</v>
      </c>
      <c r="H5119">
        <v>451.88</v>
      </c>
    </row>
    <row r="5120" spans="1:8" x14ac:dyDescent="0.3">
      <c r="A5120">
        <v>202407</v>
      </c>
      <c r="B5120" s="1">
        <v>45474</v>
      </c>
      <c r="C5120">
        <v>2024</v>
      </c>
      <c r="D5120" t="s">
        <v>14</v>
      </c>
      <c r="E5120" t="s">
        <v>22</v>
      </c>
      <c r="F5120" t="s">
        <v>40</v>
      </c>
      <c r="G5120" t="s">
        <v>8</v>
      </c>
      <c r="H5120">
        <v>479.5</v>
      </c>
    </row>
    <row r="5121" spans="1:8" x14ac:dyDescent="0.3">
      <c r="A5121">
        <v>202408</v>
      </c>
      <c r="B5121" s="1">
        <v>45505</v>
      </c>
      <c r="C5121">
        <v>2024</v>
      </c>
      <c r="D5121" t="s">
        <v>15</v>
      </c>
      <c r="E5121" t="s">
        <v>22</v>
      </c>
      <c r="F5121" t="s">
        <v>40</v>
      </c>
      <c r="G5121" t="s">
        <v>8</v>
      </c>
      <c r="H5121">
        <v>476.44</v>
      </c>
    </row>
    <row r="5122" spans="1:8" x14ac:dyDescent="0.3">
      <c r="A5122">
        <v>202409</v>
      </c>
      <c r="B5122" s="1">
        <v>45536</v>
      </c>
      <c r="C5122">
        <v>2024</v>
      </c>
      <c r="D5122" t="s">
        <v>16</v>
      </c>
      <c r="E5122" t="s">
        <v>22</v>
      </c>
      <c r="F5122" t="s">
        <v>40</v>
      </c>
      <c r="G5122" t="s">
        <v>8</v>
      </c>
      <c r="H5122">
        <v>384.76</v>
      </c>
    </row>
    <row r="5123" spans="1:8" x14ac:dyDescent="0.3">
      <c r="A5123">
        <v>202410</v>
      </c>
      <c r="B5123" s="1">
        <v>45566</v>
      </c>
      <c r="C5123">
        <v>2024</v>
      </c>
      <c r="D5123" t="s">
        <v>17</v>
      </c>
      <c r="E5123" t="s">
        <v>22</v>
      </c>
      <c r="F5123" t="s">
        <v>40</v>
      </c>
      <c r="G5123" t="s">
        <v>8</v>
      </c>
      <c r="H5123">
        <v>578.20000000000005</v>
      </c>
    </row>
    <row r="5124" spans="1:8" x14ac:dyDescent="0.3">
      <c r="A5124">
        <v>202411</v>
      </c>
      <c r="B5124" s="1">
        <v>45597</v>
      </c>
      <c r="C5124">
        <v>2024</v>
      </c>
      <c r="D5124" t="s">
        <v>18</v>
      </c>
      <c r="E5124" t="s">
        <v>22</v>
      </c>
      <c r="F5124" t="s">
        <v>40</v>
      </c>
      <c r="G5124" t="s">
        <v>8</v>
      </c>
      <c r="H5124">
        <v>523.54</v>
      </c>
    </row>
    <row r="5125" spans="1:8" x14ac:dyDescent="0.3">
      <c r="A5125">
        <v>202412</v>
      </c>
      <c r="B5125" s="1">
        <v>45627</v>
      </c>
      <c r="C5125">
        <v>2024</v>
      </c>
      <c r="D5125" t="s">
        <v>19</v>
      </c>
      <c r="E5125" t="s">
        <v>22</v>
      </c>
      <c r="F5125" t="s">
        <v>40</v>
      </c>
      <c r="G5125" t="s">
        <v>8</v>
      </c>
      <c r="H5125">
        <v>512.25</v>
      </c>
    </row>
    <row r="5126" spans="1:8" x14ac:dyDescent="0.3">
      <c r="A5126">
        <v>202401</v>
      </c>
      <c r="B5126" s="1">
        <v>45292</v>
      </c>
      <c r="C5126">
        <v>2024</v>
      </c>
      <c r="D5126" t="s">
        <v>6</v>
      </c>
      <c r="E5126" t="s">
        <v>22</v>
      </c>
      <c r="F5126" t="s">
        <v>40</v>
      </c>
      <c r="G5126" t="s">
        <v>8</v>
      </c>
      <c r="H5126">
        <v>696.44</v>
      </c>
    </row>
    <row r="5127" spans="1:8" x14ac:dyDescent="0.3">
      <c r="A5127">
        <v>202402</v>
      </c>
      <c r="B5127" s="1">
        <v>45323</v>
      </c>
      <c r="C5127">
        <v>2024</v>
      </c>
      <c r="D5127" t="s">
        <v>9</v>
      </c>
      <c r="E5127" t="s">
        <v>22</v>
      </c>
      <c r="F5127" t="s">
        <v>40</v>
      </c>
      <c r="G5127" t="s">
        <v>8</v>
      </c>
      <c r="H5127">
        <v>303.61</v>
      </c>
    </row>
    <row r="5128" spans="1:8" x14ac:dyDescent="0.3">
      <c r="A5128">
        <v>202403</v>
      </c>
      <c r="B5128" s="1">
        <v>45352</v>
      </c>
      <c r="C5128">
        <v>2024</v>
      </c>
      <c r="D5128" t="s">
        <v>10</v>
      </c>
      <c r="E5128" t="s">
        <v>22</v>
      </c>
      <c r="F5128" t="s">
        <v>40</v>
      </c>
      <c r="G5128" t="s">
        <v>8</v>
      </c>
      <c r="H5128">
        <v>369.8</v>
      </c>
    </row>
    <row r="5129" spans="1:8" x14ac:dyDescent="0.3">
      <c r="A5129">
        <v>202404</v>
      </c>
      <c r="B5129" s="1">
        <v>45383</v>
      </c>
      <c r="C5129">
        <v>2024</v>
      </c>
      <c r="D5129" t="s">
        <v>11</v>
      </c>
      <c r="E5129" t="s">
        <v>22</v>
      </c>
      <c r="F5129" t="s">
        <v>40</v>
      </c>
      <c r="G5129" t="s">
        <v>8</v>
      </c>
      <c r="H5129">
        <v>693.85</v>
      </c>
    </row>
    <row r="5130" spans="1:8" x14ac:dyDescent="0.3">
      <c r="A5130">
        <v>202405</v>
      </c>
      <c r="B5130" s="1">
        <v>45413</v>
      </c>
      <c r="C5130">
        <v>2024</v>
      </c>
      <c r="D5130" t="s">
        <v>12</v>
      </c>
      <c r="E5130" t="s">
        <v>22</v>
      </c>
      <c r="F5130" t="s">
        <v>40</v>
      </c>
      <c r="G5130" t="s">
        <v>8</v>
      </c>
      <c r="H5130">
        <v>444.68</v>
      </c>
    </row>
    <row r="5131" spans="1:8" x14ac:dyDescent="0.3">
      <c r="A5131">
        <v>202406</v>
      </c>
      <c r="B5131" s="1">
        <v>45444</v>
      </c>
      <c r="C5131">
        <v>2024</v>
      </c>
      <c r="D5131" t="s">
        <v>13</v>
      </c>
      <c r="E5131" t="s">
        <v>22</v>
      </c>
      <c r="F5131" t="s">
        <v>40</v>
      </c>
      <c r="G5131" t="s">
        <v>8</v>
      </c>
      <c r="H5131">
        <v>513.14</v>
      </c>
    </row>
    <row r="5132" spans="1:8" x14ac:dyDescent="0.3">
      <c r="A5132">
        <v>202407</v>
      </c>
      <c r="B5132" s="1">
        <v>45474</v>
      </c>
      <c r="C5132">
        <v>2024</v>
      </c>
      <c r="D5132" t="s">
        <v>14</v>
      </c>
      <c r="E5132" t="s">
        <v>22</v>
      </c>
      <c r="F5132" t="s">
        <v>40</v>
      </c>
      <c r="G5132" t="s">
        <v>8</v>
      </c>
      <c r="H5132">
        <v>677.56</v>
      </c>
    </row>
    <row r="5133" spans="1:8" x14ac:dyDescent="0.3">
      <c r="A5133">
        <v>202408</v>
      </c>
      <c r="B5133" s="1">
        <v>45505</v>
      </c>
      <c r="C5133">
        <v>2024</v>
      </c>
      <c r="D5133" t="s">
        <v>15</v>
      </c>
      <c r="E5133" t="s">
        <v>22</v>
      </c>
      <c r="F5133" t="s">
        <v>40</v>
      </c>
      <c r="G5133" t="s">
        <v>8</v>
      </c>
      <c r="H5133">
        <v>651.55999999999995</v>
      </c>
    </row>
    <row r="5134" spans="1:8" x14ac:dyDescent="0.3">
      <c r="A5134">
        <v>202409</v>
      </c>
      <c r="B5134" s="1">
        <v>45536</v>
      </c>
      <c r="C5134">
        <v>2024</v>
      </c>
      <c r="D5134" t="s">
        <v>16</v>
      </c>
      <c r="E5134" t="s">
        <v>22</v>
      </c>
      <c r="F5134" t="s">
        <v>40</v>
      </c>
      <c r="G5134" t="s">
        <v>8</v>
      </c>
      <c r="H5134">
        <v>510.88</v>
      </c>
    </row>
    <row r="5135" spans="1:8" x14ac:dyDescent="0.3">
      <c r="A5135">
        <v>202410</v>
      </c>
      <c r="B5135" s="1">
        <v>45566</v>
      </c>
      <c r="C5135">
        <v>2024</v>
      </c>
      <c r="D5135" t="s">
        <v>17</v>
      </c>
      <c r="E5135" t="s">
        <v>22</v>
      </c>
      <c r="F5135" t="s">
        <v>40</v>
      </c>
      <c r="G5135" t="s">
        <v>8</v>
      </c>
      <c r="H5135">
        <v>772.1</v>
      </c>
    </row>
    <row r="5136" spans="1:8" x14ac:dyDescent="0.3">
      <c r="A5136">
        <v>202411</v>
      </c>
      <c r="B5136" s="1">
        <v>45597</v>
      </c>
      <c r="C5136">
        <v>2024</v>
      </c>
      <c r="D5136" t="s">
        <v>18</v>
      </c>
      <c r="E5136" t="s">
        <v>22</v>
      </c>
      <c r="F5136" t="s">
        <v>40</v>
      </c>
      <c r="G5136" t="s">
        <v>8</v>
      </c>
      <c r="H5136">
        <v>656.95</v>
      </c>
    </row>
    <row r="5137" spans="1:8" x14ac:dyDescent="0.3">
      <c r="A5137">
        <v>202412</v>
      </c>
      <c r="B5137" s="1">
        <v>45627</v>
      </c>
      <c r="C5137">
        <v>2024</v>
      </c>
      <c r="D5137" t="s">
        <v>19</v>
      </c>
      <c r="E5137" t="s">
        <v>22</v>
      </c>
      <c r="F5137" t="s">
        <v>40</v>
      </c>
      <c r="G5137" t="s">
        <v>8</v>
      </c>
      <c r="H5137">
        <v>547.77</v>
      </c>
    </row>
    <row r="5138" spans="1:8" x14ac:dyDescent="0.3">
      <c r="A5138">
        <v>202401</v>
      </c>
      <c r="B5138" s="1">
        <v>45292</v>
      </c>
      <c r="C5138">
        <v>2024</v>
      </c>
      <c r="D5138" t="s">
        <v>6</v>
      </c>
      <c r="E5138" t="s">
        <v>22</v>
      </c>
      <c r="F5138" t="s">
        <v>40</v>
      </c>
      <c r="G5138" t="s">
        <v>8</v>
      </c>
      <c r="H5138">
        <v>155.97999999999999</v>
      </c>
    </row>
    <row r="5139" spans="1:8" x14ac:dyDescent="0.3">
      <c r="A5139">
        <v>202402</v>
      </c>
      <c r="B5139" s="1">
        <v>45323</v>
      </c>
      <c r="C5139">
        <v>2024</v>
      </c>
      <c r="D5139" t="s">
        <v>9</v>
      </c>
      <c r="E5139" t="s">
        <v>22</v>
      </c>
      <c r="F5139" t="s">
        <v>40</v>
      </c>
      <c r="G5139" t="s">
        <v>8</v>
      </c>
      <c r="H5139">
        <v>117.87</v>
      </c>
    </row>
    <row r="5140" spans="1:8" x14ac:dyDescent="0.3">
      <c r="A5140">
        <v>202403</v>
      </c>
      <c r="B5140" s="1">
        <v>45352</v>
      </c>
      <c r="C5140">
        <v>2024</v>
      </c>
      <c r="D5140" t="s">
        <v>10</v>
      </c>
      <c r="E5140" t="s">
        <v>22</v>
      </c>
      <c r="F5140" t="s">
        <v>40</v>
      </c>
      <c r="G5140" t="s">
        <v>8</v>
      </c>
      <c r="H5140">
        <v>124.76</v>
      </c>
    </row>
    <row r="5141" spans="1:8" x14ac:dyDescent="0.3">
      <c r="A5141">
        <v>202404</v>
      </c>
      <c r="B5141" s="1">
        <v>45383</v>
      </c>
      <c r="C5141">
        <v>2024</v>
      </c>
      <c r="D5141" t="s">
        <v>11</v>
      </c>
      <c r="E5141" t="s">
        <v>22</v>
      </c>
      <c r="F5141" t="s">
        <v>40</v>
      </c>
      <c r="G5141" t="s">
        <v>8</v>
      </c>
      <c r="H5141">
        <v>242.08</v>
      </c>
    </row>
    <row r="5142" spans="1:8" x14ac:dyDescent="0.3">
      <c r="A5142">
        <v>202405</v>
      </c>
      <c r="B5142" s="1">
        <v>45413</v>
      </c>
      <c r="C5142">
        <v>2024</v>
      </c>
      <c r="D5142" t="s">
        <v>12</v>
      </c>
      <c r="E5142" t="s">
        <v>22</v>
      </c>
      <c r="F5142" t="s">
        <v>40</v>
      </c>
      <c r="G5142" t="s">
        <v>8</v>
      </c>
      <c r="H5142">
        <v>180.52</v>
      </c>
    </row>
    <row r="5143" spans="1:8" x14ac:dyDescent="0.3">
      <c r="A5143">
        <v>202406</v>
      </c>
      <c r="B5143" s="1">
        <v>45444</v>
      </c>
      <c r="C5143">
        <v>2024</v>
      </c>
      <c r="D5143" t="s">
        <v>13</v>
      </c>
      <c r="E5143" t="s">
        <v>22</v>
      </c>
      <c r="F5143" t="s">
        <v>40</v>
      </c>
      <c r="G5143" t="s">
        <v>8</v>
      </c>
      <c r="H5143">
        <v>177.42</v>
      </c>
    </row>
    <row r="5144" spans="1:8" x14ac:dyDescent="0.3">
      <c r="A5144">
        <v>202407</v>
      </c>
      <c r="B5144" s="1">
        <v>45474</v>
      </c>
      <c r="C5144">
        <v>2024</v>
      </c>
      <c r="D5144" t="s">
        <v>14</v>
      </c>
      <c r="E5144" t="s">
        <v>22</v>
      </c>
      <c r="F5144" t="s">
        <v>40</v>
      </c>
      <c r="G5144" t="s">
        <v>8</v>
      </c>
      <c r="H5144">
        <v>146.41</v>
      </c>
    </row>
    <row r="5145" spans="1:8" x14ac:dyDescent="0.3">
      <c r="A5145">
        <v>202408</v>
      </c>
      <c r="B5145" s="1">
        <v>45505</v>
      </c>
      <c r="C5145">
        <v>2024</v>
      </c>
      <c r="D5145" t="s">
        <v>15</v>
      </c>
      <c r="E5145" t="s">
        <v>22</v>
      </c>
      <c r="F5145" t="s">
        <v>40</v>
      </c>
      <c r="G5145" t="s">
        <v>8</v>
      </c>
      <c r="H5145">
        <v>142.76</v>
      </c>
    </row>
    <row r="5146" spans="1:8" x14ac:dyDescent="0.3">
      <c r="A5146">
        <v>202409</v>
      </c>
      <c r="B5146" s="1">
        <v>45536</v>
      </c>
      <c r="C5146">
        <v>2024</v>
      </c>
      <c r="D5146" t="s">
        <v>16</v>
      </c>
      <c r="E5146" t="s">
        <v>22</v>
      </c>
      <c r="F5146" t="s">
        <v>40</v>
      </c>
      <c r="G5146" t="s">
        <v>8</v>
      </c>
      <c r="H5146">
        <v>156.53</v>
      </c>
    </row>
    <row r="5147" spans="1:8" x14ac:dyDescent="0.3">
      <c r="A5147">
        <v>202410</v>
      </c>
      <c r="B5147" s="1">
        <v>45566</v>
      </c>
      <c r="C5147">
        <v>2024</v>
      </c>
      <c r="D5147" t="s">
        <v>17</v>
      </c>
      <c r="E5147" t="s">
        <v>22</v>
      </c>
      <c r="F5147" t="s">
        <v>40</v>
      </c>
      <c r="G5147" t="s">
        <v>8</v>
      </c>
      <c r="H5147">
        <v>177.75</v>
      </c>
    </row>
    <row r="5148" spans="1:8" x14ac:dyDescent="0.3">
      <c r="A5148">
        <v>202411</v>
      </c>
      <c r="B5148" s="1">
        <v>45597</v>
      </c>
      <c r="C5148">
        <v>2024</v>
      </c>
      <c r="D5148" t="s">
        <v>18</v>
      </c>
      <c r="E5148" t="s">
        <v>22</v>
      </c>
      <c r="F5148" t="s">
        <v>40</v>
      </c>
      <c r="G5148" t="s">
        <v>8</v>
      </c>
      <c r="H5148">
        <v>172.1</v>
      </c>
    </row>
    <row r="5149" spans="1:8" x14ac:dyDescent="0.3">
      <c r="A5149">
        <v>202412</v>
      </c>
      <c r="B5149" s="1">
        <v>45627</v>
      </c>
      <c r="C5149">
        <v>2024</v>
      </c>
      <c r="D5149" t="s">
        <v>19</v>
      </c>
      <c r="E5149" t="s">
        <v>22</v>
      </c>
      <c r="F5149" t="s">
        <v>40</v>
      </c>
      <c r="G5149" t="s">
        <v>8</v>
      </c>
      <c r="H5149">
        <v>158.61000000000001</v>
      </c>
    </row>
    <row r="5150" spans="1:8" x14ac:dyDescent="0.3">
      <c r="A5150">
        <v>202401</v>
      </c>
      <c r="B5150" s="1">
        <v>45292</v>
      </c>
      <c r="C5150">
        <v>2024</v>
      </c>
      <c r="D5150" t="s">
        <v>6</v>
      </c>
      <c r="E5150" t="s">
        <v>22</v>
      </c>
      <c r="F5150" t="s">
        <v>40</v>
      </c>
      <c r="G5150" t="s">
        <v>8</v>
      </c>
      <c r="H5150">
        <v>80.790000000000006</v>
      </c>
    </row>
    <row r="5151" spans="1:8" x14ac:dyDescent="0.3">
      <c r="A5151">
        <v>202402</v>
      </c>
      <c r="B5151" s="1">
        <v>45323</v>
      </c>
      <c r="C5151">
        <v>2024</v>
      </c>
      <c r="D5151" t="s">
        <v>9</v>
      </c>
      <c r="E5151" t="s">
        <v>22</v>
      </c>
      <c r="F5151" t="s">
        <v>40</v>
      </c>
      <c r="G5151" t="s">
        <v>8</v>
      </c>
      <c r="H5151">
        <v>33.76</v>
      </c>
    </row>
    <row r="5152" spans="1:8" x14ac:dyDescent="0.3">
      <c r="A5152">
        <v>202403</v>
      </c>
      <c r="B5152" s="1">
        <v>45352</v>
      </c>
      <c r="C5152">
        <v>2024</v>
      </c>
      <c r="D5152" t="s">
        <v>10</v>
      </c>
      <c r="E5152" t="s">
        <v>22</v>
      </c>
      <c r="F5152" t="s">
        <v>40</v>
      </c>
      <c r="G5152" t="s">
        <v>8</v>
      </c>
      <c r="H5152">
        <v>31.98</v>
      </c>
    </row>
    <row r="5153" spans="1:8" x14ac:dyDescent="0.3">
      <c r="A5153">
        <v>202404</v>
      </c>
      <c r="B5153" s="1">
        <v>45383</v>
      </c>
      <c r="C5153">
        <v>2024</v>
      </c>
      <c r="D5153" t="s">
        <v>11</v>
      </c>
      <c r="E5153" t="s">
        <v>22</v>
      </c>
      <c r="F5153" t="s">
        <v>40</v>
      </c>
      <c r="G5153" t="s">
        <v>8</v>
      </c>
      <c r="H5153">
        <v>60.3</v>
      </c>
    </row>
    <row r="5154" spans="1:8" x14ac:dyDescent="0.3">
      <c r="A5154">
        <v>202405</v>
      </c>
      <c r="B5154" s="1">
        <v>45413</v>
      </c>
      <c r="C5154">
        <v>2024</v>
      </c>
      <c r="D5154" t="s">
        <v>12</v>
      </c>
      <c r="E5154" t="s">
        <v>22</v>
      </c>
      <c r="F5154" t="s">
        <v>40</v>
      </c>
      <c r="G5154" t="s">
        <v>8</v>
      </c>
      <c r="H5154">
        <v>45.55</v>
      </c>
    </row>
    <row r="5155" spans="1:8" x14ac:dyDescent="0.3">
      <c r="A5155">
        <v>202406</v>
      </c>
      <c r="B5155" s="1">
        <v>45444</v>
      </c>
      <c r="C5155">
        <v>2024</v>
      </c>
      <c r="D5155" t="s">
        <v>13</v>
      </c>
      <c r="E5155" t="s">
        <v>22</v>
      </c>
      <c r="F5155" t="s">
        <v>40</v>
      </c>
      <c r="G5155" t="s">
        <v>8</v>
      </c>
      <c r="H5155">
        <v>44.9</v>
      </c>
    </row>
    <row r="5156" spans="1:8" x14ac:dyDescent="0.3">
      <c r="A5156">
        <v>202407</v>
      </c>
      <c r="B5156" s="1">
        <v>45474</v>
      </c>
      <c r="C5156">
        <v>2024</v>
      </c>
      <c r="D5156" t="s">
        <v>14</v>
      </c>
      <c r="E5156" t="s">
        <v>22</v>
      </c>
      <c r="F5156" t="s">
        <v>40</v>
      </c>
      <c r="G5156" t="s">
        <v>8</v>
      </c>
      <c r="H5156">
        <v>57.9</v>
      </c>
    </row>
    <row r="5157" spans="1:8" x14ac:dyDescent="0.3">
      <c r="A5157">
        <v>202408</v>
      </c>
      <c r="B5157" s="1">
        <v>45505</v>
      </c>
      <c r="C5157">
        <v>2024</v>
      </c>
      <c r="D5157" t="s">
        <v>15</v>
      </c>
      <c r="E5157" t="s">
        <v>22</v>
      </c>
      <c r="F5157" t="s">
        <v>40</v>
      </c>
      <c r="G5157" t="s">
        <v>8</v>
      </c>
      <c r="H5157">
        <v>57.84</v>
      </c>
    </row>
    <row r="5158" spans="1:8" x14ac:dyDescent="0.3">
      <c r="A5158">
        <v>202409</v>
      </c>
      <c r="B5158" s="1">
        <v>45536</v>
      </c>
      <c r="C5158">
        <v>2024</v>
      </c>
      <c r="D5158" t="s">
        <v>16</v>
      </c>
      <c r="E5158" t="s">
        <v>22</v>
      </c>
      <c r="F5158" t="s">
        <v>40</v>
      </c>
      <c r="G5158" t="s">
        <v>8</v>
      </c>
      <c r="H5158">
        <v>36.43</v>
      </c>
    </row>
    <row r="5159" spans="1:8" x14ac:dyDescent="0.3">
      <c r="A5159">
        <v>202410</v>
      </c>
      <c r="B5159" s="1">
        <v>45566</v>
      </c>
      <c r="C5159">
        <v>2024</v>
      </c>
      <c r="D5159" t="s">
        <v>17</v>
      </c>
      <c r="E5159" t="s">
        <v>22</v>
      </c>
      <c r="F5159" t="s">
        <v>40</v>
      </c>
      <c r="G5159" t="s">
        <v>8</v>
      </c>
      <c r="H5159">
        <v>85.69</v>
      </c>
    </row>
    <row r="5160" spans="1:8" x14ac:dyDescent="0.3">
      <c r="A5160">
        <v>202411</v>
      </c>
      <c r="B5160" s="1">
        <v>45597</v>
      </c>
      <c r="C5160">
        <v>2024</v>
      </c>
      <c r="D5160" t="s">
        <v>18</v>
      </c>
      <c r="E5160" t="s">
        <v>22</v>
      </c>
      <c r="F5160" t="s">
        <v>40</v>
      </c>
      <c r="G5160" t="s">
        <v>8</v>
      </c>
      <c r="H5160">
        <v>51.19</v>
      </c>
    </row>
    <row r="5161" spans="1:8" x14ac:dyDescent="0.3">
      <c r="A5161">
        <v>202412</v>
      </c>
      <c r="B5161" s="1">
        <v>45627</v>
      </c>
      <c r="C5161">
        <v>2024</v>
      </c>
      <c r="D5161" t="s">
        <v>19</v>
      </c>
      <c r="E5161" t="s">
        <v>22</v>
      </c>
      <c r="F5161" t="s">
        <v>40</v>
      </c>
      <c r="G5161" t="s">
        <v>8</v>
      </c>
      <c r="H5161">
        <v>55.45</v>
      </c>
    </row>
    <row r="5162" spans="1:8" x14ac:dyDescent="0.3">
      <c r="A5162">
        <v>202401</v>
      </c>
      <c r="B5162" s="1">
        <v>45292</v>
      </c>
      <c r="C5162">
        <v>2024</v>
      </c>
      <c r="D5162" t="s">
        <v>6</v>
      </c>
      <c r="E5162" t="s">
        <v>23</v>
      </c>
      <c r="F5162" t="s">
        <v>40</v>
      </c>
      <c r="G5162" t="s">
        <v>8</v>
      </c>
      <c r="H5162">
        <v>70.13</v>
      </c>
    </row>
    <row r="5163" spans="1:8" x14ac:dyDescent="0.3">
      <c r="A5163">
        <v>202402</v>
      </c>
      <c r="B5163" s="1">
        <v>45323</v>
      </c>
      <c r="C5163">
        <v>2024</v>
      </c>
      <c r="D5163" t="s">
        <v>9</v>
      </c>
      <c r="E5163" t="s">
        <v>23</v>
      </c>
      <c r="F5163" t="s">
        <v>40</v>
      </c>
      <c r="G5163" t="s">
        <v>8</v>
      </c>
      <c r="H5163">
        <v>35.22</v>
      </c>
    </row>
    <row r="5164" spans="1:8" x14ac:dyDescent="0.3">
      <c r="A5164">
        <v>202403</v>
      </c>
      <c r="B5164" s="1">
        <v>45352</v>
      </c>
      <c r="C5164">
        <v>2024</v>
      </c>
      <c r="D5164" t="s">
        <v>10</v>
      </c>
      <c r="E5164" t="s">
        <v>23</v>
      </c>
      <c r="F5164" t="s">
        <v>40</v>
      </c>
      <c r="G5164" t="s">
        <v>8</v>
      </c>
      <c r="H5164">
        <v>49.46</v>
      </c>
    </row>
    <row r="5165" spans="1:8" x14ac:dyDescent="0.3">
      <c r="A5165">
        <v>202404</v>
      </c>
      <c r="B5165" s="1">
        <v>45383</v>
      </c>
      <c r="C5165">
        <v>2024</v>
      </c>
      <c r="D5165" t="s">
        <v>11</v>
      </c>
      <c r="E5165" t="s">
        <v>23</v>
      </c>
      <c r="F5165" t="s">
        <v>40</v>
      </c>
      <c r="G5165" t="s">
        <v>8</v>
      </c>
      <c r="H5165">
        <v>75.23</v>
      </c>
    </row>
    <row r="5166" spans="1:8" x14ac:dyDescent="0.3">
      <c r="A5166">
        <v>202405</v>
      </c>
      <c r="B5166" s="1">
        <v>45413</v>
      </c>
      <c r="C5166">
        <v>2024</v>
      </c>
      <c r="D5166" t="s">
        <v>12</v>
      </c>
      <c r="E5166" t="s">
        <v>23</v>
      </c>
      <c r="F5166" t="s">
        <v>40</v>
      </c>
      <c r="G5166" t="s">
        <v>8</v>
      </c>
      <c r="H5166">
        <v>50.33</v>
      </c>
    </row>
    <row r="5167" spans="1:8" x14ac:dyDescent="0.3">
      <c r="A5167">
        <v>202406</v>
      </c>
      <c r="B5167" s="1">
        <v>45444</v>
      </c>
      <c r="C5167">
        <v>2024</v>
      </c>
      <c r="D5167" t="s">
        <v>13</v>
      </c>
      <c r="E5167" t="s">
        <v>23</v>
      </c>
      <c r="F5167" t="s">
        <v>40</v>
      </c>
      <c r="G5167" t="s">
        <v>8</v>
      </c>
      <c r="H5167">
        <v>64.12</v>
      </c>
    </row>
    <row r="5168" spans="1:8" x14ac:dyDescent="0.3">
      <c r="A5168">
        <v>202407</v>
      </c>
      <c r="B5168" s="1">
        <v>45474</v>
      </c>
      <c r="C5168">
        <v>2024</v>
      </c>
      <c r="D5168" t="s">
        <v>14</v>
      </c>
      <c r="E5168" t="s">
        <v>23</v>
      </c>
      <c r="F5168" t="s">
        <v>40</v>
      </c>
      <c r="G5168" t="s">
        <v>8</v>
      </c>
      <c r="H5168">
        <v>104.26</v>
      </c>
    </row>
    <row r="5169" spans="1:8" x14ac:dyDescent="0.3">
      <c r="A5169">
        <v>202408</v>
      </c>
      <c r="B5169" s="1">
        <v>45505</v>
      </c>
      <c r="C5169">
        <v>2024</v>
      </c>
      <c r="D5169" t="s">
        <v>15</v>
      </c>
      <c r="E5169" t="s">
        <v>23</v>
      </c>
      <c r="F5169" t="s">
        <v>40</v>
      </c>
      <c r="G5169" t="s">
        <v>8</v>
      </c>
      <c r="H5169">
        <v>65.260000000000005</v>
      </c>
    </row>
    <row r="5170" spans="1:8" x14ac:dyDescent="0.3">
      <c r="A5170">
        <v>202409</v>
      </c>
      <c r="B5170" s="1">
        <v>45536</v>
      </c>
      <c r="C5170">
        <v>2024</v>
      </c>
      <c r="D5170" t="s">
        <v>16</v>
      </c>
      <c r="E5170" t="s">
        <v>23</v>
      </c>
      <c r="F5170" t="s">
        <v>40</v>
      </c>
      <c r="G5170" t="s">
        <v>8</v>
      </c>
      <c r="H5170">
        <v>78.7</v>
      </c>
    </row>
    <row r="5171" spans="1:8" x14ac:dyDescent="0.3">
      <c r="A5171">
        <v>202410</v>
      </c>
      <c r="B5171" s="1">
        <v>45566</v>
      </c>
      <c r="C5171">
        <v>2024</v>
      </c>
      <c r="D5171" t="s">
        <v>17</v>
      </c>
      <c r="E5171" t="s">
        <v>23</v>
      </c>
      <c r="F5171" t="s">
        <v>40</v>
      </c>
      <c r="G5171" t="s">
        <v>8</v>
      </c>
      <c r="H5171">
        <v>97.39</v>
      </c>
    </row>
    <row r="5172" spans="1:8" x14ac:dyDescent="0.3">
      <c r="A5172">
        <v>202411</v>
      </c>
      <c r="B5172" s="1">
        <v>45597</v>
      </c>
      <c r="C5172">
        <v>2024</v>
      </c>
      <c r="D5172" t="s">
        <v>18</v>
      </c>
      <c r="E5172" t="s">
        <v>23</v>
      </c>
      <c r="F5172" t="s">
        <v>40</v>
      </c>
      <c r="G5172" t="s">
        <v>8</v>
      </c>
      <c r="H5172">
        <v>68.56</v>
      </c>
    </row>
    <row r="5173" spans="1:8" x14ac:dyDescent="0.3">
      <c r="A5173">
        <v>202412</v>
      </c>
      <c r="B5173" s="1">
        <v>45627</v>
      </c>
      <c r="C5173">
        <v>2024</v>
      </c>
      <c r="D5173" t="s">
        <v>19</v>
      </c>
      <c r="E5173" t="s">
        <v>23</v>
      </c>
      <c r="F5173" t="s">
        <v>40</v>
      </c>
      <c r="G5173" t="s">
        <v>8</v>
      </c>
      <c r="H5173">
        <v>70.09</v>
      </c>
    </row>
    <row r="5174" spans="1:8" x14ac:dyDescent="0.3">
      <c r="A5174">
        <v>202401</v>
      </c>
      <c r="B5174" s="1">
        <v>45292</v>
      </c>
      <c r="C5174">
        <v>2024</v>
      </c>
      <c r="D5174" t="s">
        <v>6</v>
      </c>
      <c r="E5174" t="s">
        <v>23</v>
      </c>
      <c r="F5174" t="s">
        <v>40</v>
      </c>
      <c r="G5174" t="s">
        <v>8</v>
      </c>
      <c r="H5174">
        <v>746.33</v>
      </c>
    </row>
    <row r="5175" spans="1:8" x14ac:dyDescent="0.3">
      <c r="A5175">
        <v>202402</v>
      </c>
      <c r="B5175" s="1">
        <v>45323</v>
      </c>
      <c r="C5175">
        <v>2024</v>
      </c>
      <c r="D5175" t="s">
        <v>9</v>
      </c>
      <c r="E5175" t="s">
        <v>23</v>
      </c>
      <c r="F5175" t="s">
        <v>40</v>
      </c>
      <c r="G5175" t="s">
        <v>8</v>
      </c>
      <c r="H5175">
        <v>282.04000000000002</v>
      </c>
    </row>
    <row r="5176" spans="1:8" x14ac:dyDescent="0.3">
      <c r="A5176">
        <v>202403</v>
      </c>
      <c r="B5176" s="1">
        <v>45352</v>
      </c>
      <c r="C5176">
        <v>2024</v>
      </c>
      <c r="D5176" t="s">
        <v>10</v>
      </c>
      <c r="E5176" t="s">
        <v>23</v>
      </c>
      <c r="F5176" t="s">
        <v>40</v>
      </c>
      <c r="G5176" t="s">
        <v>8</v>
      </c>
      <c r="H5176">
        <v>393.25</v>
      </c>
    </row>
    <row r="5177" spans="1:8" x14ac:dyDescent="0.3">
      <c r="A5177">
        <v>202404</v>
      </c>
      <c r="B5177" s="1">
        <v>45383</v>
      </c>
      <c r="C5177">
        <v>2024</v>
      </c>
      <c r="D5177" t="s">
        <v>11</v>
      </c>
      <c r="E5177" t="s">
        <v>23</v>
      </c>
      <c r="F5177" t="s">
        <v>40</v>
      </c>
      <c r="G5177" t="s">
        <v>8</v>
      </c>
      <c r="H5177">
        <v>603.80999999999995</v>
      </c>
    </row>
    <row r="5178" spans="1:8" x14ac:dyDescent="0.3">
      <c r="A5178">
        <v>202405</v>
      </c>
      <c r="B5178" s="1">
        <v>45413</v>
      </c>
      <c r="C5178">
        <v>2024</v>
      </c>
      <c r="D5178" t="s">
        <v>12</v>
      </c>
      <c r="E5178" t="s">
        <v>23</v>
      </c>
      <c r="F5178" t="s">
        <v>40</v>
      </c>
      <c r="G5178" t="s">
        <v>8</v>
      </c>
      <c r="H5178">
        <v>397.23</v>
      </c>
    </row>
    <row r="5179" spans="1:8" x14ac:dyDescent="0.3">
      <c r="A5179">
        <v>202406</v>
      </c>
      <c r="B5179" s="1">
        <v>45444</v>
      </c>
      <c r="C5179">
        <v>2024</v>
      </c>
      <c r="D5179" t="s">
        <v>13</v>
      </c>
      <c r="E5179" t="s">
        <v>23</v>
      </c>
      <c r="F5179" t="s">
        <v>40</v>
      </c>
      <c r="G5179" t="s">
        <v>8</v>
      </c>
      <c r="H5179">
        <v>414.05</v>
      </c>
    </row>
    <row r="5180" spans="1:8" x14ac:dyDescent="0.3">
      <c r="A5180">
        <v>202407</v>
      </c>
      <c r="B5180" s="1">
        <v>45474</v>
      </c>
      <c r="C5180">
        <v>2024</v>
      </c>
      <c r="D5180" t="s">
        <v>14</v>
      </c>
      <c r="E5180" t="s">
        <v>23</v>
      </c>
      <c r="F5180" t="s">
        <v>40</v>
      </c>
      <c r="G5180" t="s">
        <v>8</v>
      </c>
      <c r="H5180">
        <v>615.65</v>
      </c>
    </row>
    <row r="5181" spans="1:8" x14ac:dyDescent="0.3">
      <c r="A5181">
        <v>202408</v>
      </c>
      <c r="B5181" s="1">
        <v>45505</v>
      </c>
      <c r="C5181">
        <v>2024</v>
      </c>
      <c r="D5181" t="s">
        <v>15</v>
      </c>
      <c r="E5181" t="s">
        <v>23</v>
      </c>
      <c r="F5181" t="s">
        <v>40</v>
      </c>
      <c r="G5181" t="s">
        <v>8</v>
      </c>
      <c r="H5181">
        <v>441.31</v>
      </c>
    </row>
    <row r="5182" spans="1:8" x14ac:dyDescent="0.3">
      <c r="A5182">
        <v>202409</v>
      </c>
      <c r="B5182" s="1">
        <v>45536</v>
      </c>
      <c r="C5182">
        <v>2024</v>
      </c>
      <c r="D5182" t="s">
        <v>16</v>
      </c>
      <c r="E5182" t="s">
        <v>23</v>
      </c>
      <c r="F5182" t="s">
        <v>40</v>
      </c>
      <c r="G5182" t="s">
        <v>8</v>
      </c>
      <c r="H5182">
        <v>336.22</v>
      </c>
    </row>
    <row r="5183" spans="1:8" x14ac:dyDescent="0.3">
      <c r="A5183">
        <v>202410</v>
      </c>
      <c r="B5183" s="1">
        <v>45566</v>
      </c>
      <c r="C5183">
        <v>2024</v>
      </c>
      <c r="D5183" t="s">
        <v>17</v>
      </c>
      <c r="E5183" t="s">
        <v>23</v>
      </c>
      <c r="F5183" t="s">
        <v>40</v>
      </c>
      <c r="G5183" t="s">
        <v>8</v>
      </c>
      <c r="H5183">
        <v>526.99</v>
      </c>
    </row>
    <row r="5184" spans="1:8" x14ac:dyDescent="0.3">
      <c r="A5184">
        <v>202411</v>
      </c>
      <c r="B5184" s="1">
        <v>45597</v>
      </c>
      <c r="C5184">
        <v>2024</v>
      </c>
      <c r="D5184" t="s">
        <v>18</v>
      </c>
      <c r="E5184" t="s">
        <v>23</v>
      </c>
      <c r="F5184" t="s">
        <v>40</v>
      </c>
      <c r="G5184" t="s">
        <v>8</v>
      </c>
      <c r="H5184">
        <v>446.29</v>
      </c>
    </row>
    <row r="5185" spans="1:8" x14ac:dyDescent="0.3">
      <c r="A5185">
        <v>202412</v>
      </c>
      <c r="B5185" s="1">
        <v>45627</v>
      </c>
      <c r="C5185">
        <v>2024</v>
      </c>
      <c r="D5185" t="s">
        <v>19</v>
      </c>
      <c r="E5185" t="s">
        <v>23</v>
      </c>
      <c r="F5185" t="s">
        <v>40</v>
      </c>
      <c r="G5185" t="s">
        <v>8</v>
      </c>
      <c r="H5185">
        <v>542.37</v>
      </c>
    </row>
    <row r="5186" spans="1:8" x14ac:dyDescent="0.3">
      <c r="A5186">
        <v>202401</v>
      </c>
      <c r="B5186" s="1">
        <v>45292</v>
      </c>
      <c r="C5186">
        <v>2024</v>
      </c>
      <c r="D5186" t="s">
        <v>6</v>
      </c>
      <c r="E5186" t="s">
        <v>23</v>
      </c>
      <c r="F5186" t="s">
        <v>40</v>
      </c>
      <c r="G5186" t="s">
        <v>8</v>
      </c>
      <c r="H5186">
        <v>2018.88</v>
      </c>
    </row>
    <row r="5187" spans="1:8" x14ac:dyDescent="0.3">
      <c r="A5187">
        <v>202402</v>
      </c>
      <c r="B5187" s="1">
        <v>45323</v>
      </c>
      <c r="C5187">
        <v>2024</v>
      </c>
      <c r="D5187" t="s">
        <v>9</v>
      </c>
      <c r="E5187" t="s">
        <v>23</v>
      </c>
      <c r="F5187" t="s">
        <v>40</v>
      </c>
      <c r="G5187" t="s">
        <v>8</v>
      </c>
      <c r="H5187">
        <v>1010.89</v>
      </c>
    </row>
    <row r="5188" spans="1:8" x14ac:dyDescent="0.3">
      <c r="A5188">
        <v>202403</v>
      </c>
      <c r="B5188" s="1">
        <v>45352</v>
      </c>
      <c r="C5188">
        <v>2024</v>
      </c>
      <c r="D5188" t="s">
        <v>10</v>
      </c>
      <c r="E5188" t="s">
        <v>23</v>
      </c>
      <c r="F5188" t="s">
        <v>40</v>
      </c>
      <c r="G5188" t="s">
        <v>8</v>
      </c>
      <c r="H5188">
        <v>1203.1500000000001</v>
      </c>
    </row>
    <row r="5189" spans="1:8" x14ac:dyDescent="0.3">
      <c r="A5189">
        <v>202404</v>
      </c>
      <c r="B5189" s="1">
        <v>45383</v>
      </c>
      <c r="C5189">
        <v>2024</v>
      </c>
      <c r="D5189" t="s">
        <v>11</v>
      </c>
      <c r="E5189" t="s">
        <v>23</v>
      </c>
      <c r="F5189" t="s">
        <v>40</v>
      </c>
      <c r="G5189" t="s">
        <v>8</v>
      </c>
      <c r="H5189">
        <v>2878.77</v>
      </c>
    </row>
    <row r="5190" spans="1:8" x14ac:dyDescent="0.3">
      <c r="A5190">
        <v>202405</v>
      </c>
      <c r="B5190" s="1">
        <v>45413</v>
      </c>
      <c r="C5190">
        <v>2024</v>
      </c>
      <c r="D5190" t="s">
        <v>12</v>
      </c>
      <c r="E5190" t="s">
        <v>23</v>
      </c>
      <c r="F5190" t="s">
        <v>40</v>
      </c>
      <c r="G5190" t="s">
        <v>8</v>
      </c>
      <c r="H5190">
        <v>1505.29</v>
      </c>
    </row>
    <row r="5191" spans="1:8" x14ac:dyDescent="0.3">
      <c r="A5191">
        <v>202406</v>
      </c>
      <c r="B5191" s="1">
        <v>45444</v>
      </c>
      <c r="C5191">
        <v>2024</v>
      </c>
      <c r="D5191" t="s">
        <v>13</v>
      </c>
      <c r="E5191" t="s">
        <v>23</v>
      </c>
      <c r="F5191" t="s">
        <v>40</v>
      </c>
      <c r="G5191" t="s">
        <v>8</v>
      </c>
      <c r="H5191">
        <v>1284.6300000000001</v>
      </c>
    </row>
    <row r="5192" spans="1:8" x14ac:dyDescent="0.3">
      <c r="A5192">
        <v>202407</v>
      </c>
      <c r="B5192" s="1">
        <v>45474</v>
      </c>
      <c r="C5192">
        <v>2024</v>
      </c>
      <c r="D5192" t="s">
        <v>14</v>
      </c>
      <c r="E5192" t="s">
        <v>23</v>
      </c>
      <c r="F5192" t="s">
        <v>40</v>
      </c>
      <c r="G5192" t="s">
        <v>8</v>
      </c>
      <c r="H5192">
        <v>2235.0500000000002</v>
      </c>
    </row>
    <row r="5193" spans="1:8" x14ac:dyDescent="0.3">
      <c r="A5193">
        <v>202408</v>
      </c>
      <c r="B5193" s="1">
        <v>45505</v>
      </c>
      <c r="C5193">
        <v>2024</v>
      </c>
      <c r="D5193" t="s">
        <v>15</v>
      </c>
      <c r="E5193" t="s">
        <v>23</v>
      </c>
      <c r="F5193" t="s">
        <v>40</v>
      </c>
      <c r="G5193" t="s">
        <v>8</v>
      </c>
      <c r="H5193">
        <v>1446.77</v>
      </c>
    </row>
    <row r="5194" spans="1:8" x14ac:dyDescent="0.3">
      <c r="A5194">
        <v>202409</v>
      </c>
      <c r="B5194" s="1">
        <v>45536</v>
      </c>
      <c r="C5194">
        <v>2024</v>
      </c>
      <c r="D5194" t="s">
        <v>16</v>
      </c>
      <c r="E5194" t="s">
        <v>23</v>
      </c>
      <c r="F5194" t="s">
        <v>40</v>
      </c>
      <c r="G5194" t="s">
        <v>8</v>
      </c>
      <c r="H5194">
        <v>1385.46</v>
      </c>
    </row>
    <row r="5195" spans="1:8" x14ac:dyDescent="0.3">
      <c r="A5195">
        <v>202410</v>
      </c>
      <c r="B5195" s="1">
        <v>45566</v>
      </c>
      <c r="C5195">
        <v>2024</v>
      </c>
      <c r="D5195" t="s">
        <v>17</v>
      </c>
      <c r="E5195" t="s">
        <v>23</v>
      </c>
      <c r="F5195" t="s">
        <v>40</v>
      </c>
      <c r="G5195" t="s">
        <v>8</v>
      </c>
      <c r="H5195">
        <v>2360.4299999999998</v>
      </c>
    </row>
    <row r="5196" spans="1:8" x14ac:dyDescent="0.3">
      <c r="A5196">
        <v>202411</v>
      </c>
      <c r="B5196" s="1">
        <v>45597</v>
      </c>
      <c r="C5196">
        <v>2024</v>
      </c>
      <c r="D5196" t="s">
        <v>18</v>
      </c>
      <c r="E5196" t="s">
        <v>23</v>
      </c>
      <c r="F5196" t="s">
        <v>40</v>
      </c>
      <c r="G5196" t="s">
        <v>8</v>
      </c>
      <c r="H5196">
        <v>1671.3</v>
      </c>
    </row>
    <row r="5197" spans="1:8" x14ac:dyDescent="0.3">
      <c r="A5197">
        <v>202412</v>
      </c>
      <c r="B5197" s="1">
        <v>45627</v>
      </c>
      <c r="C5197">
        <v>2024</v>
      </c>
      <c r="D5197" t="s">
        <v>19</v>
      </c>
      <c r="E5197" t="s">
        <v>23</v>
      </c>
      <c r="F5197" t="s">
        <v>40</v>
      </c>
      <c r="G5197" t="s">
        <v>8</v>
      </c>
      <c r="H5197">
        <v>1500.43</v>
      </c>
    </row>
    <row r="5198" spans="1:8" x14ac:dyDescent="0.3">
      <c r="A5198">
        <v>202401</v>
      </c>
      <c r="B5198" s="1">
        <v>45292</v>
      </c>
      <c r="C5198">
        <v>2024</v>
      </c>
      <c r="D5198" t="s">
        <v>6</v>
      </c>
      <c r="E5198" t="s">
        <v>23</v>
      </c>
      <c r="F5198" t="s">
        <v>40</v>
      </c>
      <c r="G5198" t="s">
        <v>8</v>
      </c>
      <c r="H5198">
        <v>800.98</v>
      </c>
    </row>
    <row r="5199" spans="1:8" x14ac:dyDescent="0.3">
      <c r="A5199">
        <v>202402</v>
      </c>
      <c r="B5199" s="1">
        <v>45323</v>
      </c>
      <c r="C5199">
        <v>2024</v>
      </c>
      <c r="D5199" t="s">
        <v>9</v>
      </c>
      <c r="E5199" t="s">
        <v>23</v>
      </c>
      <c r="F5199" t="s">
        <v>40</v>
      </c>
      <c r="G5199" t="s">
        <v>8</v>
      </c>
      <c r="H5199">
        <v>861.76</v>
      </c>
    </row>
    <row r="5200" spans="1:8" x14ac:dyDescent="0.3">
      <c r="A5200">
        <v>202403</v>
      </c>
      <c r="B5200" s="1">
        <v>45352</v>
      </c>
      <c r="C5200">
        <v>2024</v>
      </c>
      <c r="D5200" t="s">
        <v>10</v>
      </c>
      <c r="E5200" t="s">
        <v>23</v>
      </c>
      <c r="F5200" t="s">
        <v>40</v>
      </c>
      <c r="G5200" t="s">
        <v>8</v>
      </c>
      <c r="H5200">
        <v>527.41</v>
      </c>
    </row>
    <row r="5201" spans="1:8" x14ac:dyDescent="0.3">
      <c r="A5201">
        <v>202404</v>
      </c>
      <c r="B5201" s="1">
        <v>45383</v>
      </c>
      <c r="C5201">
        <v>2024</v>
      </c>
      <c r="D5201" t="s">
        <v>11</v>
      </c>
      <c r="E5201" t="s">
        <v>23</v>
      </c>
      <c r="F5201" t="s">
        <v>40</v>
      </c>
      <c r="G5201" t="s">
        <v>8</v>
      </c>
      <c r="H5201">
        <v>1036.46</v>
      </c>
    </row>
    <row r="5202" spans="1:8" x14ac:dyDescent="0.3">
      <c r="A5202">
        <v>202405</v>
      </c>
      <c r="B5202" s="1">
        <v>45413</v>
      </c>
      <c r="C5202">
        <v>2024</v>
      </c>
      <c r="D5202" t="s">
        <v>12</v>
      </c>
      <c r="E5202" t="s">
        <v>23</v>
      </c>
      <c r="F5202" t="s">
        <v>40</v>
      </c>
      <c r="G5202" t="s">
        <v>8</v>
      </c>
      <c r="H5202">
        <v>643.13</v>
      </c>
    </row>
    <row r="5203" spans="1:8" x14ac:dyDescent="0.3">
      <c r="A5203">
        <v>202406</v>
      </c>
      <c r="B5203" s="1">
        <v>45444</v>
      </c>
      <c r="C5203">
        <v>2024</v>
      </c>
      <c r="D5203" t="s">
        <v>13</v>
      </c>
      <c r="E5203" t="s">
        <v>23</v>
      </c>
      <c r="F5203" t="s">
        <v>40</v>
      </c>
      <c r="G5203" t="s">
        <v>8</v>
      </c>
      <c r="H5203">
        <v>573.11</v>
      </c>
    </row>
    <row r="5204" spans="1:8" x14ac:dyDescent="0.3">
      <c r="A5204">
        <v>202407</v>
      </c>
      <c r="B5204" s="1">
        <v>45474</v>
      </c>
      <c r="C5204">
        <v>2024</v>
      </c>
      <c r="D5204" t="s">
        <v>14</v>
      </c>
      <c r="E5204" t="s">
        <v>23</v>
      </c>
      <c r="F5204" t="s">
        <v>40</v>
      </c>
      <c r="G5204" t="s">
        <v>8</v>
      </c>
      <c r="H5204">
        <v>854.99</v>
      </c>
    </row>
    <row r="5205" spans="1:8" x14ac:dyDescent="0.3">
      <c r="A5205">
        <v>202408</v>
      </c>
      <c r="B5205" s="1">
        <v>45505</v>
      </c>
      <c r="C5205">
        <v>2024</v>
      </c>
      <c r="D5205" t="s">
        <v>15</v>
      </c>
      <c r="E5205" t="s">
        <v>23</v>
      </c>
      <c r="F5205" t="s">
        <v>40</v>
      </c>
      <c r="G5205" t="s">
        <v>8</v>
      </c>
      <c r="H5205">
        <v>651.54</v>
      </c>
    </row>
    <row r="5206" spans="1:8" x14ac:dyDescent="0.3">
      <c r="A5206">
        <v>202409</v>
      </c>
      <c r="B5206" s="1">
        <v>45536</v>
      </c>
      <c r="C5206">
        <v>2024</v>
      </c>
      <c r="D5206" t="s">
        <v>16</v>
      </c>
      <c r="E5206" t="s">
        <v>23</v>
      </c>
      <c r="F5206" t="s">
        <v>40</v>
      </c>
      <c r="G5206" t="s">
        <v>8</v>
      </c>
      <c r="H5206">
        <v>653.25</v>
      </c>
    </row>
    <row r="5207" spans="1:8" x14ac:dyDescent="0.3">
      <c r="A5207">
        <v>202410</v>
      </c>
      <c r="B5207" s="1">
        <v>45566</v>
      </c>
      <c r="C5207">
        <v>2024</v>
      </c>
      <c r="D5207" t="s">
        <v>17</v>
      </c>
      <c r="E5207" t="s">
        <v>23</v>
      </c>
      <c r="F5207" t="s">
        <v>40</v>
      </c>
      <c r="G5207" t="s">
        <v>8</v>
      </c>
      <c r="H5207">
        <v>848.99</v>
      </c>
    </row>
    <row r="5208" spans="1:8" x14ac:dyDescent="0.3">
      <c r="A5208">
        <v>202411</v>
      </c>
      <c r="B5208" s="1">
        <v>45597</v>
      </c>
      <c r="C5208">
        <v>2024</v>
      </c>
      <c r="D5208" t="s">
        <v>18</v>
      </c>
      <c r="E5208" t="s">
        <v>23</v>
      </c>
      <c r="F5208" t="s">
        <v>40</v>
      </c>
      <c r="G5208" t="s">
        <v>8</v>
      </c>
      <c r="H5208">
        <v>667.23</v>
      </c>
    </row>
    <row r="5209" spans="1:8" x14ac:dyDescent="0.3">
      <c r="A5209">
        <v>202412</v>
      </c>
      <c r="B5209" s="1">
        <v>45627</v>
      </c>
      <c r="C5209">
        <v>2024</v>
      </c>
      <c r="D5209" t="s">
        <v>19</v>
      </c>
      <c r="E5209" t="s">
        <v>23</v>
      </c>
      <c r="F5209" t="s">
        <v>40</v>
      </c>
      <c r="G5209" t="s">
        <v>8</v>
      </c>
      <c r="H5209">
        <v>618.88</v>
      </c>
    </row>
    <row r="5210" spans="1:8" x14ac:dyDescent="0.3">
      <c r="A5210">
        <v>202401</v>
      </c>
      <c r="B5210" s="1">
        <v>45292</v>
      </c>
      <c r="C5210">
        <v>2024</v>
      </c>
      <c r="D5210" t="s">
        <v>6</v>
      </c>
      <c r="E5210" t="s">
        <v>23</v>
      </c>
      <c r="F5210" t="s">
        <v>40</v>
      </c>
      <c r="G5210" t="s">
        <v>8</v>
      </c>
      <c r="H5210">
        <v>2033.31</v>
      </c>
    </row>
    <row r="5211" spans="1:8" x14ac:dyDescent="0.3">
      <c r="A5211">
        <v>202402</v>
      </c>
      <c r="B5211" s="1">
        <v>45323</v>
      </c>
      <c r="C5211">
        <v>2024</v>
      </c>
      <c r="D5211" t="s">
        <v>9</v>
      </c>
      <c r="E5211" t="s">
        <v>23</v>
      </c>
      <c r="F5211" t="s">
        <v>40</v>
      </c>
      <c r="G5211" t="s">
        <v>8</v>
      </c>
      <c r="H5211">
        <v>860.93</v>
      </c>
    </row>
    <row r="5212" spans="1:8" x14ac:dyDescent="0.3">
      <c r="A5212">
        <v>202403</v>
      </c>
      <c r="B5212" s="1">
        <v>45352</v>
      </c>
      <c r="C5212">
        <v>2024</v>
      </c>
      <c r="D5212" t="s">
        <v>10</v>
      </c>
      <c r="E5212" t="s">
        <v>23</v>
      </c>
      <c r="F5212" t="s">
        <v>40</v>
      </c>
      <c r="G5212" t="s">
        <v>8</v>
      </c>
      <c r="H5212">
        <v>971.83</v>
      </c>
    </row>
    <row r="5213" spans="1:8" x14ac:dyDescent="0.3">
      <c r="A5213">
        <v>202404</v>
      </c>
      <c r="B5213" s="1">
        <v>45383</v>
      </c>
      <c r="C5213">
        <v>2024</v>
      </c>
      <c r="D5213" t="s">
        <v>11</v>
      </c>
      <c r="E5213" t="s">
        <v>23</v>
      </c>
      <c r="F5213" t="s">
        <v>40</v>
      </c>
      <c r="G5213" t="s">
        <v>8</v>
      </c>
      <c r="H5213">
        <v>2391.27</v>
      </c>
    </row>
    <row r="5214" spans="1:8" x14ac:dyDescent="0.3">
      <c r="A5214">
        <v>202405</v>
      </c>
      <c r="B5214" s="1">
        <v>45413</v>
      </c>
      <c r="C5214">
        <v>2024</v>
      </c>
      <c r="D5214" t="s">
        <v>12</v>
      </c>
      <c r="E5214" t="s">
        <v>23</v>
      </c>
      <c r="F5214" t="s">
        <v>40</v>
      </c>
      <c r="G5214" t="s">
        <v>8</v>
      </c>
      <c r="H5214">
        <v>1292.17</v>
      </c>
    </row>
    <row r="5215" spans="1:8" x14ac:dyDescent="0.3">
      <c r="A5215">
        <v>202406</v>
      </c>
      <c r="B5215" s="1">
        <v>45444</v>
      </c>
      <c r="C5215">
        <v>2024</v>
      </c>
      <c r="D5215" t="s">
        <v>13</v>
      </c>
      <c r="E5215" t="s">
        <v>23</v>
      </c>
      <c r="F5215" t="s">
        <v>40</v>
      </c>
      <c r="G5215" t="s">
        <v>8</v>
      </c>
      <c r="H5215">
        <v>1140.82</v>
      </c>
    </row>
    <row r="5216" spans="1:8" x14ac:dyDescent="0.3">
      <c r="A5216">
        <v>202407</v>
      </c>
      <c r="B5216" s="1">
        <v>45474</v>
      </c>
      <c r="C5216">
        <v>2024</v>
      </c>
      <c r="D5216" t="s">
        <v>14</v>
      </c>
      <c r="E5216" t="s">
        <v>23</v>
      </c>
      <c r="F5216" t="s">
        <v>40</v>
      </c>
      <c r="G5216" t="s">
        <v>8</v>
      </c>
      <c r="H5216">
        <v>2247.12</v>
      </c>
    </row>
    <row r="5217" spans="1:8" x14ac:dyDescent="0.3">
      <c r="A5217">
        <v>202408</v>
      </c>
      <c r="B5217" s="1">
        <v>45505</v>
      </c>
      <c r="C5217">
        <v>2024</v>
      </c>
      <c r="D5217" t="s">
        <v>15</v>
      </c>
      <c r="E5217" t="s">
        <v>23</v>
      </c>
      <c r="F5217" t="s">
        <v>40</v>
      </c>
      <c r="G5217" t="s">
        <v>8</v>
      </c>
      <c r="H5217">
        <v>1529.66</v>
      </c>
    </row>
    <row r="5218" spans="1:8" x14ac:dyDescent="0.3">
      <c r="A5218">
        <v>202409</v>
      </c>
      <c r="B5218" s="1">
        <v>45536</v>
      </c>
      <c r="C5218">
        <v>2024</v>
      </c>
      <c r="D5218" t="s">
        <v>16</v>
      </c>
      <c r="E5218" t="s">
        <v>23</v>
      </c>
      <c r="F5218" t="s">
        <v>40</v>
      </c>
      <c r="G5218" t="s">
        <v>8</v>
      </c>
      <c r="H5218">
        <v>1276.31</v>
      </c>
    </row>
    <row r="5219" spans="1:8" x14ac:dyDescent="0.3">
      <c r="A5219">
        <v>202410</v>
      </c>
      <c r="B5219" s="1">
        <v>45566</v>
      </c>
      <c r="C5219">
        <v>2024</v>
      </c>
      <c r="D5219" t="s">
        <v>17</v>
      </c>
      <c r="E5219" t="s">
        <v>23</v>
      </c>
      <c r="F5219" t="s">
        <v>40</v>
      </c>
      <c r="G5219" t="s">
        <v>8</v>
      </c>
      <c r="H5219">
        <v>2551.5300000000002</v>
      </c>
    </row>
    <row r="5220" spans="1:8" x14ac:dyDescent="0.3">
      <c r="A5220">
        <v>202411</v>
      </c>
      <c r="B5220" s="1">
        <v>45597</v>
      </c>
      <c r="C5220">
        <v>2024</v>
      </c>
      <c r="D5220" t="s">
        <v>18</v>
      </c>
      <c r="E5220" t="s">
        <v>23</v>
      </c>
      <c r="F5220" t="s">
        <v>40</v>
      </c>
      <c r="G5220" t="s">
        <v>8</v>
      </c>
      <c r="H5220">
        <v>1515.93</v>
      </c>
    </row>
    <row r="5221" spans="1:8" x14ac:dyDescent="0.3">
      <c r="A5221">
        <v>202412</v>
      </c>
      <c r="B5221" s="1">
        <v>45627</v>
      </c>
      <c r="C5221">
        <v>2024</v>
      </c>
      <c r="D5221" t="s">
        <v>19</v>
      </c>
      <c r="E5221" t="s">
        <v>23</v>
      </c>
      <c r="F5221" t="s">
        <v>40</v>
      </c>
      <c r="G5221" t="s">
        <v>8</v>
      </c>
      <c r="H5221">
        <v>1281.76</v>
      </c>
    </row>
    <row r="5222" spans="1:8" x14ac:dyDescent="0.3">
      <c r="A5222">
        <v>202401</v>
      </c>
      <c r="B5222" s="1">
        <v>45292</v>
      </c>
      <c r="C5222">
        <v>2024</v>
      </c>
      <c r="D5222" t="s">
        <v>6</v>
      </c>
      <c r="E5222" t="s">
        <v>23</v>
      </c>
      <c r="F5222" t="s">
        <v>40</v>
      </c>
      <c r="G5222" t="s">
        <v>8</v>
      </c>
      <c r="H5222">
        <v>1043.58</v>
      </c>
    </row>
    <row r="5223" spans="1:8" x14ac:dyDescent="0.3">
      <c r="A5223">
        <v>202402</v>
      </c>
      <c r="B5223" s="1">
        <v>45323</v>
      </c>
      <c r="C5223">
        <v>2024</v>
      </c>
      <c r="D5223" t="s">
        <v>9</v>
      </c>
      <c r="E5223" t="s">
        <v>23</v>
      </c>
      <c r="F5223" t="s">
        <v>40</v>
      </c>
      <c r="G5223" t="s">
        <v>8</v>
      </c>
      <c r="H5223">
        <v>401.39</v>
      </c>
    </row>
    <row r="5224" spans="1:8" x14ac:dyDescent="0.3">
      <c r="A5224">
        <v>202403</v>
      </c>
      <c r="B5224" s="1">
        <v>45352</v>
      </c>
      <c r="C5224">
        <v>2024</v>
      </c>
      <c r="D5224" t="s">
        <v>10</v>
      </c>
      <c r="E5224" t="s">
        <v>23</v>
      </c>
      <c r="F5224" t="s">
        <v>40</v>
      </c>
      <c r="G5224" t="s">
        <v>8</v>
      </c>
      <c r="H5224">
        <v>441.41</v>
      </c>
    </row>
    <row r="5225" spans="1:8" x14ac:dyDescent="0.3">
      <c r="A5225">
        <v>202404</v>
      </c>
      <c r="B5225" s="1">
        <v>45383</v>
      </c>
      <c r="C5225">
        <v>2024</v>
      </c>
      <c r="D5225" t="s">
        <v>11</v>
      </c>
      <c r="E5225" t="s">
        <v>23</v>
      </c>
      <c r="F5225" t="s">
        <v>40</v>
      </c>
      <c r="G5225" t="s">
        <v>8</v>
      </c>
      <c r="H5225">
        <v>796.44</v>
      </c>
    </row>
    <row r="5226" spans="1:8" x14ac:dyDescent="0.3">
      <c r="A5226">
        <v>202405</v>
      </c>
      <c r="B5226" s="1">
        <v>45413</v>
      </c>
      <c r="C5226">
        <v>2024</v>
      </c>
      <c r="D5226" t="s">
        <v>12</v>
      </c>
      <c r="E5226" t="s">
        <v>23</v>
      </c>
      <c r="F5226" t="s">
        <v>40</v>
      </c>
      <c r="G5226" t="s">
        <v>8</v>
      </c>
      <c r="H5226">
        <v>559.41999999999996</v>
      </c>
    </row>
    <row r="5227" spans="1:8" x14ac:dyDescent="0.3">
      <c r="A5227">
        <v>202406</v>
      </c>
      <c r="B5227" s="1">
        <v>45444</v>
      </c>
      <c r="C5227">
        <v>2024</v>
      </c>
      <c r="D5227" t="s">
        <v>13</v>
      </c>
      <c r="E5227" t="s">
        <v>23</v>
      </c>
      <c r="F5227" t="s">
        <v>40</v>
      </c>
      <c r="G5227" t="s">
        <v>8</v>
      </c>
      <c r="H5227">
        <v>568.67999999999995</v>
      </c>
    </row>
    <row r="5228" spans="1:8" x14ac:dyDescent="0.3">
      <c r="A5228">
        <v>202407</v>
      </c>
      <c r="B5228" s="1">
        <v>45474</v>
      </c>
      <c r="C5228">
        <v>2024</v>
      </c>
      <c r="D5228" t="s">
        <v>14</v>
      </c>
      <c r="E5228" t="s">
        <v>23</v>
      </c>
      <c r="F5228" t="s">
        <v>40</v>
      </c>
      <c r="G5228" t="s">
        <v>8</v>
      </c>
      <c r="H5228">
        <v>671.72</v>
      </c>
    </row>
    <row r="5229" spans="1:8" x14ac:dyDescent="0.3">
      <c r="A5229">
        <v>202408</v>
      </c>
      <c r="B5229" s="1">
        <v>45505</v>
      </c>
      <c r="C5229">
        <v>2024</v>
      </c>
      <c r="D5229" t="s">
        <v>15</v>
      </c>
      <c r="E5229" t="s">
        <v>23</v>
      </c>
      <c r="F5229" t="s">
        <v>40</v>
      </c>
      <c r="G5229" t="s">
        <v>8</v>
      </c>
      <c r="H5229">
        <v>553.77</v>
      </c>
    </row>
    <row r="5230" spans="1:8" x14ac:dyDescent="0.3">
      <c r="A5230">
        <v>202409</v>
      </c>
      <c r="B5230" s="1">
        <v>45536</v>
      </c>
      <c r="C5230">
        <v>2024</v>
      </c>
      <c r="D5230" t="s">
        <v>16</v>
      </c>
      <c r="E5230" t="s">
        <v>23</v>
      </c>
      <c r="F5230" t="s">
        <v>40</v>
      </c>
      <c r="G5230" t="s">
        <v>8</v>
      </c>
      <c r="H5230">
        <v>530.61</v>
      </c>
    </row>
    <row r="5231" spans="1:8" x14ac:dyDescent="0.3">
      <c r="A5231">
        <v>202410</v>
      </c>
      <c r="B5231" s="1">
        <v>45566</v>
      </c>
      <c r="C5231">
        <v>2024</v>
      </c>
      <c r="D5231" t="s">
        <v>17</v>
      </c>
      <c r="E5231" t="s">
        <v>23</v>
      </c>
      <c r="F5231" t="s">
        <v>40</v>
      </c>
      <c r="G5231" t="s">
        <v>8</v>
      </c>
      <c r="H5231">
        <v>761.47</v>
      </c>
    </row>
    <row r="5232" spans="1:8" x14ac:dyDescent="0.3">
      <c r="A5232">
        <v>202411</v>
      </c>
      <c r="B5232" s="1">
        <v>45597</v>
      </c>
      <c r="C5232">
        <v>2024</v>
      </c>
      <c r="D5232" t="s">
        <v>18</v>
      </c>
      <c r="E5232" t="s">
        <v>23</v>
      </c>
      <c r="F5232" t="s">
        <v>40</v>
      </c>
      <c r="G5232" t="s">
        <v>8</v>
      </c>
      <c r="H5232">
        <v>456.91</v>
      </c>
    </row>
    <row r="5233" spans="1:8" x14ac:dyDescent="0.3">
      <c r="A5233">
        <v>202412</v>
      </c>
      <c r="B5233" s="1">
        <v>45627</v>
      </c>
      <c r="C5233">
        <v>2024</v>
      </c>
      <c r="D5233" t="s">
        <v>19</v>
      </c>
      <c r="E5233" t="s">
        <v>23</v>
      </c>
      <c r="F5233" t="s">
        <v>40</v>
      </c>
      <c r="G5233" t="s">
        <v>8</v>
      </c>
      <c r="H5233">
        <v>446.69</v>
      </c>
    </row>
    <row r="5234" spans="1:8" x14ac:dyDescent="0.3">
      <c r="A5234">
        <v>202401</v>
      </c>
      <c r="B5234" s="1">
        <v>45292</v>
      </c>
      <c r="C5234">
        <v>2024</v>
      </c>
      <c r="D5234" t="s">
        <v>6</v>
      </c>
      <c r="E5234" t="s">
        <v>23</v>
      </c>
      <c r="F5234" t="s">
        <v>40</v>
      </c>
      <c r="G5234" t="s">
        <v>8</v>
      </c>
      <c r="H5234">
        <v>263.61</v>
      </c>
    </row>
    <row r="5235" spans="1:8" x14ac:dyDescent="0.3">
      <c r="A5235">
        <v>202402</v>
      </c>
      <c r="B5235" s="1">
        <v>45323</v>
      </c>
      <c r="C5235">
        <v>2024</v>
      </c>
      <c r="D5235" t="s">
        <v>9</v>
      </c>
      <c r="E5235" t="s">
        <v>23</v>
      </c>
      <c r="F5235" t="s">
        <v>40</v>
      </c>
      <c r="G5235" t="s">
        <v>8</v>
      </c>
      <c r="H5235">
        <v>97.92</v>
      </c>
    </row>
    <row r="5236" spans="1:8" x14ac:dyDescent="0.3">
      <c r="A5236">
        <v>202403</v>
      </c>
      <c r="B5236" s="1">
        <v>45352</v>
      </c>
      <c r="C5236">
        <v>2024</v>
      </c>
      <c r="D5236" t="s">
        <v>10</v>
      </c>
      <c r="E5236" t="s">
        <v>23</v>
      </c>
      <c r="F5236" t="s">
        <v>40</v>
      </c>
      <c r="G5236" t="s">
        <v>8</v>
      </c>
      <c r="H5236">
        <v>114.81</v>
      </c>
    </row>
    <row r="5237" spans="1:8" x14ac:dyDescent="0.3">
      <c r="A5237">
        <v>202404</v>
      </c>
      <c r="B5237" s="1">
        <v>45383</v>
      </c>
      <c r="C5237">
        <v>2024</v>
      </c>
      <c r="D5237" t="s">
        <v>11</v>
      </c>
      <c r="E5237" t="s">
        <v>23</v>
      </c>
      <c r="F5237" t="s">
        <v>40</v>
      </c>
      <c r="G5237" t="s">
        <v>8</v>
      </c>
      <c r="H5237">
        <v>385.4</v>
      </c>
    </row>
    <row r="5238" spans="1:8" x14ac:dyDescent="0.3">
      <c r="A5238">
        <v>202405</v>
      </c>
      <c r="B5238" s="1">
        <v>45413</v>
      </c>
      <c r="C5238">
        <v>2024</v>
      </c>
      <c r="D5238" t="s">
        <v>12</v>
      </c>
      <c r="E5238" t="s">
        <v>23</v>
      </c>
      <c r="F5238" t="s">
        <v>40</v>
      </c>
      <c r="G5238" t="s">
        <v>8</v>
      </c>
      <c r="H5238">
        <v>237.84</v>
      </c>
    </row>
    <row r="5239" spans="1:8" x14ac:dyDescent="0.3">
      <c r="A5239">
        <v>202406</v>
      </c>
      <c r="B5239" s="1">
        <v>45444</v>
      </c>
      <c r="C5239">
        <v>2024</v>
      </c>
      <c r="D5239" t="s">
        <v>13</v>
      </c>
      <c r="E5239" t="s">
        <v>23</v>
      </c>
      <c r="F5239" t="s">
        <v>40</v>
      </c>
      <c r="G5239" t="s">
        <v>8</v>
      </c>
      <c r="H5239">
        <v>104.57</v>
      </c>
    </row>
    <row r="5240" spans="1:8" x14ac:dyDescent="0.3">
      <c r="A5240">
        <v>202407</v>
      </c>
      <c r="B5240" s="1">
        <v>45474</v>
      </c>
      <c r="C5240">
        <v>2024</v>
      </c>
      <c r="D5240" t="s">
        <v>14</v>
      </c>
      <c r="E5240" t="s">
        <v>23</v>
      </c>
      <c r="F5240" t="s">
        <v>40</v>
      </c>
      <c r="G5240" t="s">
        <v>8</v>
      </c>
      <c r="H5240">
        <v>179.03</v>
      </c>
    </row>
    <row r="5241" spans="1:8" x14ac:dyDescent="0.3">
      <c r="A5241">
        <v>202408</v>
      </c>
      <c r="B5241" s="1">
        <v>45505</v>
      </c>
      <c r="C5241">
        <v>2024</v>
      </c>
      <c r="D5241" t="s">
        <v>15</v>
      </c>
      <c r="E5241" t="s">
        <v>23</v>
      </c>
      <c r="F5241" t="s">
        <v>40</v>
      </c>
      <c r="G5241" t="s">
        <v>8</v>
      </c>
      <c r="H5241">
        <v>227.61</v>
      </c>
    </row>
    <row r="5242" spans="1:8" x14ac:dyDescent="0.3">
      <c r="A5242">
        <v>202409</v>
      </c>
      <c r="B5242" s="1">
        <v>45536</v>
      </c>
      <c r="C5242">
        <v>2024</v>
      </c>
      <c r="D5242" t="s">
        <v>16</v>
      </c>
      <c r="E5242" t="s">
        <v>23</v>
      </c>
      <c r="F5242" t="s">
        <v>40</v>
      </c>
      <c r="G5242" t="s">
        <v>8</v>
      </c>
      <c r="H5242">
        <v>131.68</v>
      </c>
    </row>
    <row r="5243" spans="1:8" x14ac:dyDescent="0.3">
      <c r="A5243">
        <v>202410</v>
      </c>
      <c r="B5243" s="1">
        <v>45566</v>
      </c>
      <c r="C5243">
        <v>2024</v>
      </c>
      <c r="D5243" t="s">
        <v>17</v>
      </c>
      <c r="E5243" t="s">
        <v>23</v>
      </c>
      <c r="F5243" t="s">
        <v>40</v>
      </c>
      <c r="G5243" t="s">
        <v>8</v>
      </c>
      <c r="H5243">
        <v>195.07</v>
      </c>
    </row>
    <row r="5244" spans="1:8" x14ac:dyDescent="0.3">
      <c r="A5244">
        <v>202411</v>
      </c>
      <c r="B5244" s="1">
        <v>45597</v>
      </c>
      <c r="C5244">
        <v>2024</v>
      </c>
      <c r="D5244" t="s">
        <v>18</v>
      </c>
      <c r="E5244" t="s">
        <v>23</v>
      </c>
      <c r="F5244" t="s">
        <v>40</v>
      </c>
      <c r="G5244" t="s">
        <v>8</v>
      </c>
      <c r="H5244">
        <v>235.91</v>
      </c>
    </row>
    <row r="5245" spans="1:8" x14ac:dyDescent="0.3">
      <c r="A5245">
        <v>202412</v>
      </c>
      <c r="B5245" s="1">
        <v>45627</v>
      </c>
      <c r="C5245">
        <v>2024</v>
      </c>
      <c r="D5245" t="s">
        <v>19</v>
      </c>
      <c r="E5245" t="s">
        <v>23</v>
      </c>
      <c r="F5245" t="s">
        <v>40</v>
      </c>
      <c r="G5245" t="s">
        <v>8</v>
      </c>
      <c r="H5245">
        <v>251.01</v>
      </c>
    </row>
    <row r="5246" spans="1:8" x14ac:dyDescent="0.3">
      <c r="A5246">
        <v>202401</v>
      </c>
      <c r="B5246" s="1">
        <v>45292</v>
      </c>
      <c r="C5246">
        <v>2024</v>
      </c>
      <c r="D5246" t="s">
        <v>6</v>
      </c>
      <c r="E5246" t="s">
        <v>23</v>
      </c>
      <c r="F5246" t="s">
        <v>40</v>
      </c>
      <c r="G5246" t="s">
        <v>8</v>
      </c>
      <c r="H5246">
        <v>1300.6600000000001</v>
      </c>
    </row>
    <row r="5247" spans="1:8" x14ac:dyDescent="0.3">
      <c r="A5247">
        <v>202402</v>
      </c>
      <c r="B5247" s="1">
        <v>45323</v>
      </c>
      <c r="C5247">
        <v>2024</v>
      </c>
      <c r="D5247" t="s">
        <v>9</v>
      </c>
      <c r="E5247" t="s">
        <v>23</v>
      </c>
      <c r="F5247" t="s">
        <v>40</v>
      </c>
      <c r="G5247" t="s">
        <v>8</v>
      </c>
      <c r="H5247">
        <v>842.75</v>
      </c>
    </row>
    <row r="5248" spans="1:8" x14ac:dyDescent="0.3">
      <c r="A5248">
        <v>202403</v>
      </c>
      <c r="B5248" s="1">
        <v>45352</v>
      </c>
      <c r="C5248">
        <v>2024</v>
      </c>
      <c r="D5248" t="s">
        <v>10</v>
      </c>
      <c r="E5248" t="s">
        <v>23</v>
      </c>
      <c r="F5248" t="s">
        <v>40</v>
      </c>
      <c r="G5248" t="s">
        <v>8</v>
      </c>
      <c r="H5248">
        <v>764.19</v>
      </c>
    </row>
    <row r="5249" spans="1:8" x14ac:dyDescent="0.3">
      <c r="A5249">
        <v>202404</v>
      </c>
      <c r="B5249" s="1">
        <v>45383</v>
      </c>
      <c r="C5249">
        <v>2024</v>
      </c>
      <c r="D5249" t="s">
        <v>11</v>
      </c>
      <c r="E5249" t="s">
        <v>23</v>
      </c>
      <c r="F5249" t="s">
        <v>40</v>
      </c>
      <c r="G5249" t="s">
        <v>8</v>
      </c>
      <c r="H5249">
        <v>1630.49</v>
      </c>
    </row>
    <row r="5250" spans="1:8" x14ac:dyDescent="0.3">
      <c r="A5250">
        <v>202405</v>
      </c>
      <c r="B5250" s="1">
        <v>45413</v>
      </c>
      <c r="C5250">
        <v>2024</v>
      </c>
      <c r="D5250" t="s">
        <v>12</v>
      </c>
      <c r="E5250" t="s">
        <v>23</v>
      </c>
      <c r="F5250" t="s">
        <v>40</v>
      </c>
      <c r="G5250" t="s">
        <v>8</v>
      </c>
      <c r="H5250">
        <v>1757.82</v>
      </c>
    </row>
    <row r="5251" spans="1:8" x14ac:dyDescent="0.3">
      <c r="A5251">
        <v>202406</v>
      </c>
      <c r="B5251" s="1">
        <v>45444</v>
      </c>
      <c r="C5251">
        <v>2024</v>
      </c>
      <c r="D5251" t="s">
        <v>13</v>
      </c>
      <c r="E5251" t="s">
        <v>23</v>
      </c>
      <c r="F5251" t="s">
        <v>40</v>
      </c>
      <c r="G5251" t="s">
        <v>8</v>
      </c>
      <c r="H5251">
        <v>1079.1099999999999</v>
      </c>
    </row>
    <row r="5252" spans="1:8" x14ac:dyDescent="0.3">
      <c r="A5252">
        <v>202407</v>
      </c>
      <c r="B5252" s="1">
        <v>45474</v>
      </c>
      <c r="C5252">
        <v>2024</v>
      </c>
      <c r="D5252" t="s">
        <v>14</v>
      </c>
      <c r="E5252" t="s">
        <v>23</v>
      </c>
      <c r="F5252" t="s">
        <v>40</v>
      </c>
      <c r="G5252" t="s">
        <v>8</v>
      </c>
      <c r="H5252">
        <v>1516.25</v>
      </c>
    </row>
    <row r="5253" spans="1:8" x14ac:dyDescent="0.3">
      <c r="A5253">
        <v>202408</v>
      </c>
      <c r="B5253" s="1">
        <v>45505</v>
      </c>
      <c r="C5253">
        <v>2024</v>
      </c>
      <c r="D5253" t="s">
        <v>15</v>
      </c>
      <c r="E5253" t="s">
        <v>23</v>
      </c>
      <c r="F5253" t="s">
        <v>40</v>
      </c>
      <c r="G5253" t="s">
        <v>8</v>
      </c>
      <c r="H5253">
        <v>1602.93</v>
      </c>
    </row>
    <row r="5254" spans="1:8" x14ac:dyDescent="0.3">
      <c r="A5254">
        <v>202409</v>
      </c>
      <c r="B5254" s="1">
        <v>45536</v>
      </c>
      <c r="C5254">
        <v>2024</v>
      </c>
      <c r="D5254" t="s">
        <v>16</v>
      </c>
      <c r="E5254" t="s">
        <v>23</v>
      </c>
      <c r="F5254" t="s">
        <v>40</v>
      </c>
      <c r="G5254" t="s">
        <v>8</v>
      </c>
      <c r="H5254">
        <v>865.85</v>
      </c>
    </row>
    <row r="5255" spans="1:8" x14ac:dyDescent="0.3">
      <c r="A5255">
        <v>202410</v>
      </c>
      <c r="B5255" s="1">
        <v>45566</v>
      </c>
      <c r="C5255">
        <v>2024</v>
      </c>
      <c r="D5255" t="s">
        <v>17</v>
      </c>
      <c r="E5255" t="s">
        <v>23</v>
      </c>
      <c r="F5255" t="s">
        <v>40</v>
      </c>
      <c r="G5255" t="s">
        <v>8</v>
      </c>
      <c r="H5255">
        <v>1541.34</v>
      </c>
    </row>
    <row r="5256" spans="1:8" x14ac:dyDescent="0.3">
      <c r="A5256">
        <v>202411</v>
      </c>
      <c r="B5256" s="1">
        <v>45597</v>
      </c>
      <c r="C5256">
        <v>2024</v>
      </c>
      <c r="D5256" t="s">
        <v>18</v>
      </c>
      <c r="E5256" t="s">
        <v>23</v>
      </c>
      <c r="F5256" t="s">
        <v>40</v>
      </c>
      <c r="G5256" t="s">
        <v>8</v>
      </c>
      <c r="H5256">
        <v>1525.91</v>
      </c>
    </row>
    <row r="5257" spans="1:8" x14ac:dyDescent="0.3">
      <c r="A5257">
        <v>202412</v>
      </c>
      <c r="B5257" s="1">
        <v>45627</v>
      </c>
      <c r="C5257">
        <v>2024</v>
      </c>
      <c r="D5257" t="s">
        <v>19</v>
      </c>
      <c r="E5257" t="s">
        <v>23</v>
      </c>
      <c r="F5257" t="s">
        <v>40</v>
      </c>
      <c r="G5257" t="s">
        <v>8</v>
      </c>
      <c r="H5257">
        <v>641.95000000000005</v>
      </c>
    </row>
    <row r="5258" spans="1:8" x14ac:dyDescent="0.3">
      <c r="A5258">
        <v>202401</v>
      </c>
      <c r="B5258" s="1">
        <v>45292</v>
      </c>
      <c r="C5258">
        <v>2024</v>
      </c>
      <c r="D5258" t="s">
        <v>6</v>
      </c>
      <c r="E5258" t="s">
        <v>23</v>
      </c>
      <c r="F5258" t="s">
        <v>40</v>
      </c>
      <c r="G5258" t="s">
        <v>8</v>
      </c>
      <c r="H5258">
        <v>290.44</v>
      </c>
    </row>
    <row r="5259" spans="1:8" x14ac:dyDescent="0.3">
      <c r="A5259">
        <v>202402</v>
      </c>
      <c r="B5259" s="1">
        <v>45323</v>
      </c>
      <c r="C5259">
        <v>2024</v>
      </c>
      <c r="D5259" t="s">
        <v>9</v>
      </c>
      <c r="E5259" t="s">
        <v>23</v>
      </c>
      <c r="F5259" t="s">
        <v>40</v>
      </c>
      <c r="G5259" t="s">
        <v>8</v>
      </c>
      <c r="H5259">
        <v>192.54</v>
      </c>
    </row>
    <row r="5260" spans="1:8" x14ac:dyDescent="0.3">
      <c r="A5260">
        <v>202403</v>
      </c>
      <c r="B5260" s="1">
        <v>45352</v>
      </c>
      <c r="C5260">
        <v>2024</v>
      </c>
      <c r="D5260" t="s">
        <v>10</v>
      </c>
      <c r="E5260" t="s">
        <v>23</v>
      </c>
      <c r="F5260" t="s">
        <v>40</v>
      </c>
      <c r="G5260" t="s">
        <v>8</v>
      </c>
      <c r="H5260">
        <v>177.79</v>
      </c>
    </row>
    <row r="5261" spans="1:8" x14ac:dyDescent="0.3">
      <c r="A5261">
        <v>202404</v>
      </c>
      <c r="B5261" s="1">
        <v>45383</v>
      </c>
      <c r="C5261">
        <v>2024</v>
      </c>
      <c r="D5261" t="s">
        <v>11</v>
      </c>
      <c r="E5261" t="s">
        <v>23</v>
      </c>
      <c r="F5261" t="s">
        <v>40</v>
      </c>
      <c r="G5261" t="s">
        <v>8</v>
      </c>
      <c r="H5261">
        <v>436.08</v>
      </c>
    </row>
    <row r="5262" spans="1:8" x14ac:dyDescent="0.3">
      <c r="A5262">
        <v>202405</v>
      </c>
      <c r="B5262" s="1">
        <v>45413</v>
      </c>
      <c r="C5262">
        <v>2024</v>
      </c>
      <c r="D5262" t="s">
        <v>12</v>
      </c>
      <c r="E5262" t="s">
        <v>23</v>
      </c>
      <c r="F5262" t="s">
        <v>40</v>
      </c>
      <c r="G5262" t="s">
        <v>8</v>
      </c>
      <c r="H5262">
        <v>261.49</v>
      </c>
    </row>
    <row r="5263" spans="1:8" x14ac:dyDescent="0.3">
      <c r="A5263">
        <v>202406</v>
      </c>
      <c r="B5263" s="1">
        <v>45444</v>
      </c>
      <c r="C5263">
        <v>2024</v>
      </c>
      <c r="D5263" t="s">
        <v>13</v>
      </c>
      <c r="E5263" t="s">
        <v>23</v>
      </c>
      <c r="F5263" t="s">
        <v>40</v>
      </c>
      <c r="G5263" t="s">
        <v>8</v>
      </c>
      <c r="H5263">
        <v>300.08999999999997</v>
      </c>
    </row>
    <row r="5264" spans="1:8" x14ac:dyDescent="0.3">
      <c r="A5264">
        <v>202407</v>
      </c>
      <c r="B5264" s="1">
        <v>45474</v>
      </c>
      <c r="C5264">
        <v>2024</v>
      </c>
      <c r="D5264" t="s">
        <v>14</v>
      </c>
      <c r="E5264" t="s">
        <v>23</v>
      </c>
      <c r="F5264" t="s">
        <v>40</v>
      </c>
      <c r="G5264" t="s">
        <v>8</v>
      </c>
      <c r="H5264">
        <v>374.55</v>
      </c>
    </row>
    <row r="5265" spans="1:8" x14ac:dyDescent="0.3">
      <c r="A5265">
        <v>202408</v>
      </c>
      <c r="B5265" s="1">
        <v>45505</v>
      </c>
      <c r="C5265">
        <v>2024</v>
      </c>
      <c r="D5265" t="s">
        <v>15</v>
      </c>
      <c r="E5265" t="s">
        <v>23</v>
      </c>
      <c r="F5265" t="s">
        <v>40</v>
      </c>
      <c r="G5265" t="s">
        <v>8</v>
      </c>
      <c r="H5265">
        <v>286.2</v>
      </c>
    </row>
    <row r="5266" spans="1:8" x14ac:dyDescent="0.3">
      <c r="A5266">
        <v>202409</v>
      </c>
      <c r="B5266" s="1">
        <v>45536</v>
      </c>
      <c r="C5266">
        <v>2024</v>
      </c>
      <c r="D5266" t="s">
        <v>16</v>
      </c>
      <c r="E5266" t="s">
        <v>23</v>
      </c>
      <c r="F5266" t="s">
        <v>40</v>
      </c>
      <c r="G5266" t="s">
        <v>8</v>
      </c>
      <c r="H5266">
        <v>212.6</v>
      </c>
    </row>
    <row r="5267" spans="1:8" x14ac:dyDescent="0.3">
      <c r="A5267">
        <v>202410</v>
      </c>
      <c r="B5267" s="1">
        <v>45566</v>
      </c>
      <c r="C5267">
        <v>2024</v>
      </c>
      <c r="D5267" t="s">
        <v>17</v>
      </c>
      <c r="E5267" t="s">
        <v>23</v>
      </c>
      <c r="F5267" t="s">
        <v>40</v>
      </c>
      <c r="G5267" t="s">
        <v>8</v>
      </c>
      <c r="H5267">
        <v>383.18</v>
      </c>
    </row>
    <row r="5268" spans="1:8" x14ac:dyDescent="0.3">
      <c r="A5268">
        <v>202411</v>
      </c>
      <c r="B5268" s="1">
        <v>45597</v>
      </c>
      <c r="C5268">
        <v>2024</v>
      </c>
      <c r="D5268" t="s">
        <v>18</v>
      </c>
      <c r="E5268" t="s">
        <v>23</v>
      </c>
      <c r="F5268" t="s">
        <v>40</v>
      </c>
      <c r="G5268" t="s">
        <v>8</v>
      </c>
      <c r="H5268">
        <v>330.96</v>
      </c>
    </row>
    <row r="5269" spans="1:8" x14ac:dyDescent="0.3">
      <c r="A5269">
        <v>202412</v>
      </c>
      <c r="B5269" s="1">
        <v>45627</v>
      </c>
      <c r="C5269">
        <v>2024</v>
      </c>
      <c r="D5269" t="s">
        <v>19</v>
      </c>
      <c r="E5269" t="s">
        <v>23</v>
      </c>
      <c r="F5269" t="s">
        <v>40</v>
      </c>
      <c r="G5269" t="s">
        <v>8</v>
      </c>
      <c r="H5269">
        <v>339.12</v>
      </c>
    </row>
    <row r="5270" spans="1:8" x14ac:dyDescent="0.3">
      <c r="A5270">
        <v>202401</v>
      </c>
      <c r="B5270" s="1">
        <v>45292</v>
      </c>
      <c r="C5270">
        <v>2024</v>
      </c>
      <c r="D5270" t="s">
        <v>6</v>
      </c>
      <c r="E5270" t="s">
        <v>24</v>
      </c>
      <c r="F5270" t="s">
        <v>40</v>
      </c>
      <c r="G5270" t="s">
        <v>8</v>
      </c>
      <c r="H5270">
        <v>2437.12</v>
      </c>
    </row>
    <row r="5271" spans="1:8" x14ac:dyDescent="0.3">
      <c r="A5271">
        <v>202402</v>
      </c>
      <c r="B5271" s="1">
        <v>45323</v>
      </c>
      <c r="C5271">
        <v>2024</v>
      </c>
      <c r="D5271" t="s">
        <v>9</v>
      </c>
      <c r="E5271" t="s">
        <v>24</v>
      </c>
      <c r="F5271" t="s">
        <v>40</v>
      </c>
      <c r="G5271" t="s">
        <v>8</v>
      </c>
      <c r="H5271">
        <v>1238.5999999999999</v>
      </c>
    </row>
    <row r="5272" spans="1:8" x14ac:dyDescent="0.3">
      <c r="A5272">
        <v>202403</v>
      </c>
      <c r="B5272" s="1">
        <v>45352</v>
      </c>
      <c r="C5272">
        <v>2024</v>
      </c>
      <c r="D5272" t="s">
        <v>10</v>
      </c>
      <c r="E5272" t="s">
        <v>24</v>
      </c>
      <c r="F5272" t="s">
        <v>40</v>
      </c>
      <c r="G5272" t="s">
        <v>8</v>
      </c>
      <c r="H5272">
        <v>1448.15</v>
      </c>
    </row>
    <row r="5273" spans="1:8" x14ac:dyDescent="0.3">
      <c r="A5273">
        <v>202404</v>
      </c>
      <c r="B5273" s="1">
        <v>45383</v>
      </c>
      <c r="C5273">
        <v>2024</v>
      </c>
      <c r="D5273" t="s">
        <v>11</v>
      </c>
      <c r="E5273" t="s">
        <v>24</v>
      </c>
      <c r="F5273" t="s">
        <v>40</v>
      </c>
      <c r="G5273" t="s">
        <v>8</v>
      </c>
      <c r="H5273">
        <v>3009.22</v>
      </c>
    </row>
    <row r="5274" spans="1:8" x14ac:dyDescent="0.3">
      <c r="A5274">
        <v>202405</v>
      </c>
      <c r="B5274" s="1">
        <v>45413</v>
      </c>
      <c r="C5274">
        <v>2024</v>
      </c>
      <c r="D5274" t="s">
        <v>12</v>
      </c>
      <c r="E5274" t="s">
        <v>24</v>
      </c>
      <c r="F5274" t="s">
        <v>40</v>
      </c>
      <c r="G5274" t="s">
        <v>8</v>
      </c>
      <c r="H5274">
        <v>1855.64</v>
      </c>
    </row>
    <row r="5275" spans="1:8" x14ac:dyDescent="0.3">
      <c r="A5275">
        <v>202406</v>
      </c>
      <c r="B5275" s="1">
        <v>45444</v>
      </c>
      <c r="C5275">
        <v>2024</v>
      </c>
      <c r="D5275" t="s">
        <v>13</v>
      </c>
      <c r="E5275" t="s">
        <v>24</v>
      </c>
      <c r="F5275" t="s">
        <v>40</v>
      </c>
      <c r="G5275" t="s">
        <v>8</v>
      </c>
      <c r="H5275">
        <v>1572.23</v>
      </c>
    </row>
    <row r="5276" spans="1:8" x14ac:dyDescent="0.3">
      <c r="A5276">
        <v>202407</v>
      </c>
      <c r="B5276" s="1">
        <v>45474</v>
      </c>
      <c r="C5276">
        <v>2024</v>
      </c>
      <c r="D5276" t="s">
        <v>14</v>
      </c>
      <c r="E5276" t="s">
        <v>24</v>
      </c>
      <c r="F5276" t="s">
        <v>40</v>
      </c>
      <c r="G5276" t="s">
        <v>8</v>
      </c>
      <c r="H5276">
        <v>2365.38</v>
      </c>
    </row>
    <row r="5277" spans="1:8" x14ac:dyDescent="0.3">
      <c r="A5277">
        <v>202408</v>
      </c>
      <c r="B5277" s="1">
        <v>45505</v>
      </c>
      <c r="C5277">
        <v>2024</v>
      </c>
      <c r="D5277" t="s">
        <v>15</v>
      </c>
      <c r="E5277" t="s">
        <v>24</v>
      </c>
      <c r="F5277" t="s">
        <v>40</v>
      </c>
      <c r="G5277" t="s">
        <v>8</v>
      </c>
      <c r="H5277">
        <v>2140.02</v>
      </c>
    </row>
    <row r="5278" spans="1:8" x14ac:dyDescent="0.3">
      <c r="A5278">
        <v>202409</v>
      </c>
      <c r="B5278" s="1">
        <v>45536</v>
      </c>
      <c r="C5278">
        <v>2024</v>
      </c>
      <c r="D5278" t="s">
        <v>16</v>
      </c>
      <c r="E5278" t="s">
        <v>24</v>
      </c>
      <c r="F5278" t="s">
        <v>40</v>
      </c>
      <c r="G5278" t="s">
        <v>8</v>
      </c>
      <c r="H5278">
        <v>1620.53</v>
      </c>
    </row>
    <row r="5279" spans="1:8" x14ac:dyDescent="0.3">
      <c r="A5279">
        <v>202410</v>
      </c>
      <c r="B5279" s="1">
        <v>45566</v>
      </c>
      <c r="C5279">
        <v>2024</v>
      </c>
      <c r="D5279" t="s">
        <v>17</v>
      </c>
      <c r="E5279" t="s">
        <v>24</v>
      </c>
      <c r="F5279" t="s">
        <v>40</v>
      </c>
      <c r="G5279" t="s">
        <v>8</v>
      </c>
      <c r="H5279">
        <v>2743.37</v>
      </c>
    </row>
    <row r="5280" spans="1:8" x14ac:dyDescent="0.3">
      <c r="A5280">
        <v>202411</v>
      </c>
      <c r="B5280" s="1">
        <v>45597</v>
      </c>
      <c r="C5280">
        <v>2024</v>
      </c>
      <c r="D5280" t="s">
        <v>18</v>
      </c>
      <c r="E5280" t="s">
        <v>24</v>
      </c>
      <c r="F5280" t="s">
        <v>40</v>
      </c>
      <c r="G5280" t="s">
        <v>8</v>
      </c>
      <c r="H5280">
        <v>1938.78</v>
      </c>
    </row>
    <row r="5281" spans="1:8" x14ac:dyDescent="0.3">
      <c r="A5281">
        <v>202412</v>
      </c>
      <c r="B5281" s="1">
        <v>45627</v>
      </c>
      <c r="C5281">
        <v>2024</v>
      </c>
      <c r="D5281" t="s">
        <v>19</v>
      </c>
      <c r="E5281" t="s">
        <v>24</v>
      </c>
      <c r="F5281" t="s">
        <v>40</v>
      </c>
      <c r="G5281" t="s">
        <v>8</v>
      </c>
      <c r="H5281">
        <v>1464.26</v>
      </c>
    </row>
    <row r="5282" spans="1:8" x14ac:dyDescent="0.3">
      <c r="A5282">
        <v>202401</v>
      </c>
      <c r="B5282" s="1">
        <v>45292</v>
      </c>
      <c r="C5282">
        <v>2024</v>
      </c>
      <c r="D5282" t="s">
        <v>6</v>
      </c>
      <c r="E5282" t="s">
        <v>24</v>
      </c>
      <c r="F5282" t="s">
        <v>40</v>
      </c>
      <c r="G5282" t="s">
        <v>8</v>
      </c>
      <c r="H5282">
        <v>3794.09</v>
      </c>
    </row>
    <row r="5283" spans="1:8" x14ac:dyDescent="0.3">
      <c r="A5283">
        <v>202402</v>
      </c>
      <c r="B5283" s="1">
        <v>45323</v>
      </c>
      <c r="C5283">
        <v>2024</v>
      </c>
      <c r="D5283" t="s">
        <v>9</v>
      </c>
      <c r="E5283" t="s">
        <v>24</v>
      </c>
      <c r="F5283" t="s">
        <v>40</v>
      </c>
      <c r="G5283" t="s">
        <v>8</v>
      </c>
      <c r="H5283">
        <v>1599.35</v>
      </c>
    </row>
    <row r="5284" spans="1:8" x14ac:dyDescent="0.3">
      <c r="A5284">
        <v>202403</v>
      </c>
      <c r="B5284" s="1">
        <v>45352</v>
      </c>
      <c r="C5284">
        <v>2024</v>
      </c>
      <c r="D5284" t="s">
        <v>10</v>
      </c>
      <c r="E5284" t="s">
        <v>24</v>
      </c>
      <c r="F5284" t="s">
        <v>40</v>
      </c>
      <c r="G5284" t="s">
        <v>8</v>
      </c>
      <c r="H5284">
        <v>1636.54</v>
      </c>
    </row>
    <row r="5285" spans="1:8" x14ac:dyDescent="0.3">
      <c r="A5285">
        <v>202404</v>
      </c>
      <c r="B5285" s="1">
        <v>45383</v>
      </c>
      <c r="C5285">
        <v>2024</v>
      </c>
      <c r="D5285" t="s">
        <v>11</v>
      </c>
      <c r="E5285" t="s">
        <v>24</v>
      </c>
      <c r="F5285" t="s">
        <v>40</v>
      </c>
      <c r="G5285" t="s">
        <v>8</v>
      </c>
      <c r="H5285">
        <v>3911.03</v>
      </c>
    </row>
    <row r="5286" spans="1:8" x14ac:dyDescent="0.3">
      <c r="A5286">
        <v>202405</v>
      </c>
      <c r="B5286" s="1">
        <v>45413</v>
      </c>
      <c r="C5286">
        <v>2024</v>
      </c>
      <c r="D5286" t="s">
        <v>12</v>
      </c>
      <c r="E5286" t="s">
        <v>24</v>
      </c>
      <c r="F5286" t="s">
        <v>40</v>
      </c>
      <c r="G5286" t="s">
        <v>8</v>
      </c>
      <c r="H5286">
        <v>2308.79</v>
      </c>
    </row>
    <row r="5287" spans="1:8" x14ac:dyDescent="0.3">
      <c r="A5287">
        <v>202406</v>
      </c>
      <c r="B5287" s="1">
        <v>45444</v>
      </c>
      <c r="C5287">
        <v>2024</v>
      </c>
      <c r="D5287" t="s">
        <v>13</v>
      </c>
      <c r="E5287" t="s">
        <v>24</v>
      </c>
      <c r="F5287" t="s">
        <v>40</v>
      </c>
      <c r="G5287" t="s">
        <v>8</v>
      </c>
      <c r="H5287">
        <v>1838.04</v>
      </c>
    </row>
    <row r="5288" spans="1:8" x14ac:dyDescent="0.3">
      <c r="A5288">
        <v>202407</v>
      </c>
      <c r="B5288" s="1">
        <v>45474</v>
      </c>
      <c r="C5288">
        <v>2024</v>
      </c>
      <c r="D5288" t="s">
        <v>14</v>
      </c>
      <c r="E5288" t="s">
        <v>24</v>
      </c>
      <c r="F5288" t="s">
        <v>40</v>
      </c>
      <c r="G5288" t="s">
        <v>8</v>
      </c>
      <c r="H5288">
        <v>3211.31</v>
      </c>
    </row>
    <row r="5289" spans="1:8" x14ac:dyDescent="0.3">
      <c r="A5289">
        <v>202408</v>
      </c>
      <c r="B5289" s="1">
        <v>45505</v>
      </c>
      <c r="C5289">
        <v>2024</v>
      </c>
      <c r="D5289" t="s">
        <v>15</v>
      </c>
      <c r="E5289" t="s">
        <v>24</v>
      </c>
      <c r="F5289" t="s">
        <v>40</v>
      </c>
      <c r="G5289" t="s">
        <v>8</v>
      </c>
      <c r="H5289">
        <v>2466.12</v>
      </c>
    </row>
    <row r="5290" spans="1:8" x14ac:dyDescent="0.3">
      <c r="A5290">
        <v>202409</v>
      </c>
      <c r="B5290" s="1">
        <v>45536</v>
      </c>
      <c r="C5290">
        <v>2024</v>
      </c>
      <c r="D5290" t="s">
        <v>16</v>
      </c>
      <c r="E5290" t="s">
        <v>24</v>
      </c>
      <c r="F5290" t="s">
        <v>40</v>
      </c>
      <c r="G5290" t="s">
        <v>8</v>
      </c>
      <c r="H5290">
        <v>2072.69</v>
      </c>
    </row>
    <row r="5291" spans="1:8" x14ac:dyDescent="0.3">
      <c r="A5291">
        <v>202410</v>
      </c>
      <c r="B5291" s="1">
        <v>45566</v>
      </c>
      <c r="C5291">
        <v>2024</v>
      </c>
      <c r="D5291" t="s">
        <v>17</v>
      </c>
      <c r="E5291" t="s">
        <v>24</v>
      </c>
      <c r="F5291" t="s">
        <v>40</v>
      </c>
      <c r="G5291" t="s">
        <v>8</v>
      </c>
      <c r="H5291">
        <v>3567.56</v>
      </c>
    </row>
    <row r="5292" spans="1:8" x14ac:dyDescent="0.3">
      <c r="A5292">
        <v>202411</v>
      </c>
      <c r="B5292" s="1">
        <v>45597</v>
      </c>
      <c r="C5292">
        <v>2024</v>
      </c>
      <c r="D5292" t="s">
        <v>18</v>
      </c>
      <c r="E5292" t="s">
        <v>24</v>
      </c>
      <c r="F5292" t="s">
        <v>40</v>
      </c>
      <c r="G5292" t="s">
        <v>8</v>
      </c>
      <c r="H5292">
        <v>2479.7600000000002</v>
      </c>
    </row>
    <row r="5293" spans="1:8" x14ac:dyDescent="0.3">
      <c r="A5293">
        <v>202412</v>
      </c>
      <c r="B5293" s="1">
        <v>45627</v>
      </c>
      <c r="C5293">
        <v>2024</v>
      </c>
      <c r="D5293" t="s">
        <v>19</v>
      </c>
      <c r="E5293" t="s">
        <v>24</v>
      </c>
      <c r="F5293" t="s">
        <v>40</v>
      </c>
      <c r="G5293" t="s">
        <v>8</v>
      </c>
      <c r="H5293">
        <v>2041.31</v>
      </c>
    </row>
    <row r="5294" spans="1:8" x14ac:dyDescent="0.3">
      <c r="A5294">
        <v>202401</v>
      </c>
      <c r="B5294" s="1">
        <v>45292</v>
      </c>
      <c r="C5294">
        <v>2024</v>
      </c>
      <c r="D5294" t="s">
        <v>6</v>
      </c>
      <c r="E5294" t="s">
        <v>24</v>
      </c>
      <c r="F5294" t="s">
        <v>40</v>
      </c>
      <c r="G5294" t="s">
        <v>8</v>
      </c>
      <c r="H5294">
        <v>3550.24</v>
      </c>
    </row>
    <row r="5295" spans="1:8" x14ac:dyDescent="0.3">
      <c r="A5295">
        <v>202402</v>
      </c>
      <c r="B5295" s="1">
        <v>45323</v>
      </c>
      <c r="C5295">
        <v>2024</v>
      </c>
      <c r="D5295" t="s">
        <v>9</v>
      </c>
      <c r="E5295" t="s">
        <v>24</v>
      </c>
      <c r="F5295" t="s">
        <v>40</v>
      </c>
      <c r="G5295" t="s">
        <v>8</v>
      </c>
      <c r="H5295">
        <v>2036.05</v>
      </c>
    </row>
    <row r="5296" spans="1:8" x14ac:dyDescent="0.3">
      <c r="A5296">
        <v>202403</v>
      </c>
      <c r="B5296" s="1">
        <v>45352</v>
      </c>
      <c r="C5296">
        <v>2024</v>
      </c>
      <c r="D5296" t="s">
        <v>10</v>
      </c>
      <c r="E5296" t="s">
        <v>24</v>
      </c>
      <c r="F5296" t="s">
        <v>40</v>
      </c>
      <c r="G5296" t="s">
        <v>8</v>
      </c>
      <c r="H5296">
        <v>2013.78</v>
      </c>
    </row>
    <row r="5297" spans="1:8" x14ac:dyDescent="0.3">
      <c r="A5297">
        <v>202404</v>
      </c>
      <c r="B5297" s="1">
        <v>45383</v>
      </c>
      <c r="C5297">
        <v>2024</v>
      </c>
      <c r="D5297" t="s">
        <v>11</v>
      </c>
      <c r="E5297" t="s">
        <v>24</v>
      </c>
      <c r="F5297" t="s">
        <v>40</v>
      </c>
      <c r="G5297" t="s">
        <v>8</v>
      </c>
      <c r="H5297">
        <v>4916.0600000000004</v>
      </c>
    </row>
    <row r="5298" spans="1:8" x14ac:dyDescent="0.3">
      <c r="A5298">
        <v>202405</v>
      </c>
      <c r="B5298" s="1">
        <v>45413</v>
      </c>
      <c r="C5298">
        <v>2024</v>
      </c>
      <c r="D5298" t="s">
        <v>12</v>
      </c>
      <c r="E5298" t="s">
        <v>24</v>
      </c>
      <c r="F5298" t="s">
        <v>40</v>
      </c>
      <c r="G5298" t="s">
        <v>8</v>
      </c>
      <c r="H5298">
        <v>2834.61</v>
      </c>
    </row>
    <row r="5299" spans="1:8" x14ac:dyDescent="0.3">
      <c r="A5299">
        <v>202406</v>
      </c>
      <c r="B5299" s="1">
        <v>45444</v>
      </c>
      <c r="C5299">
        <v>2024</v>
      </c>
      <c r="D5299" t="s">
        <v>13</v>
      </c>
      <c r="E5299" t="s">
        <v>24</v>
      </c>
      <c r="F5299" t="s">
        <v>40</v>
      </c>
      <c r="G5299" t="s">
        <v>8</v>
      </c>
      <c r="H5299">
        <v>1906.19</v>
      </c>
    </row>
    <row r="5300" spans="1:8" x14ac:dyDescent="0.3">
      <c r="A5300">
        <v>202407</v>
      </c>
      <c r="B5300" s="1">
        <v>45474</v>
      </c>
      <c r="C5300">
        <v>2024</v>
      </c>
      <c r="D5300" t="s">
        <v>14</v>
      </c>
      <c r="E5300" t="s">
        <v>24</v>
      </c>
      <c r="F5300" t="s">
        <v>40</v>
      </c>
      <c r="G5300" t="s">
        <v>8</v>
      </c>
      <c r="H5300">
        <v>3956.64</v>
      </c>
    </row>
    <row r="5301" spans="1:8" x14ac:dyDescent="0.3">
      <c r="A5301">
        <v>202408</v>
      </c>
      <c r="B5301" s="1">
        <v>45505</v>
      </c>
      <c r="C5301">
        <v>2024</v>
      </c>
      <c r="D5301" t="s">
        <v>15</v>
      </c>
      <c r="E5301" t="s">
        <v>24</v>
      </c>
      <c r="F5301" t="s">
        <v>40</v>
      </c>
      <c r="G5301" t="s">
        <v>8</v>
      </c>
      <c r="H5301">
        <v>3076.87</v>
      </c>
    </row>
    <row r="5302" spans="1:8" x14ac:dyDescent="0.3">
      <c r="A5302">
        <v>202409</v>
      </c>
      <c r="B5302" s="1">
        <v>45536</v>
      </c>
      <c r="C5302">
        <v>2024</v>
      </c>
      <c r="D5302" t="s">
        <v>16</v>
      </c>
      <c r="E5302" t="s">
        <v>24</v>
      </c>
      <c r="F5302" t="s">
        <v>40</v>
      </c>
      <c r="G5302" t="s">
        <v>8</v>
      </c>
      <c r="H5302">
        <v>2328.34</v>
      </c>
    </row>
    <row r="5303" spans="1:8" x14ac:dyDescent="0.3">
      <c r="A5303">
        <v>202410</v>
      </c>
      <c r="B5303" s="1">
        <v>45566</v>
      </c>
      <c r="C5303">
        <v>2024</v>
      </c>
      <c r="D5303" t="s">
        <v>17</v>
      </c>
      <c r="E5303" t="s">
        <v>24</v>
      </c>
      <c r="F5303" t="s">
        <v>40</v>
      </c>
      <c r="G5303" t="s">
        <v>8</v>
      </c>
      <c r="H5303">
        <v>4176.9399999999996</v>
      </c>
    </row>
    <row r="5304" spans="1:8" x14ac:dyDescent="0.3">
      <c r="A5304">
        <v>202411</v>
      </c>
      <c r="B5304" s="1">
        <v>45597</v>
      </c>
      <c r="C5304">
        <v>2024</v>
      </c>
      <c r="D5304" t="s">
        <v>18</v>
      </c>
      <c r="E5304" t="s">
        <v>24</v>
      </c>
      <c r="F5304" t="s">
        <v>40</v>
      </c>
      <c r="G5304" t="s">
        <v>8</v>
      </c>
      <c r="H5304">
        <v>3197.95</v>
      </c>
    </row>
    <row r="5305" spans="1:8" x14ac:dyDescent="0.3">
      <c r="A5305">
        <v>202412</v>
      </c>
      <c r="B5305" s="1">
        <v>45627</v>
      </c>
      <c r="C5305">
        <v>2024</v>
      </c>
      <c r="D5305" t="s">
        <v>19</v>
      </c>
      <c r="E5305" t="s">
        <v>24</v>
      </c>
      <c r="F5305" t="s">
        <v>40</v>
      </c>
      <c r="G5305" t="s">
        <v>8</v>
      </c>
      <c r="H5305">
        <v>2370.7199999999998</v>
      </c>
    </row>
    <row r="5306" spans="1:8" x14ac:dyDescent="0.3">
      <c r="A5306">
        <v>202401</v>
      </c>
      <c r="B5306" s="1">
        <v>45292</v>
      </c>
      <c r="C5306">
        <v>2024</v>
      </c>
      <c r="D5306" t="s">
        <v>6</v>
      </c>
      <c r="E5306" t="s">
        <v>24</v>
      </c>
      <c r="F5306" t="s">
        <v>40</v>
      </c>
      <c r="G5306" t="s">
        <v>8</v>
      </c>
      <c r="H5306">
        <v>111.01</v>
      </c>
    </row>
    <row r="5307" spans="1:8" x14ac:dyDescent="0.3">
      <c r="A5307">
        <v>202402</v>
      </c>
      <c r="B5307" s="1">
        <v>45323</v>
      </c>
      <c r="C5307">
        <v>2024</v>
      </c>
      <c r="D5307" t="s">
        <v>9</v>
      </c>
      <c r="E5307" t="s">
        <v>24</v>
      </c>
      <c r="F5307" t="s">
        <v>40</v>
      </c>
      <c r="G5307" t="s">
        <v>8</v>
      </c>
      <c r="H5307">
        <v>66.209999999999994</v>
      </c>
    </row>
    <row r="5308" spans="1:8" x14ac:dyDescent="0.3">
      <c r="A5308">
        <v>202403</v>
      </c>
      <c r="B5308" s="1">
        <v>45352</v>
      </c>
      <c r="C5308">
        <v>2024</v>
      </c>
      <c r="D5308" t="s">
        <v>10</v>
      </c>
      <c r="E5308" t="s">
        <v>24</v>
      </c>
      <c r="F5308" t="s">
        <v>40</v>
      </c>
      <c r="G5308" t="s">
        <v>8</v>
      </c>
      <c r="H5308">
        <v>65.61</v>
      </c>
    </row>
    <row r="5309" spans="1:8" x14ac:dyDescent="0.3">
      <c r="A5309">
        <v>202404</v>
      </c>
      <c r="B5309" s="1">
        <v>45383</v>
      </c>
      <c r="C5309">
        <v>2024</v>
      </c>
      <c r="D5309" t="s">
        <v>11</v>
      </c>
      <c r="E5309" t="s">
        <v>24</v>
      </c>
      <c r="F5309" t="s">
        <v>40</v>
      </c>
      <c r="G5309" t="s">
        <v>8</v>
      </c>
      <c r="H5309">
        <v>123.13</v>
      </c>
    </row>
    <row r="5310" spans="1:8" x14ac:dyDescent="0.3">
      <c r="A5310">
        <v>202405</v>
      </c>
      <c r="B5310" s="1">
        <v>45413</v>
      </c>
      <c r="C5310">
        <v>2024</v>
      </c>
      <c r="D5310" t="s">
        <v>12</v>
      </c>
      <c r="E5310" t="s">
        <v>24</v>
      </c>
      <c r="F5310" t="s">
        <v>40</v>
      </c>
      <c r="G5310" t="s">
        <v>8</v>
      </c>
      <c r="H5310">
        <v>94.65</v>
      </c>
    </row>
    <row r="5311" spans="1:8" x14ac:dyDescent="0.3">
      <c r="A5311">
        <v>202406</v>
      </c>
      <c r="B5311" s="1">
        <v>45444</v>
      </c>
      <c r="C5311">
        <v>2024</v>
      </c>
      <c r="D5311" t="s">
        <v>13</v>
      </c>
      <c r="E5311" t="s">
        <v>24</v>
      </c>
      <c r="F5311" t="s">
        <v>40</v>
      </c>
      <c r="G5311" t="s">
        <v>8</v>
      </c>
      <c r="H5311">
        <v>92.84</v>
      </c>
    </row>
    <row r="5312" spans="1:8" x14ac:dyDescent="0.3">
      <c r="A5312">
        <v>202407</v>
      </c>
      <c r="B5312" s="1">
        <v>45474</v>
      </c>
      <c r="C5312">
        <v>2024</v>
      </c>
      <c r="D5312" t="s">
        <v>14</v>
      </c>
      <c r="E5312" t="s">
        <v>24</v>
      </c>
      <c r="F5312" t="s">
        <v>40</v>
      </c>
      <c r="G5312" t="s">
        <v>8</v>
      </c>
      <c r="H5312">
        <v>160.53</v>
      </c>
    </row>
    <row r="5313" spans="1:8" x14ac:dyDescent="0.3">
      <c r="A5313">
        <v>202408</v>
      </c>
      <c r="B5313" s="1">
        <v>45505</v>
      </c>
      <c r="C5313">
        <v>2024</v>
      </c>
      <c r="D5313" t="s">
        <v>15</v>
      </c>
      <c r="E5313" t="s">
        <v>24</v>
      </c>
      <c r="F5313" t="s">
        <v>40</v>
      </c>
      <c r="G5313" t="s">
        <v>8</v>
      </c>
      <c r="H5313">
        <v>125.78</v>
      </c>
    </row>
    <row r="5314" spans="1:8" x14ac:dyDescent="0.3">
      <c r="A5314">
        <v>202409</v>
      </c>
      <c r="B5314" s="1">
        <v>45536</v>
      </c>
      <c r="C5314">
        <v>2024</v>
      </c>
      <c r="D5314" t="s">
        <v>16</v>
      </c>
      <c r="E5314" t="s">
        <v>24</v>
      </c>
      <c r="F5314" t="s">
        <v>40</v>
      </c>
      <c r="G5314" t="s">
        <v>8</v>
      </c>
      <c r="H5314">
        <v>107.17</v>
      </c>
    </row>
    <row r="5315" spans="1:8" x14ac:dyDescent="0.3">
      <c r="A5315">
        <v>202410</v>
      </c>
      <c r="B5315" s="1">
        <v>45566</v>
      </c>
      <c r="C5315">
        <v>2024</v>
      </c>
      <c r="D5315" t="s">
        <v>17</v>
      </c>
      <c r="E5315" t="s">
        <v>24</v>
      </c>
      <c r="F5315" t="s">
        <v>40</v>
      </c>
      <c r="G5315" t="s">
        <v>8</v>
      </c>
      <c r="H5315">
        <v>123.37</v>
      </c>
    </row>
    <row r="5316" spans="1:8" x14ac:dyDescent="0.3">
      <c r="A5316">
        <v>202411</v>
      </c>
      <c r="B5316" s="1">
        <v>45597</v>
      </c>
      <c r="C5316">
        <v>2024</v>
      </c>
      <c r="D5316" t="s">
        <v>18</v>
      </c>
      <c r="E5316" t="s">
        <v>24</v>
      </c>
      <c r="F5316" t="s">
        <v>40</v>
      </c>
      <c r="G5316" t="s">
        <v>8</v>
      </c>
      <c r="H5316">
        <v>92.33</v>
      </c>
    </row>
    <row r="5317" spans="1:8" x14ac:dyDescent="0.3">
      <c r="A5317">
        <v>202412</v>
      </c>
      <c r="B5317" s="1">
        <v>45627</v>
      </c>
      <c r="C5317">
        <v>2024</v>
      </c>
      <c r="D5317" t="s">
        <v>19</v>
      </c>
      <c r="E5317" t="s">
        <v>24</v>
      </c>
      <c r="F5317" t="s">
        <v>40</v>
      </c>
      <c r="G5317" t="s">
        <v>8</v>
      </c>
      <c r="H5317">
        <v>107.74</v>
      </c>
    </row>
    <row r="5318" spans="1:8" x14ac:dyDescent="0.3">
      <c r="A5318">
        <v>202401</v>
      </c>
      <c r="B5318" s="1">
        <v>45292</v>
      </c>
      <c r="C5318">
        <v>2024</v>
      </c>
      <c r="D5318" t="s">
        <v>6</v>
      </c>
      <c r="E5318" t="s">
        <v>24</v>
      </c>
      <c r="F5318" t="s">
        <v>40</v>
      </c>
      <c r="G5318" t="s">
        <v>8</v>
      </c>
      <c r="H5318">
        <v>985.24</v>
      </c>
    </row>
    <row r="5319" spans="1:8" x14ac:dyDescent="0.3">
      <c r="A5319">
        <v>202402</v>
      </c>
      <c r="B5319" s="1">
        <v>45323</v>
      </c>
      <c r="C5319">
        <v>2024</v>
      </c>
      <c r="D5319" t="s">
        <v>9</v>
      </c>
      <c r="E5319" t="s">
        <v>24</v>
      </c>
      <c r="F5319" t="s">
        <v>40</v>
      </c>
      <c r="G5319" t="s">
        <v>8</v>
      </c>
      <c r="H5319">
        <v>423.52</v>
      </c>
    </row>
    <row r="5320" spans="1:8" x14ac:dyDescent="0.3">
      <c r="A5320">
        <v>202403</v>
      </c>
      <c r="B5320" s="1">
        <v>45352</v>
      </c>
      <c r="C5320">
        <v>2024</v>
      </c>
      <c r="D5320" t="s">
        <v>10</v>
      </c>
      <c r="E5320" t="s">
        <v>24</v>
      </c>
      <c r="F5320" t="s">
        <v>40</v>
      </c>
      <c r="G5320" t="s">
        <v>8</v>
      </c>
      <c r="H5320">
        <v>460.44</v>
      </c>
    </row>
    <row r="5321" spans="1:8" x14ac:dyDescent="0.3">
      <c r="A5321">
        <v>202404</v>
      </c>
      <c r="B5321" s="1">
        <v>45383</v>
      </c>
      <c r="C5321">
        <v>2024</v>
      </c>
      <c r="D5321" t="s">
        <v>11</v>
      </c>
      <c r="E5321" t="s">
        <v>24</v>
      </c>
      <c r="F5321" t="s">
        <v>40</v>
      </c>
      <c r="G5321" t="s">
        <v>8</v>
      </c>
      <c r="H5321">
        <v>1189.78</v>
      </c>
    </row>
    <row r="5322" spans="1:8" x14ac:dyDescent="0.3">
      <c r="A5322">
        <v>202405</v>
      </c>
      <c r="B5322" s="1">
        <v>45413</v>
      </c>
      <c r="C5322">
        <v>2024</v>
      </c>
      <c r="D5322" t="s">
        <v>12</v>
      </c>
      <c r="E5322" t="s">
        <v>24</v>
      </c>
      <c r="F5322" t="s">
        <v>40</v>
      </c>
      <c r="G5322" t="s">
        <v>8</v>
      </c>
      <c r="H5322">
        <v>600.11</v>
      </c>
    </row>
    <row r="5323" spans="1:8" x14ac:dyDescent="0.3">
      <c r="A5323">
        <v>202406</v>
      </c>
      <c r="B5323" s="1">
        <v>45444</v>
      </c>
      <c r="C5323">
        <v>2024</v>
      </c>
      <c r="D5323" t="s">
        <v>13</v>
      </c>
      <c r="E5323" t="s">
        <v>24</v>
      </c>
      <c r="F5323" t="s">
        <v>40</v>
      </c>
      <c r="G5323" t="s">
        <v>8</v>
      </c>
      <c r="H5323">
        <v>460.18</v>
      </c>
    </row>
    <row r="5324" spans="1:8" x14ac:dyDescent="0.3">
      <c r="A5324">
        <v>202407</v>
      </c>
      <c r="B5324" s="1">
        <v>45474</v>
      </c>
      <c r="C5324">
        <v>2024</v>
      </c>
      <c r="D5324" t="s">
        <v>14</v>
      </c>
      <c r="E5324" t="s">
        <v>24</v>
      </c>
      <c r="F5324" t="s">
        <v>40</v>
      </c>
      <c r="G5324" t="s">
        <v>8</v>
      </c>
      <c r="H5324">
        <v>999.28</v>
      </c>
    </row>
    <row r="5325" spans="1:8" x14ac:dyDescent="0.3">
      <c r="A5325">
        <v>202408</v>
      </c>
      <c r="B5325" s="1">
        <v>45505</v>
      </c>
      <c r="C5325">
        <v>2024</v>
      </c>
      <c r="D5325" t="s">
        <v>15</v>
      </c>
      <c r="E5325" t="s">
        <v>24</v>
      </c>
      <c r="F5325" t="s">
        <v>40</v>
      </c>
      <c r="G5325" t="s">
        <v>8</v>
      </c>
      <c r="H5325">
        <v>672.89</v>
      </c>
    </row>
    <row r="5326" spans="1:8" x14ac:dyDescent="0.3">
      <c r="A5326">
        <v>202409</v>
      </c>
      <c r="B5326" s="1">
        <v>45536</v>
      </c>
      <c r="C5326">
        <v>2024</v>
      </c>
      <c r="D5326" t="s">
        <v>16</v>
      </c>
      <c r="E5326" t="s">
        <v>24</v>
      </c>
      <c r="F5326" t="s">
        <v>40</v>
      </c>
      <c r="G5326" t="s">
        <v>8</v>
      </c>
      <c r="H5326">
        <v>518.12</v>
      </c>
    </row>
    <row r="5327" spans="1:8" x14ac:dyDescent="0.3">
      <c r="A5327">
        <v>202410</v>
      </c>
      <c r="B5327" s="1">
        <v>45566</v>
      </c>
      <c r="C5327">
        <v>2024</v>
      </c>
      <c r="D5327" t="s">
        <v>17</v>
      </c>
      <c r="E5327" t="s">
        <v>24</v>
      </c>
      <c r="F5327" t="s">
        <v>40</v>
      </c>
      <c r="G5327" t="s">
        <v>8</v>
      </c>
      <c r="H5327">
        <v>1097.26</v>
      </c>
    </row>
    <row r="5328" spans="1:8" x14ac:dyDescent="0.3">
      <c r="A5328">
        <v>202411</v>
      </c>
      <c r="B5328" s="1">
        <v>45597</v>
      </c>
      <c r="C5328">
        <v>2024</v>
      </c>
      <c r="D5328" t="s">
        <v>18</v>
      </c>
      <c r="E5328" t="s">
        <v>24</v>
      </c>
      <c r="F5328" t="s">
        <v>40</v>
      </c>
      <c r="G5328" t="s">
        <v>8</v>
      </c>
      <c r="H5328">
        <v>644.74</v>
      </c>
    </row>
    <row r="5329" spans="1:8" x14ac:dyDescent="0.3">
      <c r="A5329">
        <v>202412</v>
      </c>
      <c r="B5329" s="1">
        <v>45627</v>
      </c>
      <c r="C5329">
        <v>2024</v>
      </c>
      <c r="D5329" t="s">
        <v>19</v>
      </c>
      <c r="E5329" t="s">
        <v>24</v>
      </c>
      <c r="F5329" t="s">
        <v>40</v>
      </c>
      <c r="G5329" t="s">
        <v>8</v>
      </c>
      <c r="H5329">
        <v>641.82000000000005</v>
      </c>
    </row>
    <row r="5330" spans="1:8" x14ac:dyDescent="0.3">
      <c r="A5330">
        <v>202401</v>
      </c>
      <c r="B5330" s="1">
        <v>45292</v>
      </c>
      <c r="C5330">
        <v>2024</v>
      </c>
      <c r="D5330" t="s">
        <v>6</v>
      </c>
      <c r="E5330" t="s">
        <v>24</v>
      </c>
      <c r="F5330" t="s">
        <v>40</v>
      </c>
      <c r="G5330" t="s">
        <v>8</v>
      </c>
      <c r="H5330">
        <v>710.19</v>
      </c>
    </row>
    <row r="5331" spans="1:8" x14ac:dyDescent="0.3">
      <c r="A5331">
        <v>202402</v>
      </c>
      <c r="B5331" s="1">
        <v>45323</v>
      </c>
      <c r="C5331">
        <v>2024</v>
      </c>
      <c r="D5331" t="s">
        <v>9</v>
      </c>
      <c r="E5331" t="s">
        <v>24</v>
      </c>
      <c r="F5331" t="s">
        <v>40</v>
      </c>
      <c r="G5331" t="s">
        <v>8</v>
      </c>
      <c r="H5331">
        <v>375.93</v>
      </c>
    </row>
    <row r="5332" spans="1:8" x14ac:dyDescent="0.3">
      <c r="A5332">
        <v>202403</v>
      </c>
      <c r="B5332" s="1">
        <v>45352</v>
      </c>
      <c r="C5332">
        <v>2024</v>
      </c>
      <c r="D5332" t="s">
        <v>10</v>
      </c>
      <c r="E5332" t="s">
        <v>24</v>
      </c>
      <c r="F5332" t="s">
        <v>40</v>
      </c>
      <c r="G5332" t="s">
        <v>8</v>
      </c>
      <c r="H5332">
        <v>379.35</v>
      </c>
    </row>
    <row r="5333" spans="1:8" x14ac:dyDescent="0.3">
      <c r="A5333">
        <v>202404</v>
      </c>
      <c r="B5333" s="1">
        <v>45383</v>
      </c>
      <c r="C5333">
        <v>2024</v>
      </c>
      <c r="D5333" t="s">
        <v>11</v>
      </c>
      <c r="E5333" t="s">
        <v>24</v>
      </c>
      <c r="F5333" t="s">
        <v>40</v>
      </c>
      <c r="G5333" t="s">
        <v>8</v>
      </c>
      <c r="H5333">
        <v>700.31</v>
      </c>
    </row>
    <row r="5334" spans="1:8" x14ac:dyDescent="0.3">
      <c r="A5334">
        <v>202405</v>
      </c>
      <c r="B5334" s="1">
        <v>45413</v>
      </c>
      <c r="C5334">
        <v>2024</v>
      </c>
      <c r="D5334" t="s">
        <v>12</v>
      </c>
      <c r="E5334" t="s">
        <v>24</v>
      </c>
      <c r="F5334" t="s">
        <v>40</v>
      </c>
      <c r="G5334" t="s">
        <v>8</v>
      </c>
      <c r="H5334">
        <v>410.75</v>
      </c>
    </row>
    <row r="5335" spans="1:8" x14ac:dyDescent="0.3">
      <c r="A5335">
        <v>202406</v>
      </c>
      <c r="B5335" s="1">
        <v>45444</v>
      </c>
      <c r="C5335">
        <v>2024</v>
      </c>
      <c r="D5335" t="s">
        <v>13</v>
      </c>
      <c r="E5335" t="s">
        <v>24</v>
      </c>
      <c r="F5335" t="s">
        <v>40</v>
      </c>
      <c r="G5335" t="s">
        <v>8</v>
      </c>
      <c r="H5335">
        <v>493.25</v>
      </c>
    </row>
    <row r="5336" spans="1:8" x14ac:dyDescent="0.3">
      <c r="A5336">
        <v>202407</v>
      </c>
      <c r="B5336" s="1">
        <v>45474</v>
      </c>
      <c r="C5336">
        <v>2024</v>
      </c>
      <c r="D5336" t="s">
        <v>14</v>
      </c>
      <c r="E5336" t="s">
        <v>24</v>
      </c>
      <c r="F5336" t="s">
        <v>40</v>
      </c>
      <c r="G5336" t="s">
        <v>8</v>
      </c>
      <c r="H5336">
        <v>686.48</v>
      </c>
    </row>
    <row r="5337" spans="1:8" x14ac:dyDescent="0.3">
      <c r="A5337">
        <v>202408</v>
      </c>
      <c r="B5337" s="1">
        <v>45505</v>
      </c>
      <c r="C5337">
        <v>2024</v>
      </c>
      <c r="D5337" t="s">
        <v>15</v>
      </c>
      <c r="E5337" t="s">
        <v>24</v>
      </c>
      <c r="F5337" t="s">
        <v>40</v>
      </c>
      <c r="G5337" t="s">
        <v>8</v>
      </c>
      <c r="H5337">
        <v>562.80999999999995</v>
      </c>
    </row>
    <row r="5338" spans="1:8" x14ac:dyDescent="0.3">
      <c r="A5338">
        <v>202409</v>
      </c>
      <c r="B5338" s="1">
        <v>45536</v>
      </c>
      <c r="C5338">
        <v>2024</v>
      </c>
      <c r="D5338" t="s">
        <v>16</v>
      </c>
      <c r="E5338" t="s">
        <v>24</v>
      </c>
      <c r="F5338" t="s">
        <v>40</v>
      </c>
      <c r="G5338" t="s">
        <v>8</v>
      </c>
      <c r="H5338">
        <v>466.37</v>
      </c>
    </row>
    <row r="5339" spans="1:8" x14ac:dyDescent="0.3">
      <c r="A5339">
        <v>202410</v>
      </c>
      <c r="B5339" s="1">
        <v>45566</v>
      </c>
      <c r="C5339">
        <v>2024</v>
      </c>
      <c r="D5339" t="s">
        <v>17</v>
      </c>
      <c r="E5339" t="s">
        <v>24</v>
      </c>
      <c r="F5339" t="s">
        <v>40</v>
      </c>
      <c r="G5339" t="s">
        <v>8</v>
      </c>
      <c r="H5339">
        <v>706.66</v>
      </c>
    </row>
    <row r="5340" spans="1:8" x14ac:dyDescent="0.3">
      <c r="A5340">
        <v>202411</v>
      </c>
      <c r="B5340" s="1">
        <v>45597</v>
      </c>
      <c r="C5340">
        <v>2024</v>
      </c>
      <c r="D5340" t="s">
        <v>18</v>
      </c>
      <c r="E5340" t="s">
        <v>24</v>
      </c>
      <c r="F5340" t="s">
        <v>40</v>
      </c>
      <c r="G5340" t="s">
        <v>8</v>
      </c>
      <c r="H5340">
        <v>574.26</v>
      </c>
    </row>
    <row r="5341" spans="1:8" x14ac:dyDescent="0.3">
      <c r="A5341">
        <v>202412</v>
      </c>
      <c r="B5341" s="1">
        <v>45627</v>
      </c>
      <c r="C5341">
        <v>2024</v>
      </c>
      <c r="D5341" t="s">
        <v>19</v>
      </c>
      <c r="E5341" t="s">
        <v>24</v>
      </c>
      <c r="F5341" t="s">
        <v>40</v>
      </c>
      <c r="G5341" t="s">
        <v>8</v>
      </c>
      <c r="H5341">
        <v>561.20000000000005</v>
      </c>
    </row>
    <row r="5342" spans="1:8" x14ac:dyDescent="0.3">
      <c r="A5342">
        <v>202401</v>
      </c>
      <c r="B5342" s="1">
        <v>45292</v>
      </c>
      <c r="C5342">
        <v>2024</v>
      </c>
      <c r="D5342" t="s">
        <v>6</v>
      </c>
      <c r="E5342" t="s">
        <v>25</v>
      </c>
      <c r="F5342" t="s">
        <v>40</v>
      </c>
      <c r="G5342" t="s">
        <v>8</v>
      </c>
      <c r="H5342">
        <v>75.84</v>
      </c>
    </row>
    <row r="5343" spans="1:8" x14ac:dyDescent="0.3">
      <c r="A5343">
        <v>202402</v>
      </c>
      <c r="B5343" s="1">
        <v>45323</v>
      </c>
      <c r="C5343">
        <v>2024</v>
      </c>
      <c r="D5343" t="s">
        <v>9</v>
      </c>
      <c r="E5343" t="s">
        <v>25</v>
      </c>
      <c r="F5343" t="s">
        <v>40</v>
      </c>
      <c r="G5343" t="s">
        <v>8</v>
      </c>
      <c r="H5343">
        <v>23.57</v>
      </c>
    </row>
    <row r="5344" spans="1:8" x14ac:dyDescent="0.3">
      <c r="A5344">
        <v>202403</v>
      </c>
      <c r="B5344" s="1">
        <v>45352</v>
      </c>
      <c r="C5344">
        <v>2024</v>
      </c>
      <c r="D5344" t="s">
        <v>10</v>
      </c>
      <c r="E5344" t="s">
        <v>25</v>
      </c>
      <c r="F5344" t="s">
        <v>40</v>
      </c>
      <c r="G5344" t="s">
        <v>8</v>
      </c>
      <c r="H5344">
        <v>30.54</v>
      </c>
    </row>
    <row r="5345" spans="1:8" x14ac:dyDescent="0.3">
      <c r="A5345">
        <v>202404</v>
      </c>
      <c r="B5345" s="1">
        <v>45383</v>
      </c>
      <c r="C5345">
        <v>2024</v>
      </c>
      <c r="D5345" t="s">
        <v>11</v>
      </c>
      <c r="E5345" t="s">
        <v>25</v>
      </c>
      <c r="F5345" t="s">
        <v>40</v>
      </c>
      <c r="G5345" t="s">
        <v>8</v>
      </c>
      <c r="H5345">
        <v>65.739999999999995</v>
      </c>
    </row>
    <row r="5346" spans="1:8" x14ac:dyDescent="0.3">
      <c r="A5346">
        <v>202405</v>
      </c>
      <c r="B5346" s="1">
        <v>45413</v>
      </c>
      <c r="C5346">
        <v>2024</v>
      </c>
      <c r="D5346" t="s">
        <v>12</v>
      </c>
      <c r="E5346" t="s">
        <v>25</v>
      </c>
      <c r="F5346" t="s">
        <v>40</v>
      </c>
      <c r="G5346" t="s">
        <v>8</v>
      </c>
      <c r="H5346">
        <v>60.69</v>
      </c>
    </row>
    <row r="5347" spans="1:8" x14ac:dyDescent="0.3">
      <c r="A5347">
        <v>202406</v>
      </c>
      <c r="B5347" s="1">
        <v>45444</v>
      </c>
      <c r="C5347">
        <v>2024</v>
      </c>
      <c r="D5347" t="s">
        <v>13</v>
      </c>
      <c r="E5347" t="s">
        <v>25</v>
      </c>
      <c r="F5347" t="s">
        <v>40</v>
      </c>
      <c r="G5347" t="s">
        <v>8</v>
      </c>
      <c r="H5347">
        <v>50.31</v>
      </c>
    </row>
    <row r="5348" spans="1:8" x14ac:dyDescent="0.3">
      <c r="A5348">
        <v>202407</v>
      </c>
      <c r="B5348" s="1">
        <v>45474</v>
      </c>
      <c r="C5348">
        <v>2024</v>
      </c>
      <c r="D5348" t="s">
        <v>14</v>
      </c>
      <c r="E5348" t="s">
        <v>25</v>
      </c>
      <c r="F5348" t="s">
        <v>40</v>
      </c>
      <c r="G5348" t="s">
        <v>8</v>
      </c>
      <c r="H5348">
        <v>54.34</v>
      </c>
    </row>
    <row r="5349" spans="1:8" x14ac:dyDescent="0.3">
      <c r="A5349">
        <v>202408</v>
      </c>
      <c r="B5349" s="1">
        <v>45505</v>
      </c>
      <c r="C5349">
        <v>2024</v>
      </c>
      <c r="D5349" t="s">
        <v>15</v>
      </c>
      <c r="E5349" t="s">
        <v>25</v>
      </c>
      <c r="F5349" t="s">
        <v>40</v>
      </c>
      <c r="G5349" t="s">
        <v>8</v>
      </c>
      <c r="H5349">
        <v>42.55</v>
      </c>
    </row>
    <row r="5350" spans="1:8" x14ac:dyDescent="0.3">
      <c r="A5350">
        <v>202409</v>
      </c>
      <c r="B5350" s="1">
        <v>45536</v>
      </c>
      <c r="C5350">
        <v>2024</v>
      </c>
      <c r="D5350" t="s">
        <v>16</v>
      </c>
      <c r="E5350" t="s">
        <v>25</v>
      </c>
      <c r="F5350" t="s">
        <v>40</v>
      </c>
      <c r="G5350" t="s">
        <v>8</v>
      </c>
      <c r="H5350">
        <v>38.380000000000003</v>
      </c>
    </row>
    <row r="5351" spans="1:8" x14ac:dyDescent="0.3">
      <c r="A5351">
        <v>202410</v>
      </c>
      <c r="B5351" s="1">
        <v>45566</v>
      </c>
      <c r="C5351">
        <v>2024</v>
      </c>
      <c r="D5351" t="s">
        <v>17</v>
      </c>
      <c r="E5351" t="s">
        <v>25</v>
      </c>
      <c r="F5351" t="s">
        <v>40</v>
      </c>
      <c r="G5351" t="s">
        <v>8</v>
      </c>
      <c r="H5351">
        <v>55</v>
      </c>
    </row>
    <row r="5352" spans="1:8" x14ac:dyDescent="0.3">
      <c r="A5352">
        <v>202411</v>
      </c>
      <c r="B5352" s="1">
        <v>45597</v>
      </c>
      <c r="C5352">
        <v>2024</v>
      </c>
      <c r="D5352" t="s">
        <v>18</v>
      </c>
      <c r="E5352" t="s">
        <v>25</v>
      </c>
      <c r="F5352" t="s">
        <v>40</v>
      </c>
      <c r="G5352" t="s">
        <v>8</v>
      </c>
      <c r="H5352">
        <v>48.82</v>
      </c>
    </row>
    <row r="5353" spans="1:8" x14ac:dyDescent="0.3">
      <c r="A5353">
        <v>202412</v>
      </c>
      <c r="B5353" s="1">
        <v>45627</v>
      </c>
      <c r="C5353">
        <v>2024</v>
      </c>
      <c r="D5353" t="s">
        <v>19</v>
      </c>
      <c r="E5353" t="s">
        <v>25</v>
      </c>
      <c r="F5353" t="s">
        <v>40</v>
      </c>
      <c r="G5353" t="s">
        <v>8</v>
      </c>
      <c r="H5353">
        <v>82.66</v>
      </c>
    </row>
    <row r="5354" spans="1:8" x14ac:dyDescent="0.3">
      <c r="A5354">
        <v>202401</v>
      </c>
      <c r="B5354" s="1">
        <v>45292</v>
      </c>
      <c r="C5354">
        <v>2024</v>
      </c>
      <c r="D5354" t="s">
        <v>6</v>
      </c>
      <c r="E5354" t="s">
        <v>25</v>
      </c>
      <c r="F5354" t="s">
        <v>40</v>
      </c>
      <c r="G5354" t="s">
        <v>8</v>
      </c>
      <c r="H5354">
        <v>124.34</v>
      </c>
    </row>
    <row r="5355" spans="1:8" x14ac:dyDescent="0.3">
      <c r="A5355">
        <v>202402</v>
      </c>
      <c r="B5355" s="1">
        <v>45323</v>
      </c>
      <c r="C5355">
        <v>2024</v>
      </c>
      <c r="D5355" t="s">
        <v>9</v>
      </c>
      <c r="E5355" t="s">
        <v>25</v>
      </c>
      <c r="F5355" t="s">
        <v>40</v>
      </c>
      <c r="G5355" t="s">
        <v>8</v>
      </c>
      <c r="H5355">
        <v>56.16</v>
      </c>
    </row>
    <row r="5356" spans="1:8" x14ac:dyDescent="0.3">
      <c r="A5356">
        <v>202403</v>
      </c>
      <c r="B5356" s="1">
        <v>45352</v>
      </c>
      <c r="C5356">
        <v>2024</v>
      </c>
      <c r="D5356" t="s">
        <v>10</v>
      </c>
      <c r="E5356" t="s">
        <v>25</v>
      </c>
      <c r="F5356" t="s">
        <v>40</v>
      </c>
      <c r="G5356" t="s">
        <v>8</v>
      </c>
      <c r="H5356">
        <v>60.01</v>
      </c>
    </row>
    <row r="5357" spans="1:8" x14ac:dyDescent="0.3">
      <c r="A5357">
        <v>202404</v>
      </c>
      <c r="B5357" s="1">
        <v>45383</v>
      </c>
      <c r="C5357">
        <v>2024</v>
      </c>
      <c r="D5357" t="s">
        <v>11</v>
      </c>
      <c r="E5357" t="s">
        <v>25</v>
      </c>
      <c r="F5357" t="s">
        <v>40</v>
      </c>
      <c r="G5357" t="s">
        <v>8</v>
      </c>
      <c r="H5357">
        <v>139.36000000000001</v>
      </c>
    </row>
    <row r="5358" spans="1:8" x14ac:dyDescent="0.3">
      <c r="A5358">
        <v>202405</v>
      </c>
      <c r="B5358" s="1">
        <v>45413</v>
      </c>
      <c r="C5358">
        <v>2024</v>
      </c>
      <c r="D5358" t="s">
        <v>12</v>
      </c>
      <c r="E5358" t="s">
        <v>25</v>
      </c>
      <c r="F5358" t="s">
        <v>40</v>
      </c>
      <c r="G5358" t="s">
        <v>8</v>
      </c>
      <c r="H5358">
        <v>101.5</v>
      </c>
    </row>
    <row r="5359" spans="1:8" x14ac:dyDescent="0.3">
      <c r="A5359">
        <v>202406</v>
      </c>
      <c r="B5359" s="1">
        <v>45444</v>
      </c>
      <c r="C5359">
        <v>2024</v>
      </c>
      <c r="D5359" t="s">
        <v>13</v>
      </c>
      <c r="E5359" t="s">
        <v>25</v>
      </c>
      <c r="F5359" t="s">
        <v>40</v>
      </c>
      <c r="G5359" t="s">
        <v>8</v>
      </c>
      <c r="H5359">
        <v>77.239999999999995</v>
      </c>
    </row>
    <row r="5360" spans="1:8" x14ac:dyDescent="0.3">
      <c r="A5360">
        <v>202407</v>
      </c>
      <c r="B5360" s="1">
        <v>45474</v>
      </c>
      <c r="C5360">
        <v>2024</v>
      </c>
      <c r="D5360" t="s">
        <v>14</v>
      </c>
      <c r="E5360" t="s">
        <v>25</v>
      </c>
      <c r="F5360" t="s">
        <v>40</v>
      </c>
      <c r="G5360" t="s">
        <v>8</v>
      </c>
      <c r="H5360">
        <v>127.86</v>
      </c>
    </row>
    <row r="5361" spans="1:8" x14ac:dyDescent="0.3">
      <c r="A5361">
        <v>202408</v>
      </c>
      <c r="B5361" s="1">
        <v>45505</v>
      </c>
      <c r="C5361">
        <v>2024</v>
      </c>
      <c r="D5361" t="s">
        <v>15</v>
      </c>
      <c r="E5361" t="s">
        <v>25</v>
      </c>
      <c r="F5361" t="s">
        <v>40</v>
      </c>
      <c r="G5361" t="s">
        <v>8</v>
      </c>
      <c r="H5361">
        <v>91.29</v>
      </c>
    </row>
    <row r="5362" spans="1:8" x14ac:dyDescent="0.3">
      <c r="A5362">
        <v>202409</v>
      </c>
      <c r="B5362" s="1">
        <v>45536</v>
      </c>
      <c r="C5362">
        <v>2024</v>
      </c>
      <c r="D5362" t="s">
        <v>16</v>
      </c>
      <c r="E5362" t="s">
        <v>25</v>
      </c>
      <c r="F5362" t="s">
        <v>40</v>
      </c>
      <c r="G5362" t="s">
        <v>8</v>
      </c>
      <c r="H5362">
        <v>71.59</v>
      </c>
    </row>
    <row r="5363" spans="1:8" x14ac:dyDescent="0.3">
      <c r="A5363">
        <v>202410</v>
      </c>
      <c r="B5363" s="1">
        <v>45566</v>
      </c>
      <c r="C5363">
        <v>2024</v>
      </c>
      <c r="D5363" t="s">
        <v>17</v>
      </c>
      <c r="E5363" t="s">
        <v>25</v>
      </c>
      <c r="F5363" t="s">
        <v>40</v>
      </c>
      <c r="G5363" t="s">
        <v>8</v>
      </c>
      <c r="H5363">
        <v>119.03</v>
      </c>
    </row>
    <row r="5364" spans="1:8" x14ac:dyDescent="0.3">
      <c r="A5364">
        <v>202411</v>
      </c>
      <c r="B5364" s="1">
        <v>45597</v>
      </c>
      <c r="C5364">
        <v>2024</v>
      </c>
      <c r="D5364" t="s">
        <v>18</v>
      </c>
      <c r="E5364" t="s">
        <v>25</v>
      </c>
      <c r="F5364" t="s">
        <v>40</v>
      </c>
      <c r="G5364" t="s">
        <v>8</v>
      </c>
      <c r="H5364">
        <v>75.66</v>
      </c>
    </row>
    <row r="5365" spans="1:8" x14ac:dyDescent="0.3">
      <c r="A5365">
        <v>202412</v>
      </c>
      <c r="B5365" s="1">
        <v>45627</v>
      </c>
      <c r="C5365">
        <v>2024</v>
      </c>
      <c r="D5365" t="s">
        <v>19</v>
      </c>
      <c r="E5365" t="s">
        <v>25</v>
      </c>
      <c r="F5365" t="s">
        <v>40</v>
      </c>
      <c r="G5365" t="s">
        <v>8</v>
      </c>
      <c r="H5365">
        <v>83.84</v>
      </c>
    </row>
    <row r="5366" spans="1:8" x14ac:dyDescent="0.3">
      <c r="A5366">
        <v>202401</v>
      </c>
      <c r="B5366" s="1">
        <v>45292</v>
      </c>
      <c r="C5366">
        <v>2024</v>
      </c>
      <c r="D5366" t="s">
        <v>6</v>
      </c>
      <c r="E5366" t="s">
        <v>25</v>
      </c>
      <c r="F5366" t="s">
        <v>40</v>
      </c>
      <c r="G5366" t="s">
        <v>8</v>
      </c>
      <c r="H5366">
        <v>295.60000000000002</v>
      </c>
    </row>
    <row r="5367" spans="1:8" x14ac:dyDescent="0.3">
      <c r="A5367">
        <v>202402</v>
      </c>
      <c r="B5367" s="1">
        <v>45323</v>
      </c>
      <c r="C5367">
        <v>2024</v>
      </c>
      <c r="D5367" t="s">
        <v>9</v>
      </c>
      <c r="E5367" t="s">
        <v>25</v>
      </c>
      <c r="F5367" t="s">
        <v>40</v>
      </c>
      <c r="G5367" t="s">
        <v>8</v>
      </c>
      <c r="H5367">
        <v>128.88</v>
      </c>
    </row>
    <row r="5368" spans="1:8" x14ac:dyDescent="0.3">
      <c r="A5368">
        <v>202403</v>
      </c>
      <c r="B5368" s="1">
        <v>45352</v>
      </c>
      <c r="C5368">
        <v>2024</v>
      </c>
      <c r="D5368" t="s">
        <v>10</v>
      </c>
      <c r="E5368" t="s">
        <v>25</v>
      </c>
      <c r="F5368" t="s">
        <v>40</v>
      </c>
      <c r="G5368" t="s">
        <v>8</v>
      </c>
      <c r="H5368">
        <v>147.66999999999999</v>
      </c>
    </row>
    <row r="5369" spans="1:8" x14ac:dyDescent="0.3">
      <c r="A5369">
        <v>202404</v>
      </c>
      <c r="B5369" s="1">
        <v>45383</v>
      </c>
      <c r="C5369">
        <v>2024</v>
      </c>
      <c r="D5369" t="s">
        <v>11</v>
      </c>
      <c r="E5369" t="s">
        <v>25</v>
      </c>
      <c r="F5369" t="s">
        <v>40</v>
      </c>
      <c r="G5369" t="s">
        <v>8</v>
      </c>
      <c r="H5369">
        <v>373.36</v>
      </c>
    </row>
    <row r="5370" spans="1:8" x14ac:dyDescent="0.3">
      <c r="A5370">
        <v>202405</v>
      </c>
      <c r="B5370" s="1">
        <v>45413</v>
      </c>
      <c r="C5370">
        <v>2024</v>
      </c>
      <c r="D5370" t="s">
        <v>12</v>
      </c>
      <c r="E5370" t="s">
        <v>25</v>
      </c>
      <c r="F5370" t="s">
        <v>40</v>
      </c>
      <c r="G5370" t="s">
        <v>8</v>
      </c>
      <c r="H5370">
        <v>266.74</v>
      </c>
    </row>
    <row r="5371" spans="1:8" x14ac:dyDescent="0.3">
      <c r="A5371">
        <v>202406</v>
      </c>
      <c r="B5371" s="1">
        <v>45444</v>
      </c>
      <c r="C5371">
        <v>2024</v>
      </c>
      <c r="D5371" t="s">
        <v>13</v>
      </c>
      <c r="E5371" t="s">
        <v>25</v>
      </c>
      <c r="F5371" t="s">
        <v>40</v>
      </c>
      <c r="G5371" t="s">
        <v>8</v>
      </c>
      <c r="H5371">
        <v>199.88</v>
      </c>
    </row>
    <row r="5372" spans="1:8" x14ac:dyDescent="0.3">
      <c r="A5372">
        <v>202407</v>
      </c>
      <c r="B5372" s="1">
        <v>45474</v>
      </c>
      <c r="C5372">
        <v>2024</v>
      </c>
      <c r="D5372" t="s">
        <v>14</v>
      </c>
      <c r="E5372" t="s">
        <v>25</v>
      </c>
      <c r="F5372" t="s">
        <v>40</v>
      </c>
      <c r="G5372" t="s">
        <v>8</v>
      </c>
      <c r="H5372">
        <v>314.11</v>
      </c>
    </row>
    <row r="5373" spans="1:8" x14ac:dyDescent="0.3">
      <c r="A5373">
        <v>202408</v>
      </c>
      <c r="B5373" s="1">
        <v>45505</v>
      </c>
      <c r="C5373">
        <v>2024</v>
      </c>
      <c r="D5373" t="s">
        <v>15</v>
      </c>
      <c r="E5373" t="s">
        <v>25</v>
      </c>
      <c r="F5373" t="s">
        <v>40</v>
      </c>
      <c r="G5373" t="s">
        <v>8</v>
      </c>
      <c r="H5373">
        <v>199.82</v>
      </c>
    </row>
    <row r="5374" spans="1:8" x14ac:dyDescent="0.3">
      <c r="A5374">
        <v>202409</v>
      </c>
      <c r="B5374" s="1">
        <v>45536</v>
      </c>
      <c r="C5374">
        <v>2024</v>
      </c>
      <c r="D5374" t="s">
        <v>16</v>
      </c>
      <c r="E5374" t="s">
        <v>25</v>
      </c>
      <c r="F5374" t="s">
        <v>40</v>
      </c>
      <c r="G5374" t="s">
        <v>8</v>
      </c>
      <c r="H5374">
        <v>167.03</v>
      </c>
    </row>
    <row r="5375" spans="1:8" x14ac:dyDescent="0.3">
      <c r="A5375">
        <v>202410</v>
      </c>
      <c r="B5375" s="1">
        <v>45566</v>
      </c>
      <c r="C5375">
        <v>2024</v>
      </c>
      <c r="D5375" t="s">
        <v>17</v>
      </c>
      <c r="E5375" t="s">
        <v>25</v>
      </c>
      <c r="F5375" t="s">
        <v>40</v>
      </c>
      <c r="G5375" t="s">
        <v>8</v>
      </c>
      <c r="H5375">
        <v>292.24</v>
      </c>
    </row>
    <row r="5376" spans="1:8" x14ac:dyDescent="0.3">
      <c r="A5376">
        <v>202411</v>
      </c>
      <c r="B5376" s="1">
        <v>45597</v>
      </c>
      <c r="C5376">
        <v>2024</v>
      </c>
      <c r="D5376" t="s">
        <v>18</v>
      </c>
      <c r="E5376" t="s">
        <v>25</v>
      </c>
      <c r="F5376" t="s">
        <v>40</v>
      </c>
      <c r="G5376" t="s">
        <v>8</v>
      </c>
      <c r="H5376">
        <v>208.84</v>
      </c>
    </row>
    <row r="5377" spans="1:8" x14ac:dyDescent="0.3">
      <c r="A5377">
        <v>202412</v>
      </c>
      <c r="B5377" s="1">
        <v>45627</v>
      </c>
      <c r="C5377">
        <v>2024</v>
      </c>
      <c r="D5377" t="s">
        <v>19</v>
      </c>
      <c r="E5377" t="s">
        <v>25</v>
      </c>
      <c r="F5377" t="s">
        <v>40</v>
      </c>
      <c r="G5377" t="s">
        <v>8</v>
      </c>
      <c r="H5377">
        <v>171.36</v>
      </c>
    </row>
    <row r="5378" spans="1:8" x14ac:dyDescent="0.3">
      <c r="A5378">
        <v>202401</v>
      </c>
      <c r="B5378" s="1">
        <v>45292</v>
      </c>
      <c r="C5378">
        <v>2024</v>
      </c>
      <c r="D5378" t="s">
        <v>6</v>
      </c>
      <c r="E5378" t="s">
        <v>25</v>
      </c>
      <c r="F5378" t="s">
        <v>40</v>
      </c>
      <c r="G5378" t="s">
        <v>8</v>
      </c>
      <c r="H5378">
        <v>485.02</v>
      </c>
    </row>
    <row r="5379" spans="1:8" x14ac:dyDescent="0.3">
      <c r="A5379">
        <v>202402</v>
      </c>
      <c r="B5379" s="1">
        <v>45323</v>
      </c>
      <c r="C5379">
        <v>2024</v>
      </c>
      <c r="D5379" t="s">
        <v>9</v>
      </c>
      <c r="E5379" t="s">
        <v>25</v>
      </c>
      <c r="F5379" t="s">
        <v>40</v>
      </c>
      <c r="G5379" t="s">
        <v>8</v>
      </c>
      <c r="H5379">
        <v>315.49</v>
      </c>
    </row>
    <row r="5380" spans="1:8" x14ac:dyDescent="0.3">
      <c r="A5380">
        <v>202403</v>
      </c>
      <c r="B5380" s="1">
        <v>45352</v>
      </c>
      <c r="C5380">
        <v>2024</v>
      </c>
      <c r="D5380" t="s">
        <v>10</v>
      </c>
      <c r="E5380" t="s">
        <v>25</v>
      </c>
      <c r="F5380" t="s">
        <v>40</v>
      </c>
      <c r="G5380" t="s">
        <v>8</v>
      </c>
      <c r="H5380">
        <v>273.7</v>
      </c>
    </row>
    <row r="5381" spans="1:8" x14ac:dyDescent="0.3">
      <c r="A5381">
        <v>202404</v>
      </c>
      <c r="B5381" s="1">
        <v>45383</v>
      </c>
      <c r="C5381">
        <v>2024</v>
      </c>
      <c r="D5381" t="s">
        <v>11</v>
      </c>
      <c r="E5381" t="s">
        <v>25</v>
      </c>
      <c r="F5381" t="s">
        <v>40</v>
      </c>
      <c r="G5381" t="s">
        <v>8</v>
      </c>
      <c r="H5381">
        <v>626.14</v>
      </c>
    </row>
    <row r="5382" spans="1:8" x14ac:dyDescent="0.3">
      <c r="A5382">
        <v>202405</v>
      </c>
      <c r="B5382" s="1">
        <v>45413</v>
      </c>
      <c r="C5382">
        <v>2024</v>
      </c>
      <c r="D5382" t="s">
        <v>12</v>
      </c>
      <c r="E5382" t="s">
        <v>25</v>
      </c>
      <c r="F5382" t="s">
        <v>40</v>
      </c>
      <c r="G5382" t="s">
        <v>8</v>
      </c>
      <c r="H5382">
        <v>374.94</v>
      </c>
    </row>
    <row r="5383" spans="1:8" x14ac:dyDescent="0.3">
      <c r="A5383">
        <v>202406</v>
      </c>
      <c r="B5383" s="1">
        <v>45444</v>
      </c>
      <c r="C5383">
        <v>2024</v>
      </c>
      <c r="D5383" t="s">
        <v>13</v>
      </c>
      <c r="E5383" t="s">
        <v>25</v>
      </c>
      <c r="F5383" t="s">
        <v>40</v>
      </c>
      <c r="G5383" t="s">
        <v>8</v>
      </c>
      <c r="H5383">
        <v>311.25</v>
      </c>
    </row>
    <row r="5384" spans="1:8" x14ac:dyDescent="0.3">
      <c r="A5384">
        <v>202407</v>
      </c>
      <c r="B5384" s="1">
        <v>45474</v>
      </c>
      <c r="C5384">
        <v>2024</v>
      </c>
      <c r="D5384" t="s">
        <v>14</v>
      </c>
      <c r="E5384" t="s">
        <v>25</v>
      </c>
      <c r="F5384" t="s">
        <v>40</v>
      </c>
      <c r="G5384" t="s">
        <v>8</v>
      </c>
      <c r="H5384">
        <v>530.32000000000005</v>
      </c>
    </row>
    <row r="5385" spans="1:8" x14ac:dyDescent="0.3">
      <c r="A5385">
        <v>202408</v>
      </c>
      <c r="B5385" s="1">
        <v>45505</v>
      </c>
      <c r="C5385">
        <v>2024</v>
      </c>
      <c r="D5385" t="s">
        <v>15</v>
      </c>
      <c r="E5385" t="s">
        <v>25</v>
      </c>
      <c r="F5385" t="s">
        <v>40</v>
      </c>
      <c r="G5385" t="s">
        <v>8</v>
      </c>
      <c r="H5385">
        <v>333.96</v>
      </c>
    </row>
    <row r="5386" spans="1:8" x14ac:dyDescent="0.3">
      <c r="A5386">
        <v>202409</v>
      </c>
      <c r="B5386" s="1">
        <v>45536</v>
      </c>
      <c r="C5386">
        <v>2024</v>
      </c>
      <c r="D5386" t="s">
        <v>16</v>
      </c>
      <c r="E5386" t="s">
        <v>25</v>
      </c>
      <c r="F5386" t="s">
        <v>40</v>
      </c>
      <c r="G5386" t="s">
        <v>8</v>
      </c>
      <c r="H5386">
        <v>294.62</v>
      </c>
    </row>
    <row r="5387" spans="1:8" x14ac:dyDescent="0.3">
      <c r="A5387">
        <v>202410</v>
      </c>
      <c r="B5387" s="1">
        <v>45566</v>
      </c>
      <c r="C5387">
        <v>2024</v>
      </c>
      <c r="D5387" t="s">
        <v>17</v>
      </c>
      <c r="E5387" t="s">
        <v>25</v>
      </c>
      <c r="F5387" t="s">
        <v>40</v>
      </c>
      <c r="G5387" t="s">
        <v>8</v>
      </c>
      <c r="H5387">
        <v>471.4</v>
      </c>
    </row>
    <row r="5388" spans="1:8" x14ac:dyDescent="0.3">
      <c r="A5388">
        <v>202411</v>
      </c>
      <c r="B5388" s="1">
        <v>45597</v>
      </c>
      <c r="C5388">
        <v>2024</v>
      </c>
      <c r="D5388" t="s">
        <v>18</v>
      </c>
      <c r="E5388" t="s">
        <v>25</v>
      </c>
      <c r="F5388" t="s">
        <v>40</v>
      </c>
      <c r="G5388" t="s">
        <v>8</v>
      </c>
      <c r="H5388">
        <v>343.94</v>
      </c>
    </row>
    <row r="5389" spans="1:8" x14ac:dyDescent="0.3">
      <c r="A5389">
        <v>202412</v>
      </c>
      <c r="B5389" s="1">
        <v>45627</v>
      </c>
      <c r="C5389">
        <v>2024</v>
      </c>
      <c r="D5389" t="s">
        <v>19</v>
      </c>
      <c r="E5389" t="s">
        <v>25</v>
      </c>
      <c r="F5389" t="s">
        <v>40</v>
      </c>
      <c r="G5389" t="s">
        <v>8</v>
      </c>
      <c r="H5389">
        <v>301.74</v>
      </c>
    </row>
    <row r="5390" spans="1:8" x14ac:dyDescent="0.3">
      <c r="A5390">
        <v>202401</v>
      </c>
      <c r="B5390" s="1">
        <v>45292</v>
      </c>
      <c r="C5390">
        <v>2024</v>
      </c>
      <c r="D5390" t="s">
        <v>6</v>
      </c>
      <c r="E5390" t="s">
        <v>25</v>
      </c>
      <c r="F5390" t="s">
        <v>40</v>
      </c>
      <c r="G5390" t="s">
        <v>8</v>
      </c>
      <c r="H5390">
        <v>160.79</v>
      </c>
    </row>
    <row r="5391" spans="1:8" x14ac:dyDescent="0.3">
      <c r="A5391">
        <v>202402</v>
      </c>
      <c r="B5391" s="1">
        <v>45323</v>
      </c>
      <c r="C5391">
        <v>2024</v>
      </c>
      <c r="D5391" t="s">
        <v>9</v>
      </c>
      <c r="E5391" t="s">
        <v>25</v>
      </c>
      <c r="F5391" t="s">
        <v>40</v>
      </c>
      <c r="G5391" t="s">
        <v>8</v>
      </c>
      <c r="H5391">
        <v>32.86</v>
      </c>
    </row>
    <row r="5392" spans="1:8" x14ac:dyDescent="0.3">
      <c r="A5392">
        <v>202403</v>
      </c>
      <c r="B5392" s="1">
        <v>45352</v>
      </c>
      <c r="C5392">
        <v>2024</v>
      </c>
      <c r="D5392" t="s">
        <v>10</v>
      </c>
      <c r="E5392" t="s">
        <v>25</v>
      </c>
      <c r="F5392" t="s">
        <v>40</v>
      </c>
      <c r="G5392" t="s">
        <v>8</v>
      </c>
      <c r="H5392">
        <v>39.71</v>
      </c>
    </row>
    <row r="5393" spans="1:8" x14ac:dyDescent="0.3">
      <c r="A5393">
        <v>202404</v>
      </c>
      <c r="B5393" s="1">
        <v>45383</v>
      </c>
      <c r="C5393">
        <v>2024</v>
      </c>
      <c r="D5393" t="s">
        <v>11</v>
      </c>
      <c r="E5393" t="s">
        <v>25</v>
      </c>
      <c r="F5393" t="s">
        <v>40</v>
      </c>
      <c r="G5393" t="s">
        <v>8</v>
      </c>
      <c r="H5393">
        <v>116.82</v>
      </c>
    </row>
    <row r="5394" spans="1:8" x14ac:dyDescent="0.3">
      <c r="A5394">
        <v>202405</v>
      </c>
      <c r="B5394" s="1">
        <v>45413</v>
      </c>
      <c r="C5394">
        <v>2024</v>
      </c>
      <c r="D5394" t="s">
        <v>12</v>
      </c>
      <c r="E5394" t="s">
        <v>25</v>
      </c>
      <c r="F5394" t="s">
        <v>40</v>
      </c>
      <c r="G5394" t="s">
        <v>8</v>
      </c>
      <c r="H5394">
        <v>45.54</v>
      </c>
    </row>
    <row r="5395" spans="1:8" x14ac:dyDescent="0.3">
      <c r="A5395">
        <v>202406</v>
      </c>
      <c r="B5395" s="1">
        <v>45444</v>
      </c>
      <c r="C5395">
        <v>2024</v>
      </c>
      <c r="D5395" t="s">
        <v>13</v>
      </c>
      <c r="E5395" t="s">
        <v>25</v>
      </c>
      <c r="F5395" t="s">
        <v>40</v>
      </c>
      <c r="G5395" t="s">
        <v>8</v>
      </c>
      <c r="H5395">
        <v>140.57</v>
      </c>
    </row>
    <row r="5396" spans="1:8" x14ac:dyDescent="0.3">
      <c r="A5396">
        <v>202407</v>
      </c>
      <c r="B5396" s="1">
        <v>45474</v>
      </c>
      <c r="C5396">
        <v>2024</v>
      </c>
      <c r="D5396" t="s">
        <v>14</v>
      </c>
      <c r="E5396" t="s">
        <v>25</v>
      </c>
      <c r="F5396" t="s">
        <v>40</v>
      </c>
      <c r="G5396" t="s">
        <v>8</v>
      </c>
      <c r="H5396">
        <v>130.52000000000001</v>
      </c>
    </row>
    <row r="5397" spans="1:8" x14ac:dyDescent="0.3">
      <c r="A5397">
        <v>202408</v>
      </c>
      <c r="B5397" s="1">
        <v>45505</v>
      </c>
      <c r="C5397">
        <v>2024</v>
      </c>
      <c r="D5397" t="s">
        <v>15</v>
      </c>
      <c r="E5397" t="s">
        <v>25</v>
      </c>
      <c r="F5397" t="s">
        <v>40</v>
      </c>
      <c r="G5397" t="s">
        <v>8</v>
      </c>
      <c r="H5397">
        <v>95.46</v>
      </c>
    </row>
    <row r="5398" spans="1:8" x14ac:dyDescent="0.3">
      <c r="A5398">
        <v>202409</v>
      </c>
      <c r="B5398" s="1">
        <v>45536</v>
      </c>
      <c r="C5398">
        <v>2024</v>
      </c>
      <c r="D5398" t="s">
        <v>16</v>
      </c>
      <c r="E5398" t="s">
        <v>25</v>
      </c>
      <c r="F5398" t="s">
        <v>40</v>
      </c>
      <c r="G5398" t="s">
        <v>8</v>
      </c>
      <c r="H5398">
        <v>94.74</v>
      </c>
    </row>
    <row r="5399" spans="1:8" x14ac:dyDescent="0.3">
      <c r="A5399">
        <v>202410</v>
      </c>
      <c r="B5399" s="1">
        <v>45566</v>
      </c>
      <c r="C5399">
        <v>2024</v>
      </c>
      <c r="D5399" t="s">
        <v>17</v>
      </c>
      <c r="E5399" t="s">
        <v>25</v>
      </c>
      <c r="F5399" t="s">
        <v>40</v>
      </c>
      <c r="G5399" t="s">
        <v>8</v>
      </c>
      <c r="H5399">
        <v>169.51</v>
      </c>
    </row>
    <row r="5400" spans="1:8" x14ac:dyDescent="0.3">
      <c r="A5400">
        <v>202411</v>
      </c>
      <c r="B5400" s="1">
        <v>45597</v>
      </c>
      <c r="C5400">
        <v>2024</v>
      </c>
      <c r="D5400" t="s">
        <v>18</v>
      </c>
      <c r="E5400" t="s">
        <v>25</v>
      </c>
      <c r="F5400" t="s">
        <v>40</v>
      </c>
      <c r="G5400" t="s">
        <v>8</v>
      </c>
      <c r="H5400">
        <v>43.02</v>
      </c>
    </row>
    <row r="5401" spans="1:8" x14ac:dyDescent="0.3">
      <c r="A5401">
        <v>202412</v>
      </c>
      <c r="B5401" s="1">
        <v>45627</v>
      </c>
      <c r="C5401">
        <v>2024</v>
      </c>
      <c r="D5401" t="s">
        <v>19</v>
      </c>
      <c r="E5401" t="s">
        <v>25</v>
      </c>
      <c r="F5401" t="s">
        <v>40</v>
      </c>
      <c r="G5401" t="s">
        <v>8</v>
      </c>
      <c r="H5401">
        <v>66.290000000000006</v>
      </c>
    </row>
    <row r="5402" spans="1:8" x14ac:dyDescent="0.3">
      <c r="A5402">
        <v>202401</v>
      </c>
      <c r="B5402" s="1">
        <v>45292</v>
      </c>
      <c r="C5402">
        <v>2024</v>
      </c>
      <c r="D5402" t="s">
        <v>6</v>
      </c>
      <c r="E5402" t="s">
        <v>26</v>
      </c>
      <c r="F5402" t="s">
        <v>40</v>
      </c>
      <c r="G5402" t="s">
        <v>8</v>
      </c>
      <c r="H5402">
        <v>657.59</v>
      </c>
    </row>
    <row r="5403" spans="1:8" x14ac:dyDescent="0.3">
      <c r="A5403">
        <v>202402</v>
      </c>
      <c r="B5403" s="1">
        <v>45323</v>
      </c>
      <c r="C5403">
        <v>2024</v>
      </c>
      <c r="D5403" t="s">
        <v>9</v>
      </c>
      <c r="E5403" t="s">
        <v>26</v>
      </c>
      <c r="F5403" t="s">
        <v>40</v>
      </c>
      <c r="G5403" t="s">
        <v>8</v>
      </c>
      <c r="H5403">
        <v>321.38</v>
      </c>
    </row>
    <row r="5404" spans="1:8" x14ac:dyDescent="0.3">
      <c r="A5404">
        <v>202403</v>
      </c>
      <c r="B5404" s="1">
        <v>45352</v>
      </c>
      <c r="C5404">
        <v>2024</v>
      </c>
      <c r="D5404" t="s">
        <v>10</v>
      </c>
      <c r="E5404" t="s">
        <v>26</v>
      </c>
      <c r="F5404" t="s">
        <v>40</v>
      </c>
      <c r="G5404" t="s">
        <v>8</v>
      </c>
      <c r="H5404">
        <v>313.35000000000002</v>
      </c>
    </row>
    <row r="5405" spans="1:8" x14ac:dyDescent="0.3">
      <c r="A5405">
        <v>202404</v>
      </c>
      <c r="B5405" s="1">
        <v>45383</v>
      </c>
      <c r="C5405">
        <v>2024</v>
      </c>
      <c r="D5405" t="s">
        <v>11</v>
      </c>
      <c r="E5405" t="s">
        <v>26</v>
      </c>
      <c r="F5405" t="s">
        <v>40</v>
      </c>
      <c r="G5405" t="s">
        <v>8</v>
      </c>
      <c r="H5405">
        <v>708.54</v>
      </c>
    </row>
    <row r="5406" spans="1:8" x14ac:dyDescent="0.3">
      <c r="A5406">
        <v>202405</v>
      </c>
      <c r="B5406" s="1">
        <v>45413</v>
      </c>
      <c r="C5406">
        <v>2024</v>
      </c>
      <c r="D5406" t="s">
        <v>12</v>
      </c>
      <c r="E5406" t="s">
        <v>26</v>
      </c>
      <c r="F5406" t="s">
        <v>40</v>
      </c>
      <c r="G5406" t="s">
        <v>8</v>
      </c>
      <c r="H5406">
        <v>468.78</v>
      </c>
    </row>
    <row r="5407" spans="1:8" x14ac:dyDescent="0.3">
      <c r="A5407">
        <v>202406</v>
      </c>
      <c r="B5407" s="1">
        <v>45444</v>
      </c>
      <c r="C5407">
        <v>2024</v>
      </c>
      <c r="D5407" t="s">
        <v>13</v>
      </c>
      <c r="E5407" t="s">
        <v>26</v>
      </c>
      <c r="F5407" t="s">
        <v>40</v>
      </c>
      <c r="G5407" t="s">
        <v>8</v>
      </c>
      <c r="H5407">
        <v>477.65</v>
      </c>
    </row>
    <row r="5408" spans="1:8" x14ac:dyDescent="0.3">
      <c r="A5408">
        <v>202407</v>
      </c>
      <c r="B5408" s="1">
        <v>45474</v>
      </c>
      <c r="C5408">
        <v>2024</v>
      </c>
      <c r="D5408" t="s">
        <v>14</v>
      </c>
      <c r="E5408" t="s">
        <v>26</v>
      </c>
      <c r="F5408" t="s">
        <v>40</v>
      </c>
      <c r="G5408" t="s">
        <v>8</v>
      </c>
      <c r="H5408">
        <v>723.41</v>
      </c>
    </row>
    <row r="5409" spans="1:8" x14ac:dyDescent="0.3">
      <c r="A5409">
        <v>202408</v>
      </c>
      <c r="B5409" s="1">
        <v>45505</v>
      </c>
      <c r="C5409">
        <v>2024</v>
      </c>
      <c r="D5409" t="s">
        <v>15</v>
      </c>
      <c r="E5409" t="s">
        <v>26</v>
      </c>
      <c r="F5409" t="s">
        <v>40</v>
      </c>
      <c r="G5409" t="s">
        <v>8</v>
      </c>
      <c r="H5409">
        <v>717.83</v>
      </c>
    </row>
    <row r="5410" spans="1:8" x14ac:dyDescent="0.3">
      <c r="A5410">
        <v>202409</v>
      </c>
      <c r="B5410" s="1">
        <v>45536</v>
      </c>
      <c r="C5410">
        <v>2024</v>
      </c>
      <c r="D5410" t="s">
        <v>16</v>
      </c>
      <c r="E5410" t="s">
        <v>26</v>
      </c>
      <c r="F5410" t="s">
        <v>40</v>
      </c>
      <c r="G5410" t="s">
        <v>8</v>
      </c>
      <c r="H5410">
        <v>499.95</v>
      </c>
    </row>
    <row r="5411" spans="1:8" x14ac:dyDescent="0.3">
      <c r="A5411">
        <v>202410</v>
      </c>
      <c r="B5411" s="1">
        <v>45566</v>
      </c>
      <c r="C5411">
        <v>2024</v>
      </c>
      <c r="D5411" t="s">
        <v>17</v>
      </c>
      <c r="E5411" t="s">
        <v>26</v>
      </c>
      <c r="F5411" t="s">
        <v>40</v>
      </c>
      <c r="G5411" t="s">
        <v>8</v>
      </c>
      <c r="H5411">
        <v>901.93</v>
      </c>
    </row>
    <row r="5412" spans="1:8" x14ac:dyDescent="0.3">
      <c r="A5412">
        <v>202411</v>
      </c>
      <c r="B5412" s="1">
        <v>45597</v>
      </c>
      <c r="C5412">
        <v>2024</v>
      </c>
      <c r="D5412" t="s">
        <v>18</v>
      </c>
      <c r="E5412" t="s">
        <v>26</v>
      </c>
      <c r="F5412" t="s">
        <v>40</v>
      </c>
      <c r="G5412" t="s">
        <v>8</v>
      </c>
      <c r="H5412">
        <v>618.87</v>
      </c>
    </row>
    <row r="5413" spans="1:8" x14ac:dyDescent="0.3">
      <c r="A5413">
        <v>202412</v>
      </c>
      <c r="B5413" s="1">
        <v>45627</v>
      </c>
      <c r="C5413">
        <v>2024</v>
      </c>
      <c r="D5413" t="s">
        <v>19</v>
      </c>
      <c r="E5413" t="s">
        <v>26</v>
      </c>
      <c r="F5413" t="s">
        <v>40</v>
      </c>
      <c r="G5413" t="s">
        <v>8</v>
      </c>
      <c r="H5413">
        <v>1071.28</v>
      </c>
    </row>
    <row r="5414" spans="1:8" x14ac:dyDescent="0.3">
      <c r="A5414">
        <v>202401</v>
      </c>
      <c r="B5414" s="1">
        <v>45292</v>
      </c>
      <c r="C5414">
        <v>2024</v>
      </c>
      <c r="D5414" t="s">
        <v>6</v>
      </c>
      <c r="E5414" t="s">
        <v>26</v>
      </c>
      <c r="F5414" t="s">
        <v>40</v>
      </c>
      <c r="G5414" t="s">
        <v>8</v>
      </c>
      <c r="H5414">
        <v>159.63999999999999</v>
      </c>
    </row>
    <row r="5415" spans="1:8" x14ac:dyDescent="0.3">
      <c r="A5415">
        <v>202402</v>
      </c>
      <c r="B5415" s="1">
        <v>45323</v>
      </c>
      <c r="C5415">
        <v>2024</v>
      </c>
      <c r="D5415" t="s">
        <v>9</v>
      </c>
      <c r="E5415" t="s">
        <v>26</v>
      </c>
      <c r="F5415" t="s">
        <v>40</v>
      </c>
      <c r="G5415" t="s">
        <v>8</v>
      </c>
      <c r="H5415">
        <v>80.41</v>
      </c>
    </row>
    <row r="5416" spans="1:8" x14ac:dyDescent="0.3">
      <c r="A5416">
        <v>202403</v>
      </c>
      <c r="B5416" s="1">
        <v>45352</v>
      </c>
      <c r="C5416">
        <v>2024</v>
      </c>
      <c r="D5416" t="s">
        <v>10</v>
      </c>
      <c r="E5416" t="s">
        <v>26</v>
      </c>
      <c r="F5416" t="s">
        <v>40</v>
      </c>
      <c r="G5416" t="s">
        <v>8</v>
      </c>
      <c r="H5416">
        <v>76.13</v>
      </c>
    </row>
    <row r="5417" spans="1:8" x14ac:dyDescent="0.3">
      <c r="A5417">
        <v>202404</v>
      </c>
      <c r="B5417" s="1">
        <v>45383</v>
      </c>
      <c r="C5417">
        <v>2024</v>
      </c>
      <c r="D5417" t="s">
        <v>11</v>
      </c>
      <c r="E5417" t="s">
        <v>26</v>
      </c>
      <c r="F5417" t="s">
        <v>40</v>
      </c>
      <c r="G5417" t="s">
        <v>8</v>
      </c>
      <c r="H5417">
        <v>156.4</v>
      </c>
    </row>
    <row r="5418" spans="1:8" x14ac:dyDescent="0.3">
      <c r="A5418">
        <v>202405</v>
      </c>
      <c r="B5418" s="1">
        <v>45413</v>
      </c>
      <c r="C5418">
        <v>2024</v>
      </c>
      <c r="D5418" t="s">
        <v>12</v>
      </c>
      <c r="E5418" t="s">
        <v>26</v>
      </c>
      <c r="F5418" t="s">
        <v>40</v>
      </c>
      <c r="G5418" t="s">
        <v>8</v>
      </c>
      <c r="H5418">
        <v>119.47</v>
      </c>
    </row>
    <row r="5419" spans="1:8" x14ac:dyDescent="0.3">
      <c r="A5419">
        <v>202406</v>
      </c>
      <c r="B5419" s="1">
        <v>45444</v>
      </c>
      <c r="C5419">
        <v>2024</v>
      </c>
      <c r="D5419" t="s">
        <v>13</v>
      </c>
      <c r="E5419" t="s">
        <v>26</v>
      </c>
      <c r="F5419" t="s">
        <v>40</v>
      </c>
      <c r="G5419" t="s">
        <v>8</v>
      </c>
      <c r="H5419">
        <v>85.9</v>
      </c>
    </row>
    <row r="5420" spans="1:8" x14ac:dyDescent="0.3">
      <c r="A5420">
        <v>202407</v>
      </c>
      <c r="B5420" s="1">
        <v>45474</v>
      </c>
      <c r="C5420">
        <v>2024</v>
      </c>
      <c r="D5420" t="s">
        <v>14</v>
      </c>
      <c r="E5420" t="s">
        <v>26</v>
      </c>
      <c r="F5420" t="s">
        <v>40</v>
      </c>
      <c r="G5420" t="s">
        <v>8</v>
      </c>
      <c r="H5420">
        <v>154.62</v>
      </c>
    </row>
    <row r="5421" spans="1:8" x14ac:dyDescent="0.3">
      <c r="A5421">
        <v>202408</v>
      </c>
      <c r="B5421" s="1">
        <v>45505</v>
      </c>
      <c r="C5421">
        <v>2024</v>
      </c>
      <c r="D5421" t="s">
        <v>15</v>
      </c>
      <c r="E5421" t="s">
        <v>26</v>
      </c>
      <c r="F5421" t="s">
        <v>40</v>
      </c>
      <c r="G5421" t="s">
        <v>8</v>
      </c>
      <c r="H5421">
        <v>107.03</v>
      </c>
    </row>
    <row r="5422" spans="1:8" x14ac:dyDescent="0.3">
      <c r="A5422">
        <v>202409</v>
      </c>
      <c r="B5422" s="1">
        <v>45536</v>
      </c>
      <c r="C5422">
        <v>2024</v>
      </c>
      <c r="D5422" t="s">
        <v>16</v>
      </c>
      <c r="E5422" t="s">
        <v>26</v>
      </c>
      <c r="F5422" t="s">
        <v>40</v>
      </c>
      <c r="G5422" t="s">
        <v>8</v>
      </c>
      <c r="H5422">
        <v>130.4</v>
      </c>
    </row>
    <row r="5423" spans="1:8" x14ac:dyDescent="0.3">
      <c r="A5423">
        <v>202410</v>
      </c>
      <c r="B5423" s="1">
        <v>45566</v>
      </c>
      <c r="C5423">
        <v>2024</v>
      </c>
      <c r="D5423" t="s">
        <v>17</v>
      </c>
      <c r="E5423" t="s">
        <v>26</v>
      </c>
      <c r="F5423" t="s">
        <v>40</v>
      </c>
      <c r="G5423" t="s">
        <v>8</v>
      </c>
      <c r="H5423">
        <v>146.12</v>
      </c>
    </row>
    <row r="5424" spans="1:8" x14ac:dyDescent="0.3">
      <c r="A5424">
        <v>202411</v>
      </c>
      <c r="B5424" s="1">
        <v>45597</v>
      </c>
      <c r="C5424">
        <v>2024</v>
      </c>
      <c r="D5424" t="s">
        <v>18</v>
      </c>
      <c r="E5424" t="s">
        <v>26</v>
      </c>
      <c r="F5424" t="s">
        <v>40</v>
      </c>
      <c r="G5424" t="s">
        <v>8</v>
      </c>
      <c r="H5424">
        <v>136.18</v>
      </c>
    </row>
    <row r="5425" spans="1:8" x14ac:dyDescent="0.3">
      <c r="A5425">
        <v>202412</v>
      </c>
      <c r="B5425" s="1">
        <v>45627</v>
      </c>
      <c r="C5425">
        <v>2024</v>
      </c>
      <c r="D5425" t="s">
        <v>19</v>
      </c>
      <c r="E5425" t="s">
        <v>26</v>
      </c>
      <c r="F5425" t="s">
        <v>40</v>
      </c>
      <c r="G5425" t="s">
        <v>8</v>
      </c>
      <c r="H5425">
        <v>148.59</v>
      </c>
    </row>
    <row r="5426" spans="1:8" x14ac:dyDescent="0.3">
      <c r="A5426">
        <v>202401</v>
      </c>
      <c r="B5426" s="1">
        <v>45292</v>
      </c>
      <c r="C5426">
        <v>2024</v>
      </c>
      <c r="D5426" t="s">
        <v>6</v>
      </c>
      <c r="E5426" t="s">
        <v>26</v>
      </c>
      <c r="F5426" t="s">
        <v>40</v>
      </c>
      <c r="G5426" t="s">
        <v>8</v>
      </c>
      <c r="H5426">
        <v>828.17</v>
      </c>
    </row>
    <row r="5427" spans="1:8" x14ac:dyDescent="0.3">
      <c r="A5427">
        <v>202402</v>
      </c>
      <c r="B5427" s="1">
        <v>45323</v>
      </c>
      <c r="C5427">
        <v>2024</v>
      </c>
      <c r="D5427" t="s">
        <v>9</v>
      </c>
      <c r="E5427" t="s">
        <v>26</v>
      </c>
      <c r="F5427" t="s">
        <v>40</v>
      </c>
      <c r="G5427" t="s">
        <v>8</v>
      </c>
      <c r="H5427">
        <v>270.83999999999997</v>
      </c>
    </row>
    <row r="5428" spans="1:8" x14ac:dyDescent="0.3">
      <c r="A5428">
        <v>202403</v>
      </c>
      <c r="B5428" s="1">
        <v>45352</v>
      </c>
      <c r="C5428">
        <v>2024</v>
      </c>
      <c r="D5428" t="s">
        <v>10</v>
      </c>
      <c r="E5428" t="s">
        <v>26</v>
      </c>
      <c r="F5428" t="s">
        <v>40</v>
      </c>
      <c r="G5428" t="s">
        <v>8</v>
      </c>
      <c r="H5428">
        <v>408.54</v>
      </c>
    </row>
    <row r="5429" spans="1:8" x14ac:dyDescent="0.3">
      <c r="A5429">
        <v>202404</v>
      </c>
      <c r="B5429" s="1">
        <v>45383</v>
      </c>
      <c r="C5429">
        <v>2024</v>
      </c>
      <c r="D5429" t="s">
        <v>11</v>
      </c>
      <c r="E5429" t="s">
        <v>26</v>
      </c>
      <c r="F5429" t="s">
        <v>40</v>
      </c>
      <c r="G5429" t="s">
        <v>8</v>
      </c>
      <c r="H5429">
        <v>826.22</v>
      </c>
    </row>
    <row r="5430" spans="1:8" x14ac:dyDescent="0.3">
      <c r="A5430">
        <v>202405</v>
      </c>
      <c r="B5430" s="1">
        <v>45413</v>
      </c>
      <c r="C5430">
        <v>2024</v>
      </c>
      <c r="D5430" t="s">
        <v>12</v>
      </c>
      <c r="E5430" t="s">
        <v>26</v>
      </c>
      <c r="F5430" t="s">
        <v>40</v>
      </c>
      <c r="G5430" t="s">
        <v>8</v>
      </c>
      <c r="H5430">
        <v>437.27</v>
      </c>
    </row>
    <row r="5431" spans="1:8" x14ac:dyDescent="0.3">
      <c r="A5431">
        <v>202406</v>
      </c>
      <c r="B5431" s="1">
        <v>45444</v>
      </c>
      <c r="C5431">
        <v>2024</v>
      </c>
      <c r="D5431" t="s">
        <v>13</v>
      </c>
      <c r="E5431" t="s">
        <v>26</v>
      </c>
      <c r="F5431" t="s">
        <v>40</v>
      </c>
      <c r="G5431" t="s">
        <v>8</v>
      </c>
      <c r="H5431">
        <v>478.52</v>
      </c>
    </row>
    <row r="5432" spans="1:8" x14ac:dyDescent="0.3">
      <c r="A5432">
        <v>202407</v>
      </c>
      <c r="B5432" s="1">
        <v>45474</v>
      </c>
      <c r="C5432">
        <v>2024</v>
      </c>
      <c r="D5432" t="s">
        <v>14</v>
      </c>
      <c r="E5432" t="s">
        <v>26</v>
      </c>
      <c r="F5432" t="s">
        <v>40</v>
      </c>
      <c r="G5432" t="s">
        <v>8</v>
      </c>
      <c r="H5432">
        <v>660.62</v>
      </c>
    </row>
    <row r="5433" spans="1:8" x14ac:dyDescent="0.3">
      <c r="A5433">
        <v>202408</v>
      </c>
      <c r="B5433" s="1">
        <v>45505</v>
      </c>
      <c r="C5433">
        <v>2024</v>
      </c>
      <c r="D5433" t="s">
        <v>15</v>
      </c>
      <c r="E5433" t="s">
        <v>26</v>
      </c>
      <c r="F5433" t="s">
        <v>40</v>
      </c>
      <c r="G5433" t="s">
        <v>8</v>
      </c>
      <c r="H5433">
        <v>516.83000000000004</v>
      </c>
    </row>
    <row r="5434" spans="1:8" x14ac:dyDescent="0.3">
      <c r="A5434">
        <v>202409</v>
      </c>
      <c r="B5434" s="1">
        <v>45536</v>
      </c>
      <c r="C5434">
        <v>2024</v>
      </c>
      <c r="D5434" t="s">
        <v>16</v>
      </c>
      <c r="E5434" t="s">
        <v>26</v>
      </c>
      <c r="F5434" t="s">
        <v>40</v>
      </c>
      <c r="G5434" t="s">
        <v>8</v>
      </c>
      <c r="H5434">
        <v>514.58000000000004</v>
      </c>
    </row>
    <row r="5435" spans="1:8" x14ac:dyDescent="0.3">
      <c r="A5435">
        <v>202410</v>
      </c>
      <c r="B5435" s="1">
        <v>45566</v>
      </c>
      <c r="C5435">
        <v>2024</v>
      </c>
      <c r="D5435" t="s">
        <v>17</v>
      </c>
      <c r="E5435" t="s">
        <v>26</v>
      </c>
      <c r="F5435" t="s">
        <v>40</v>
      </c>
      <c r="G5435" t="s">
        <v>8</v>
      </c>
      <c r="H5435">
        <v>649.79</v>
      </c>
    </row>
    <row r="5436" spans="1:8" x14ac:dyDescent="0.3">
      <c r="A5436">
        <v>202411</v>
      </c>
      <c r="B5436" s="1">
        <v>45597</v>
      </c>
      <c r="C5436">
        <v>2024</v>
      </c>
      <c r="D5436" t="s">
        <v>18</v>
      </c>
      <c r="E5436" t="s">
        <v>26</v>
      </c>
      <c r="F5436" t="s">
        <v>40</v>
      </c>
      <c r="G5436" t="s">
        <v>8</v>
      </c>
      <c r="H5436">
        <v>498.78</v>
      </c>
    </row>
    <row r="5437" spans="1:8" x14ac:dyDescent="0.3">
      <c r="A5437">
        <v>202412</v>
      </c>
      <c r="B5437" s="1">
        <v>45627</v>
      </c>
      <c r="C5437">
        <v>2024</v>
      </c>
      <c r="D5437" t="s">
        <v>19</v>
      </c>
      <c r="E5437" t="s">
        <v>26</v>
      </c>
      <c r="F5437" t="s">
        <v>40</v>
      </c>
      <c r="G5437" t="s">
        <v>8</v>
      </c>
      <c r="H5437">
        <v>439.28</v>
      </c>
    </row>
    <row r="5438" spans="1:8" x14ac:dyDescent="0.3">
      <c r="A5438">
        <v>202401</v>
      </c>
      <c r="B5438" s="1">
        <v>45292</v>
      </c>
      <c r="C5438">
        <v>2024</v>
      </c>
      <c r="D5438" t="s">
        <v>6</v>
      </c>
      <c r="E5438" t="s">
        <v>26</v>
      </c>
      <c r="F5438" t="s">
        <v>40</v>
      </c>
      <c r="G5438" t="s">
        <v>8</v>
      </c>
      <c r="H5438">
        <v>113.21</v>
      </c>
    </row>
    <row r="5439" spans="1:8" x14ac:dyDescent="0.3">
      <c r="A5439">
        <v>202402</v>
      </c>
      <c r="B5439" s="1">
        <v>45323</v>
      </c>
      <c r="C5439">
        <v>2024</v>
      </c>
      <c r="D5439" t="s">
        <v>9</v>
      </c>
      <c r="E5439" t="s">
        <v>26</v>
      </c>
      <c r="F5439" t="s">
        <v>40</v>
      </c>
      <c r="G5439" t="s">
        <v>8</v>
      </c>
      <c r="H5439">
        <v>40.130000000000003</v>
      </c>
    </row>
    <row r="5440" spans="1:8" x14ac:dyDescent="0.3">
      <c r="A5440">
        <v>202403</v>
      </c>
      <c r="B5440" s="1">
        <v>45352</v>
      </c>
      <c r="C5440">
        <v>2024</v>
      </c>
      <c r="D5440" t="s">
        <v>10</v>
      </c>
      <c r="E5440" t="s">
        <v>26</v>
      </c>
      <c r="F5440" t="s">
        <v>40</v>
      </c>
      <c r="G5440" t="s">
        <v>8</v>
      </c>
      <c r="H5440">
        <v>67.58</v>
      </c>
    </row>
    <row r="5441" spans="1:8" x14ac:dyDescent="0.3">
      <c r="A5441">
        <v>202404</v>
      </c>
      <c r="B5441" s="1">
        <v>45383</v>
      </c>
      <c r="C5441">
        <v>2024</v>
      </c>
      <c r="D5441" t="s">
        <v>11</v>
      </c>
      <c r="E5441" t="s">
        <v>26</v>
      </c>
      <c r="F5441" t="s">
        <v>40</v>
      </c>
      <c r="G5441" t="s">
        <v>8</v>
      </c>
      <c r="H5441">
        <v>114.96</v>
      </c>
    </row>
    <row r="5442" spans="1:8" x14ac:dyDescent="0.3">
      <c r="A5442">
        <v>202405</v>
      </c>
      <c r="B5442" s="1">
        <v>45413</v>
      </c>
      <c r="C5442">
        <v>2024</v>
      </c>
      <c r="D5442" t="s">
        <v>12</v>
      </c>
      <c r="E5442" t="s">
        <v>26</v>
      </c>
      <c r="F5442" t="s">
        <v>40</v>
      </c>
      <c r="G5442" t="s">
        <v>8</v>
      </c>
      <c r="H5442">
        <v>73.53</v>
      </c>
    </row>
    <row r="5443" spans="1:8" x14ac:dyDescent="0.3">
      <c r="A5443">
        <v>202406</v>
      </c>
      <c r="B5443" s="1">
        <v>45444</v>
      </c>
      <c r="C5443">
        <v>2024</v>
      </c>
      <c r="D5443" t="s">
        <v>13</v>
      </c>
      <c r="E5443" t="s">
        <v>26</v>
      </c>
      <c r="F5443" t="s">
        <v>40</v>
      </c>
      <c r="G5443" t="s">
        <v>8</v>
      </c>
      <c r="H5443">
        <v>58.75</v>
      </c>
    </row>
    <row r="5444" spans="1:8" x14ac:dyDescent="0.3">
      <c r="A5444">
        <v>202407</v>
      </c>
      <c r="B5444" s="1">
        <v>45474</v>
      </c>
      <c r="C5444">
        <v>2024</v>
      </c>
      <c r="D5444" t="s">
        <v>14</v>
      </c>
      <c r="E5444" t="s">
        <v>26</v>
      </c>
      <c r="F5444" t="s">
        <v>40</v>
      </c>
      <c r="G5444" t="s">
        <v>8</v>
      </c>
      <c r="H5444">
        <v>114.87</v>
      </c>
    </row>
    <row r="5445" spans="1:8" x14ac:dyDescent="0.3">
      <c r="A5445">
        <v>202408</v>
      </c>
      <c r="B5445" s="1">
        <v>45505</v>
      </c>
      <c r="C5445">
        <v>2024</v>
      </c>
      <c r="D5445" t="s">
        <v>15</v>
      </c>
      <c r="E5445" t="s">
        <v>26</v>
      </c>
      <c r="F5445" t="s">
        <v>40</v>
      </c>
      <c r="G5445" t="s">
        <v>8</v>
      </c>
      <c r="H5445">
        <v>80.849999999999994</v>
      </c>
    </row>
    <row r="5446" spans="1:8" x14ac:dyDescent="0.3">
      <c r="A5446">
        <v>202409</v>
      </c>
      <c r="B5446" s="1">
        <v>45536</v>
      </c>
      <c r="C5446">
        <v>2024</v>
      </c>
      <c r="D5446" t="s">
        <v>16</v>
      </c>
      <c r="E5446" t="s">
        <v>26</v>
      </c>
      <c r="F5446" t="s">
        <v>40</v>
      </c>
      <c r="G5446" t="s">
        <v>8</v>
      </c>
      <c r="H5446">
        <v>74</v>
      </c>
    </row>
    <row r="5447" spans="1:8" x14ac:dyDescent="0.3">
      <c r="A5447">
        <v>202410</v>
      </c>
      <c r="B5447" s="1">
        <v>45566</v>
      </c>
      <c r="C5447">
        <v>2024</v>
      </c>
      <c r="D5447" t="s">
        <v>17</v>
      </c>
      <c r="E5447" t="s">
        <v>26</v>
      </c>
      <c r="F5447" t="s">
        <v>40</v>
      </c>
      <c r="G5447" t="s">
        <v>8</v>
      </c>
      <c r="H5447">
        <v>109.61</v>
      </c>
    </row>
    <row r="5448" spans="1:8" x14ac:dyDescent="0.3">
      <c r="A5448">
        <v>202411</v>
      </c>
      <c r="B5448" s="1">
        <v>45597</v>
      </c>
      <c r="C5448">
        <v>2024</v>
      </c>
      <c r="D5448" t="s">
        <v>18</v>
      </c>
      <c r="E5448" t="s">
        <v>26</v>
      </c>
      <c r="F5448" t="s">
        <v>40</v>
      </c>
      <c r="G5448" t="s">
        <v>8</v>
      </c>
      <c r="H5448">
        <v>73.87</v>
      </c>
    </row>
    <row r="5449" spans="1:8" x14ac:dyDescent="0.3">
      <c r="A5449">
        <v>202412</v>
      </c>
      <c r="B5449" s="1">
        <v>45627</v>
      </c>
      <c r="C5449">
        <v>2024</v>
      </c>
      <c r="D5449" t="s">
        <v>19</v>
      </c>
      <c r="E5449" t="s">
        <v>26</v>
      </c>
      <c r="F5449" t="s">
        <v>40</v>
      </c>
      <c r="G5449" t="s">
        <v>8</v>
      </c>
      <c r="H5449">
        <v>80.290000000000006</v>
      </c>
    </row>
    <row r="5450" spans="1:8" x14ac:dyDescent="0.3">
      <c r="A5450">
        <v>202401</v>
      </c>
      <c r="B5450" s="1">
        <v>45292</v>
      </c>
      <c r="C5450">
        <v>2024</v>
      </c>
      <c r="D5450" t="s">
        <v>6</v>
      </c>
      <c r="E5450" t="s">
        <v>26</v>
      </c>
      <c r="F5450" t="s">
        <v>40</v>
      </c>
      <c r="G5450" t="s">
        <v>8</v>
      </c>
      <c r="H5450">
        <v>247.21</v>
      </c>
    </row>
    <row r="5451" spans="1:8" x14ac:dyDescent="0.3">
      <c r="A5451">
        <v>202402</v>
      </c>
      <c r="B5451" s="1">
        <v>45323</v>
      </c>
      <c r="C5451">
        <v>2024</v>
      </c>
      <c r="D5451" t="s">
        <v>9</v>
      </c>
      <c r="E5451" t="s">
        <v>26</v>
      </c>
      <c r="F5451" t="s">
        <v>40</v>
      </c>
      <c r="G5451" t="s">
        <v>8</v>
      </c>
      <c r="H5451">
        <v>70.52</v>
      </c>
    </row>
    <row r="5452" spans="1:8" x14ac:dyDescent="0.3">
      <c r="A5452">
        <v>202403</v>
      </c>
      <c r="B5452" s="1">
        <v>45352</v>
      </c>
      <c r="C5452">
        <v>2024</v>
      </c>
      <c r="D5452" t="s">
        <v>10</v>
      </c>
      <c r="E5452" t="s">
        <v>26</v>
      </c>
      <c r="F5452" t="s">
        <v>40</v>
      </c>
      <c r="G5452" t="s">
        <v>8</v>
      </c>
      <c r="H5452">
        <v>97.55</v>
      </c>
    </row>
    <row r="5453" spans="1:8" x14ac:dyDescent="0.3">
      <c r="A5453">
        <v>202404</v>
      </c>
      <c r="B5453" s="1">
        <v>45383</v>
      </c>
      <c r="C5453">
        <v>2024</v>
      </c>
      <c r="D5453" t="s">
        <v>11</v>
      </c>
      <c r="E5453" t="s">
        <v>26</v>
      </c>
      <c r="F5453" t="s">
        <v>40</v>
      </c>
      <c r="G5453" t="s">
        <v>8</v>
      </c>
      <c r="H5453">
        <v>144.96</v>
      </c>
    </row>
    <row r="5454" spans="1:8" x14ac:dyDescent="0.3">
      <c r="A5454">
        <v>202405</v>
      </c>
      <c r="B5454" s="1">
        <v>45413</v>
      </c>
      <c r="C5454">
        <v>2024</v>
      </c>
      <c r="D5454" t="s">
        <v>12</v>
      </c>
      <c r="E5454" t="s">
        <v>26</v>
      </c>
      <c r="F5454" t="s">
        <v>40</v>
      </c>
      <c r="G5454" t="s">
        <v>8</v>
      </c>
      <c r="H5454">
        <v>85.38</v>
      </c>
    </row>
    <row r="5455" spans="1:8" x14ac:dyDescent="0.3">
      <c r="A5455">
        <v>202406</v>
      </c>
      <c r="B5455" s="1">
        <v>45444</v>
      </c>
      <c r="C5455">
        <v>2024</v>
      </c>
      <c r="D5455" t="s">
        <v>13</v>
      </c>
      <c r="E5455" t="s">
        <v>26</v>
      </c>
      <c r="F5455" t="s">
        <v>40</v>
      </c>
      <c r="G5455" t="s">
        <v>8</v>
      </c>
      <c r="H5455">
        <v>105.3</v>
      </c>
    </row>
    <row r="5456" spans="1:8" x14ac:dyDescent="0.3">
      <c r="A5456">
        <v>202407</v>
      </c>
      <c r="B5456" s="1">
        <v>45474</v>
      </c>
      <c r="C5456">
        <v>2024</v>
      </c>
      <c r="D5456" t="s">
        <v>14</v>
      </c>
      <c r="E5456" t="s">
        <v>26</v>
      </c>
      <c r="F5456" t="s">
        <v>40</v>
      </c>
      <c r="G5456" t="s">
        <v>8</v>
      </c>
      <c r="H5456">
        <v>168.4</v>
      </c>
    </row>
    <row r="5457" spans="1:8" x14ac:dyDescent="0.3">
      <c r="A5457">
        <v>202408</v>
      </c>
      <c r="B5457" s="1">
        <v>45505</v>
      </c>
      <c r="C5457">
        <v>2024</v>
      </c>
      <c r="D5457" t="s">
        <v>15</v>
      </c>
      <c r="E5457" t="s">
        <v>26</v>
      </c>
      <c r="F5457" t="s">
        <v>40</v>
      </c>
      <c r="G5457" t="s">
        <v>8</v>
      </c>
      <c r="H5457">
        <v>89.26</v>
      </c>
    </row>
    <row r="5458" spans="1:8" x14ac:dyDescent="0.3">
      <c r="A5458">
        <v>202409</v>
      </c>
      <c r="B5458" s="1">
        <v>45536</v>
      </c>
      <c r="C5458">
        <v>2024</v>
      </c>
      <c r="D5458" t="s">
        <v>16</v>
      </c>
      <c r="E5458" t="s">
        <v>26</v>
      </c>
      <c r="F5458" t="s">
        <v>40</v>
      </c>
      <c r="G5458" t="s">
        <v>8</v>
      </c>
      <c r="H5458">
        <v>93.2</v>
      </c>
    </row>
    <row r="5459" spans="1:8" x14ac:dyDescent="0.3">
      <c r="A5459">
        <v>202410</v>
      </c>
      <c r="B5459" s="1">
        <v>45566</v>
      </c>
      <c r="C5459">
        <v>2024</v>
      </c>
      <c r="D5459" t="s">
        <v>17</v>
      </c>
      <c r="E5459" t="s">
        <v>26</v>
      </c>
      <c r="F5459" t="s">
        <v>40</v>
      </c>
      <c r="G5459" t="s">
        <v>8</v>
      </c>
      <c r="H5459">
        <v>146.27000000000001</v>
      </c>
    </row>
    <row r="5460" spans="1:8" x14ac:dyDescent="0.3">
      <c r="A5460">
        <v>202411</v>
      </c>
      <c r="B5460" s="1">
        <v>45597</v>
      </c>
      <c r="C5460">
        <v>2024</v>
      </c>
      <c r="D5460" t="s">
        <v>18</v>
      </c>
      <c r="E5460" t="s">
        <v>26</v>
      </c>
      <c r="F5460" t="s">
        <v>40</v>
      </c>
      <c r="G5460" t="s">
        <v>8</v>
      </c>
      <c r="H5460">
        <v>109.84</v>
      </c>
    </row>
    <row r="5461" spans="1:8" x14ac:dyDescent="0.3">
      <c r="A5461">
        <v>202412</v>
      </c>
      <c r="B5461" s="1">
        <v>45627</v>
      </c>
      <c r="C5461">
        <v>2024</v>
      </c>
      <c r="D5461" t="s">
        <v>19</v>
      </c>
      <c r="E5461" t="s">
        <v>26</v>
      </c>
      <c r="F5461" t="s">
        <v>40</v>
      </c>
      <c r="G5461" t="s">
        <v>8</v>
      </c>
      <c r="H5461">
        <v>146.6</v>
      </c>
    </row>
    <row r="5462" spans="1:8" x14ac:dyDescent="0.3">
      <c r="A5462">
        <v>202401</v>
      </c>
      <c r="B5462" s="1">
        <v>45292</v>
      </c>
      <c r="C5462">
        <v>2024</v>
      </c>
      <c r="D5462" t="s">
        <v>6</v>
      </c>
      <c r="E5462" t="s">
        <v>26</v>
      </c>
      <c r="F5462" t="s">
        <v>40</v>
      </c>
      <c r="G5462" t="s">
        <v>8</v>
      </c>
      <c r="H5462">
        <v>187.12</v>
      </c>
    </row>
    <row r="5463" spans="1:8" x14ac:dyDescent="0.3">
      <c r="A5463">
        <v>202402</v>
      </c>
      <c r="B5463" s="1">
        <v>45323</v>
      </c>
      <c r="C5463">
        <v>2024</v>
      </c>
      <c r="D5463" t="s">
        <v>9</v>
      </c>
      <c r="E5463" t="s">
        <v>26</v>
      </c>
      <c r="F5463" t="s">
        <v>40</v>
      </c>
      <c r="G5463" t="s">
        <v>8</v>
      </c>
      <c r="H5463">
        <v>86.23</v>
      </c>
    </row>
    <row r="5464" spans="1:8" x14ac:dyDescent="0.3">
      <c r="A5464">
        <v>202403</v>
      </c>
      <c r="B5464" s="1">
        <v>45352</v>
      </c>
      <c r="C5464">
        <v>2024</v>
      </c>
      <c r="D5464" t="s">
        <v>10</v>
      </c>
      <c r="E5464" t="s">
        <v>26</v>
      </c>
      <c r="F5464" t="s">
        <v>40</v>
      </c>
      <c r="G5464" t="s">
        <v>8</v>
      </c>
      <c r="H5464">
        <v>116.97</v>
      </c>
    </row>
    <row r="5465" spans="1:8" x14ac:dyDescent="0.3">
      <c r="A5465">
        <v>202404</v>
      </c>
      <c r="B5465" s="1">
        <v>45383</v>
      </c>
      <c r="C5465">
        <v>2024</v>
      </c>
      <c r="D5465" t="s">
        <v>11</v>
      </c>
      <c r="E5465" t="s">
        <v>26</v>
      </c>
      <c r="F5465" t="s">
        <v>40</v>
      </c>
      <c r="G5465" t="s">
        <v>8</v>
      </c>
      <c r="H5465">
        <v>208.24</v>
      </c>
    </row>
    <row r="5466" spans="1:8" x14ac:dyDescent="0.3">
      <c r="A5466">
        <v>202405</v>
      </c>
      <c r="B5466" s="1">
        <v>45413</v>
      </c>
      <c r="C5466">
        <v>2024</v>
      </c>
      <c r="D5466" t="s">
        <v>12</v>
      </c>
      <c r="E5466" t="s">
        <v>26</v>
      </c>
      <c r="F5466" t="s">
        <v>40</v>
      </c>
      <c r="G5466" t="s">
        <v>8</v>
      </c>
      <c r="H5466">
        <v>175.22</v>
      </c>
    </row>
    <row r="5467" spans="1:8" x14ac:dyDescent="0.3">
      <c r="A5467">
        <v>202406</v>
      </c>
      <c r="B5467" s="1">
        <v>45444</v>
      </c>
      <c r="C5467">
        <v>2024</v>
      </c>
      <c r="D5467" t="s">
        <v>13</v>
      </c>
      <c r="E5467" t="s">
        <v>26</v>
      </c>
      <c r="F5467" t="s">
        <v>40</v>
      </c>
      <c r="G5467" t="s">
        <v>8</v>
      </c>
      <c r="H5467">
        <v>153.35</v>
      </c>
    </row>
    <row r="5468" spans="1:8" x14ac:dyDescent="0.3">
      <c r="A5468">
        <v>202407</v>
      </c>
      <c r="B5468" s="1">
        <v>45474</v>
      </c>
      <c r="C5468">
        <v>2024</v>
      </c>
      <c r="D5468" t="s">
        <v>14</v>
      </c>
      <c r="E5468" t="s">
        <v>26</v>
      </c>
      <c r="F5468" t="s">
        <v>40</v>
      </c>
      <c r="G5468" t="s">
        <v>8</v>
      </c>
      <c r="H5468">
        <v>222.24</v>
      </c>
    </row>
    <row r="5469" spans="1:8" x14ac:dyDescent="0.3">
      <c r="A5469">
        <v>202408</v>
      </c>
      <c r="B5469" s="1">
        <v>45505</v>
      </c>
      <c r="C5469">
        <v>2024</v>
      </c>
      <c r="D5469" t="s">
        <v>15</v>
      </c>
      <c r="E5469" t="s">
        <v>26</v>
      </c>
      <c r="F5469" t="s">
        <v>40</v>
      </c>
      <c r="G5469" t="s">
        <v>8</v>
      </c>
      <c r="H5469">
        <v>156.52000000000001</v>
      </c>
    </row>
    <row r="5470" spans="1:8" x14ac:dyDescent="0.3">
      <c r="A5470">
        <v>202409</v>
      </c>
      <c r="B5470" s="1">
        <v>45536</v>
      </c>
      <c r="C5470">
        <v>2024</v>
      </c>
      <c r="D5470" t="s">
        <v>16</v>
      </c>
      <c r="E5470" t="s">
        <v>26</v>
      </c>
      <c r="F5470" t="s">
        <v>40</v>
      </c>
      <c r="G5470" t="s">
        <v>8</v>
      </c>
      <c r="H5470">
        <v>193.06</v>
      </c>
    </row>
    <row r="5471" spans="1:8" x14ac:dyDescent="0.3">
      <c r="A5471">
        <v>202410</v>
      </c>
      <c r="B5471" s="1">
        <v>45566</v>
      </c>
      <c r="C5471">
        <v>2024</v>
      </c>
      <c r="D5471" t="s">
        <v>17</v>
      </c>
      <c r="E5471" t="s">
        <v>26</v>
      </c>
      <c r="F5471" t="s">
        <v>40</v>
      </c>
      <c r="G5471" t="s">
        <v>8</v>
      </c>
      <c r="H5471">
        <v>271.06</v>
      </c>
    </row>
    <row r="5472" spans="1:8" x14ac:dyDescent="0.3">
      <c r="A5472">
        <v>202411</v>
      </c>
      <c r="B5472" s="1">
        <v>45597</v>
      </c>
      <c r="C5472">
        <v>2024</v>
      </c>
      <c r="D5472" t="s">
        <v>18</v>
      </c>
      <c r="E5472" t="s">
        <v>26</v>
      </c>
      <c r="F5472" t="s">
        <v>40</v>
      </c>
      <c r="G5472" t="s">
        <v>8</v>
      </c>
      <c r="H5472">
        <v>159.47999999999999</v>
      </c>
    </row>
    <row r="5473" spans="1:8" x14ac:dyDescent="0.3">
      <c r="A5473">
        <v>202412</v>
      </c>
      <c r="B5473" s="1">
        <v>45627</v>
      </c>
      <c r="C5473">
        <v>2024</v>
      </c>
      <c r="D5473" t="s">
        <v>19</v>
      </c>
      <c r="E5473" t="s">
        <v>26</v>
      </c>
      <c r="F5473" t="s">
        <v>40</v>
      </c>
      <c r="G5473" t="s">
        <v>8</v>
      </c>
      <c r="H5473">
        <v>306.47000000000003</v>
      </c>
    </row>
    <row r="5474" spans="1:8" x14ac:dyDescent="0.3">
      <c r="A5474">
        <v>202401</v>
      </c>
      <c r="B5474" s="1">
        <v>45292</v>
      </c>
      <c r="C5474">
        <v>2024</v>
      </c>
      <c r="D5474" t="s">
        <v>6</v>
      </c>
      <c r="E5474" t="s">
        <v>27</v>
      </c>
      <c r="F5474" t="s">
        <v>40</v>
      </c>
      <c r="G5474" t="s">
        <v>28</v>
      </c>
      <c r="H5474">
        <v>295.08</v>
      </c>
    </row>
    <row r="5475" spans="1:8" x14ac:dyDescent="0.3">
      <c r="A5475">
        <v>202402</v>
      </c>
      <c r="B5475" s="1">
        <v>45323</v>
      </c>
      <c r="C5475">
        <v>2024</v>
      </c>
      <c r="D5475" t="s">
        <v>9</v>
      </c>
      <c r="E5475" t="s">
        <v>27</v>
      </c>
      <c r="F5475" t="s">
        <v>40</v>
      </c>
      <c r="G5475" t="s">
        <v>28</v>
      </c>
      <c r="H5475">
        <v>114.22</v>
      </c>
    </row>
    <row r="5476" spans="1:8" x14ac:dyDescent="0.3">
      <c r="A5476">
        <v>202403</v>
      </c>
      <c r="B5476" s="1">
        <v>45352</v>
      </c>
      <c r="C5476">
        <v>2024</v>
      </c>
      <c r="D5476" t="s">
        <v>10</v>
      </c>
      <c r="E5476" t="s">
        <v>27</v>
      </c>
      <c r="F5476" t="s">
        <v>40</v>
      </c>
      <c r="G5476" t="s">
        <v>28</v>
      </c>
      <c r="H5476">
        <v>120.18</v>
      </c>
    </row>
    <row r="5477" spans="1:8" x14ac:dyDescent="0.3">
      <c r="A5477">
        <v>202404</v>
      </c>
      <c r="B5477" s="1">
        <v>45383</v>
      </c>
      <c r="C5477">
        <v>2024</v>
      </c>
      <c r="D5477" t="s">
        <v>11</v>
      </c>
      <c r="E5477" t="s">
        <v>27</v>
      </c>
      <c r="F5477" t="s">
        <v>40</v>
      </c>
      <c r="G5477" t="s">
        <v>28</v>
      </c>
      <c r="H5477">
        <v>308.02999999999997</v>
      </c>
    </row>
    <row r="5478" spans="1:8" x14ac:dyDescent="0.3">
      <c r="A5478">
        <v>202405</v>
      </c>
      <c r="B5478" s="1">
        <v>45413</v>
      </c>
      <c r="C5478">
        <v>2024</v>
      </c>
      <c r="D5478" t="s">
        <v>12</v>
      </c>
      <c r="E5478" t="s">
        <v>27</v>
      </c>
      <c r="F5478" t="s">
        <v>40</v>
      </c>
      <c r="G5478" t="s">
        <v>28</v>
      </c>
      <c r="H5478">
        <v>205.18</v>
      </c>
    </row>
    <row r="5479" spans="1:8" x14ac:dyDescent="0.3">
      <c r="A5479">
        <v>202406</v>
      </c>
      <c r="B5479" s="1">
        <v>45444</v>
      </c>
      <c r="C5479">
        <v>2024</v>
      </c>
      <c r="D5479" t="s">
        <v>13</v>
      </c>
      <c r="E5479" t="s">
        <v>27</v>
      </c>
      <c r="F5479" t="s">
        <v>40</v>
      </c>
      <c r="G5479" t="s">
        <v>28</v>
      </c>
      <c r="H5479">
        <v>184.23</v>
      </c>
    </row>
    <row r="5480" spans="1:8" x14ac:dyDescent="0.3">
      <c r="A5480">
        <v>202407</v>
      </c>
      <c r="B5480" s="1">
        <v>45474</v>
      </c>
      <c r="C5480">
        <v>2024</v>
      </c>
      <c r="D5480" t="s">
        <v>14</v>
      </c>
      <c r="E5480" t="s">
        <v>27</v>
      </c>
      <c r="F5480" t="s">
        <v>40</v>
      </c>
      <c r="G5480" t="s">
        <v>28</v>
      </c>
      <c r="H5480">
        <v>295.27999999999997</v>
      </c>
    </row>
    <row r="5481" spans="1:8" x14ac:dyDescent="0.3">
      <c r="A5481">
        <v>202408</v>
      </c>
      <c r="B5481" s="1">
        <v>45505</v>
      </c>
      <c r="C5481">
        <v>2024</v>
      </c>
      <c r="D5481" t="s">
        <v>15</v>
      </c>
      <c r="E5481" t="s">
        <v>27</v>
      </c>
      <c r="F5481" t="s">
        <v>40</v>
      </c>
      <c r="G5481" t="s">
        <v>28</v>
      </c>
      <c r="H5481">
        <v>214.55</v>
      </c>
    </row>
    <row r="5482" spans="1:8" x14ac:dyDescent="0.3">
      <c r="A5482">
        <v>202409</v>
      </c>
      <c r="B5482" s="1">
        <v>45536</v>
      </c>
      <c r="C5482">
        <v>2024</v>
      </c>
      <c r="D5482" t="s">
        <v>16</v>
      </c>
      <c r="E5482" t="s">
        <v>27</v>
      </c>
      <c r="F5482" t="s">
        <v>40</v>
      </c>
      <c r="G5482" t="s">
        <v>28</v>
      </c>
      <c r="H5482">
        <v>209.5</v>
      </c>
    </row>
    <row r="5483" spans="1:8" x14ac:dyDescent="0.3">
      <c r="A5483">
        <v>202410</v>
      </c>
      <c r="B5483" s="1">
        <v>45566</v>
      </c>
      <c r="C5483">
        <v>2024</v>
      </c>
      <c r="D5483" t="s">
        <v>17</v>
      </c>
      <c r="E5483" t="s">
        <v>27</v>
      </c>
      <c r="F5483" t="s">
        <v>40</v>
      </c>
      <c r="G5483" t="s">
        <v>28</v>
      </c>
      <c r="H5483">
        <v>301.06</v>
      </c>
    </row>
    <row r="5484" spans="1:8" x14ac:dyDescent="0.3">
      <c r="A5484">
        <v>202411</v>
      </c>
      <c r="B5484" s="1">
        <v>45597</v>
      </c>
      <c r="C5484">
        <v>2024</v>
      </c>
      <c r="D5484" t="s">
        <v>18</v>
      </c>
      <c r="E5484" t="s">
        <v>27</v>
      </c>
      <c r="F5484" t="s">
        <v>40</v>
      </c>
      <c r="G5484" t="s">
        <v>28</v>
      </c>
      <c r="H5484">
        <v>189.13</v>
      </c>
    </row>
    <row r="5485" spans="1:8" x14ac:dyDescent="0.3">
      <c r="A5485">
        <v>202412</v>
      </c>
      <c r="B5485" s="1">
        <v>45627</v>
      </c>
      <c r="C5485">
        <v>2024</v>
      </c>
      <c r="D5485" t="s">
        <v>19</v>
      </c>
      <c r="E5485" t="s">
        <v>27</v>
      </c>
      <c r="F5485" t="s">
        <v>40</v>
      </c>
      <c r="G5485" t="s">
        <v>28</v>
      </c>
      <c r="H5485">
        <v>231.8</v>
      </c>
    </row>
    <row r="5486" spans="1:8" x14ac:dyDescent="0.3">
      <c r="A5486">
        <v>202401</v>
      </c>
      <c r="B5486" s="1">
        <v>45292</v>
      </c>
      <c r="C5486">
        <v>2024</v>
      </c>
      <c r="D5486" t="s">
        <v>6</v>
      </c>
      <c r="E5486" t="s">
        <v>27</v>
      </c>
      <c r="F5486" t="s">
        <v>40</v>
      </c>
      <c r="G5486" t="s">
        <v>28</v>
      </c>
      <c r="H5486">
        <v>112.11</v>
      </c>
    </row>
    <row r="5487" spans="1:8" x14ac:dyDescent="0.3">
      <c r="A5487">
        <v>202402</v>
      </c>
      <c r="B5487" s="1">
        <v>45323</v>
      </c>
      <c r="C5487">
        <v>2024</v>
      </c>
      <c r="D5487" t="s">
        <v>9</v>
      </c>
      <c r="E5487" t="s">
        <v>27</v>
      </c>
      <c r="F5487" t="s">
        <v>40</v>
      </c>
      <c r="G5487" t="s">
        <v>28</v>
      </c>
      <c r="H5487">
        <v>58.56</v>
      </c>
    </row>
    <row r="5488" spans="1:8" x14ac:dyDescent="0.3">
      <c r="A5488">
        <v>202403</v>
      </c>
      <c r="B5488" s="1">
        <v>45352</v>
      </c>
      <c r="C5488">
        <v>2024</v>
      </c>
      <c r="D5488" t="s">
        <v>10</v>
      </c>
      <c r="E5488" t="s">
        <v>27</v>
      </c>
      <c r="F5488" t="s">
        <v>40</v>
      </c>
      <c r="G5488" t="s">
        <v>28</v>
      </c>
      <c r="H5488">
        <v>88.09</v>
      </c>
    </row>
    <row r="5489" spans="1:8" x14ac:dyDescent="0.3">
      <c r="A5489">
        <v>202404</v>
      </c>
      <c r="B5489" s="1">
        <v>45383</v>
      </c>
      <c r="C5489">
        <v>2024</v>
      </c>
      <c r="D5489" t="s">
        <v>11</v>
      </c>
      <c r="E5489" t="s">
        <v>27</v>
      </c>
      <c r="F5489" t="s">
        <v>40</v>
      </c>
      <c r="G5489" t="s">
        <v>28</v>
      </c>
      <c r="H5489">
        <v>136.54</v>
      </c>
    </row>
    <row r="5490" spans="1:8" x14ac:dyDescent="0.3">
      <c r="A5490">
        <v>202405</v>
      </c>
      <c r="B5490" s="1">
        <v>45413</v>
      </c>
      <c r="C5490">
        <v>2024</v>
      </c>
      <c r="D5490" t="s">
        <v>12</v>
      </c>
      <c r="E5490" t="s">
        <v>27</v>
      </c>
      <c r="F5490" t="s">
        <v>40</v>
      </c>
      <c r="G5490" t="s">
        <v>28</v>
      </c>
      <c r="H5490">
        <v>81.91</v>
      </c>
    </row>
    <row r="5491" spans="1:8" x14ac:dyDescent="0.3">
      <c r="A5491">
        <v>202406</v>
      </c>
      <c r="B5491" s="1">
        <v>45444</v>
      </c>
      <c r="C5491">
        <v>2024</v>
      </c>
      <c r="D5491" t="s">
        <v>13</v>
      </c>
      <c r="E5491" t="s">
        <v>27</v>
      </c>
      <c r="F5491" t="s">
        <v>40</v>
      </c>
      <c r="G5491" t="s">
        <v>28</v>
      </c>
      <c r="H5491">
        <v>105.18</v>
      </c>
    </row>
    <row r="5492" spans="1:8" x14ac:dyDescent="0.3">
      <c r="A5492">
        <v>202407</v>
      </c>
      <c r="B5492" s="1">
        <v>45474</v>
      </c>
      <c r="C5492">
        <v>2024</v>
      </c>
      <c r="D5492" t="s">
        <v>14</v>
      </c>
      <c r="E5492" t="s">
        <v>27</v>
      </c>
      <c r="F5492" t="s">
        <v>40</v>
      </c>
      <c r="G5492" t="s">
        <v>28</v>
      </c>
      <c r="H5492">
        <v>114.23</v>
      </c>
    </row>
    <row r="5493" spans="1:8" x14ac:dyDescent="0.3">
      <c r="A5493">
        <v>202408</v>
      </c>
      <c r="B5493" s="1">
        <v>45505</v>
      </c>
      <c r="C5493">
        <v>2024</v>
      </c>
      <c r="D5493" t="s">
        <v>15</v>
      </c>
      <c r="E5493" t="s">
        <v>27</v>
      </c>
      <c r="F5493" t="s">
        <v>40</v>
      </c>
      <c r="G5493" t="s">
        <v>28</v>
      </c>
      <c r="H5493">
        <v>89.24</v>
      </c>
    </row>
    <row r="5494" spans="1:8" x14ac:dyDescent="0.3">
      <c r="A5494">
        <v>202409</v>
      </c>
      <c r="B5494" s="1">
        <v>45536</v>
      </c>
      <c r="C5494">
        <v>2024</v>
      </c>
      <c r="D5494" t="s">
        <v>16</v>
      </c>
      <c r="E5494" t="s">
        <v>27</v>
      </c>
      <c r="F5494" t="s">
        <v>40</v>
      </c>
      <c r="G5494" t="s">
        <v>28</v>
      </c>
      <c r="H5494">
        <v>109.18</v>
      </c>
    </row>
    <row r="5495" spans="1:8" x14ac:dyDescent="0.3">
      <c r="A5495">
        <v>202410</v>
      </c>
      <c r="B5495" s="1">
        <v>45566</v>
      </c>
      <c r="C5495">
        <v>2024</v>
      </c>
      <c r="D5495" t="s">
        <v>17</v>
      </c>
      <c r="E5495" t="s">
        <v>27</v>
      </c>
      <c r="F5495" t="s">
        <v>40</v>
      </c>
      <c r="G5495" t="s">
        <v>28</v>
      </c>
      <c r="H5495">
        <v>138.58000000000001</v>
      </c>
    </row>
    <row r="5496" spans="1:8" x14ac:dyDescent="0.3">
      <c r="A5496">
        <v>202411</v>
      </c>
      <c r="B5496" s="1">
        <v>45597</v>
      </c>
      <c r="C5496">
        <v>2024</v>
      </c>
      <c r="D5496" t="s">
        <v>18</v>
      </c>
      <c r="E5496" t="s">
        <v>27</v>
      </c>
      <c r="F5496" t="s">
        <v>40</v>
      </c>
      <c r="G5496" t="s">
        <v>28</v>
      </c>
      <c r="H5496">
        <v>126.03</v>
      </c>
    </row>
    <row r="5497" spans="1:8" x14ac:dyDescent="0.3">
      <c r="A5497">
        <v>202412</v>
      </c>
      <c r="B5497" s="1">
        <v>45627</v>
      </c>
      <c r="C5497">
        <v>2024</v>
      </c>
      <c r="D5497" t="s">
        <v>19</v>
      </c>
      <c r="E5497" t="s">
        <v>27</v>
      </c>
      <c r="F5497" t="s">
        <v>40</v>
      </c>
      <c r="G5497" t="s">
        <v>28</v>
      </c>
      <c r="H5497">
        <v>100.36</v>
      </c>
    </row>
    <row r="5498" spans="1:8" x14ac:dyDescent="0.3">
      <c r="A5498">
        <v>202401</v>
      </c>
      <c r="B5498" s="1">
        <v>45292</v>
      </c>
      <c r="C5498">
        <v>2024</v>
      </c>
      <c r="D5498" t="s">
        <v>6</v>
      </c>
      <c r="E5498" t="s">
        <v>27</v>
      </c>
      <c r="F5498" t="s">
        <v>40</v>
      </c>
      <c r="G5498" t="s">
        <v>28</v>
      </c>
      <c r="H5498">
        <v>218.08</v>
      </c>
    </row>
    <row r="5499" spans="1:8" x14ac:dyDescent="0.3">
      <c r="A5499">
        <v>202402</v>
      </c>
      <c r="B5499" s="1">
        <v>45323</v>
      </c>
      <c r="C5499">
        <v>2024</v>
      </c>
      <c r="D5499" t="s">
        <v>9</v>
      </c>
      <c r="E5499" t="s">
        <v>27</v>
      </c>
      <c r="F5499" t="s">
        <v>40</v>
      </c>
      <c r="G5499" t="s">
        <v>28</v>
      </c>
      <c r="H5499">
        <v>93.67</v>
      </c>
    </row>
    <row r="5500" spans="1:8" x14ac:dyDescent="0.3">
      <c r="A5500">
        <v>202403</v>
      </c>
      <c r="B5500" s="1">
        <v>45352</v>
      </c>
      <c r="C5500">
        <v>2024</v>
      </c>
      <c r="D5500" t="s">
        <v>10</v>
      </c>
      <c r="E5500" t="s">
        <v>27</v>
      </c>
      <c r="F5500" t="s">
        <v>40</v>
      </c>
      <c r="G5500" t="s">
        <v>28</v>
      </c>
      <c r="H5500">
        <v>112.03</v>
      </c>
    </row>
    <row r="5501" spans="1:8" x14ac:dyDescent="0.3">
      <c r="A5501">
        <v>202404</v>
      </c>
      <c r="B5501" s="1">
        <v>45383</v>
      </c>
      <c r="C5501">
        <v>2024</v>
      </c>
      <c r="D5501" t="s">
        <v>11</v>
      </c>
      <c r="E5501" t="s">
        <v>27</v>
      </c>
      <c r="F5501" t="s">
        <v>40</v>
      </c>
      <c r="G5501" t="s">
        <v>28</v>
      </c>
      <c r="H5501">
        <v>227.72</v>
      </c>
    </row>
    <row r="5502" spans="1:8" x14ac:dyDescent="0.3">
      <c r="A5502">
        <v>202405</v>
      </c>
      <c r="B5502" s="1">
        <v>45413</v>
      </c>
      <c r="C5502">
        <v>2024</v>
      </c>
      <c r="D5502" t="s">
        <v>12</v>
      </c>
      <c r="E5502" t="s">
        <v>27</v>
      </c>
      <c r="F5502" t="s">
        <v>40</v>
      </c>
      <c r="G5502" t="s">
        <v>28</v>
      </c>
      <c r="H5502">
        <v>142.72</v>
      </c>
    </row>
    <row r="5503" spans="1:8" x14ac:dyDescent="0.3">
      <c r="A5503">
        <v>202406</v>
      </c>
      <c r="B5503" s="1">
        <v>45444</v>
      </c>
      <c r="C5503">
        <v>2024</v>
      </c>
      <c r="D5503" t="s">
        <v>13</v>
      </c>
      <c r="E5503" t="s">
        <v>27</v>
      </c>
      <c r="F5503" t="s">
        <v>40</v>
      </c>
      <c r="G5503" t="s">
        <v>28</v>
      </c>
      <c r="H5503">
        <v>143.88999999999999</v>
      </c>
    </row>
    <row r="5504" spans="1:8" x14ac:dyDescent="0.3">
      <c r="A5504">
        <v>202407</v>
      </c>
      <c r="B5504" s="1">
        <v>45474</v>
      </c>
      <c r="C5504">
        <v>2024</v>
      </c>
      <c r="D5504" t="s">
        <v>14</v>
      </c>
      <c r="E5504" t="s">
        <v>27</v>
      </c>
      <c r="F5504" t="s">
        <v>40</v>
      </c>
      <c r="G5504" t="s">
        <v>28</v>
      </c>
      <c r="H5504">
        <v>203.82</v>
      </c>
    </row>
    <row r="5505" spans="1:8" x14ac:dyDescent="0.3">
      <c r="A5505">
        <v>202408</v>
      </c>
      <c r="B5505" s="1">
        <v>45505</v>
      </c>
      <c r="C5505">
        <v>2024</v>
      </c>
      <c r="D5505" t="s">
        <v>15</v>
      </c>
      <c r="E5505" t="s">
        <v>27</v>
      </c>
      <c r="F5505" t="s">
        <v>40</v>
      </c>
      <c r="G5505" t="s">
        <v>28</v>
      </c>
      <c r="H5505">
        <v>124.28</v>
      </c>
    </row>
    <row r="5506" spans="1:8" x14ac:dyDescent="0.3">
      <c r="A5506">
        <v>202409</v>
      </c>
      <c r="B5506" s="1">
        <v>45536</v>
      </c>
      <c r="C5506">
        <v>2024</v>
      </c>
      <c r="D5506" t="s">
        <v>16</v>
      </c>
      <c r="E5506" t="s">
        <v>27</v>
      </c>
      <c r="F5506" t="s">
        <v>40</v>
      </c>
      <c r="G5506" t="s">
        <v>28</v>
      </c>
      <c r="H5506">
        <v>169.9</v>
      </c>
    </row>
    <row r="5507" spans="1:8" x14ac:dyDescent="0.3">
      <c r="A5507">
        <v>202410</v>
      </c>
      <c r="B5507" s="1">
        <v>45566</v>
      </c>
      <c r="C5507">
        <v>2024</v>
      </c>
      <c r="D5507" t="s">
        <v>17</v>
      </c>
      <c r="E5507" t="s">
        <v>27</v>
      </c>
      <c r="F5507" t="s">
        <v>40</v>
      </c>
      <c r="G5507" t="s">
        <v>28</v>
      </c>
      <c r="H5507">
        <v>183.23</v>
      </c>
    </row>
    <row r="5508" spans="1:8" x14ac:dyDescent="0.3">
      <c r="A5508">
        <v>202411</v>
      </c>
      <c r="B5508" s="1">
        <v>45597</v>
      </c>
      <c r="C5508">
        <v>2024</v>
      </c>
      <c r="D5508" t="s">
        <v>18</v>
      </c>
      <c r="E5508" t="s">
        <v>27</v>
      </c>
      <c r="F5508" t="s">
        <v>40</v>
      </c>
      <c r="G5508" t="s">
        <v>28</v>
      </c>
      <c r="H5508">
        <v>138.08000000000001</v>
      </c>
    </row>
    <row r="5509" spans="1:8" x14ac:dyDescent="0.3">
      <c r="A5509">
        <v>202412</v>
      </c>
      <c r="B5509" s="1">
        <v>45627</v>
      </c>
      <c r="C5509">
        <v>2024</v>
      </c>
      <c r="D5509" t="s">
        <v>19</v>
      </c>
      <c r="E5509" t="s">
        <v>27</v>
      </c>
      <c r="F5509" t="s">
        <v>40</v>
      </c>
      <c r="G5509" t="s">
        <v>28</v>
      </c>
      <c r="H5509">
        <v>167.29</v>
      </c>
    </row>
    <row r="5510" spans="1:8" x14ac:dyDescent="0.3">
      <c r="A5510">
        <v>202401</v>
      </c>
      <c r="B5510" s="1">
        <v>45292</v>
      </c>
      <c r="C5510">
        <v>2024</v>
      </c>
      <c r="D5510" t="s">
        <v>6</v>
      </c>
      <c r="E5510" t="s">
        <v>27</v>
      </c>
      <c r="F5510" t="s">
        <v>40</v>
      </c>
      <c r="G5510" t="s">
        <v>28</v>
      </c>
      <c r="H5510">
        <v>193.8</v>
      </c>
    </row>
    <row r="5511" spans="1:8" x14ac:dyDescent="0.3">
      <c r="A5511">
        <v>202402</v>
      </c>
      <c r="B5511" s="1">
        <v>45323</v>
      </c>
      <c r="C5511">
        <v>2024</v>
      </c>
      <c r="D5511" t="s">
        <v>9</v>
      </c>
      <c r="E5511" t="s">
        <v>27</v>
      </c>
      <c r="F5511" t="s">
        <v>40</v>
      </c>
      <c r="G5511" t="s">
        <v>28</v>
      </c>
      <c r="H5511">
        <v>103.32</v>
      </c>
    </row>
    <row r="5512" spans="1:8" x14ac:dyDescent="0.3">
      <c r="A5512">
        <v>202403</v>
      </c>
      <c r="B5512" s="1">
        <v>45352</v>
      </c>
      <c r="C5512">
        <v>2024</v>
      </c>
      <c r="D5512" t="s">
        <v>10</v>
      </c>
      <c r="E5512" t="s">
        <v>27</v>
      </c>
      <c r="F5512" t="s">
        <v>40</v>
      </c>
      <c r="G5512" t="s">
        <v>28</v>
      </c>
      <c r="H5512">
        <v>126.62</v>
      </c>
    </row>
    <row r="5513" spans="1:8" x14ac:dyDescent="0.3">
      <c r="A5513">
        <v>202404</v>
      </c>
      <c r="B5513" s="1">
        <v>45383</v>
      </c>
      <c r="C5513">
        <v>2024</v>
      </c>
      <c r="D5513" t="s">
        <v>11</v>
      </c>
      <c r="E5513" t="s">
        <v>27</v>
      </c>
      <c r="F5513" t="s">
        <v>40</v>
      </c>
      <c r="G5513" t="s">
        <v>28</v>
      </c>
      <c r="H5513">
        <v>242.66</v>
      </c>
    </row>
    <row r="5514" spans="1:8" x14ac:dyDescent="0.3">
      <c r="A5514">
        <v>202405</v>
      </c>
      <c r="B5514" s="1">
        <v>45413</v>
      </c>
      <c r="C5514">
        <v>2024</v>
      </c>
      <c r="D5514" t="s">
        <v>12</v>
      </c>
      <c r="E5514" t="s">
        <v>27</v>
      </c>
      <c r="F5514" t="s">
        <v>40</v>
      </c>
      <c r="G5514" t="s">
        <v>28</v>
      </c>
      <c r="H5514">
        <v>141.9</v>
      </c>
    </row>
    <row r="5515" spans="1:8" x14ac:dyDescent="0.3">
      <c r="A5515">
        <v>202406</v>
      </c>
      <c r="B5515" s="1">
        <v>45444</v>
      </c>
      <c r="C5515">
        <v>2024</v>
      </c>
      <c r="D5515" t="s">
        <v>13</v>
      </c>
      <c r="E5515" t="s">
        <v>27</v>
      </c>
      <c r="F5515" t="s">
        <v>40</v>
      </c>
      <c r="G5515" t="s">
        <v>28</v>
      </c>
      <c r="H5515">
        <v>200.59</v>
      </c>
    </row>
    <row r="5516" spans="1:8" x14ac:dyDescent="0.3">
      <c r="A5516">
        <v>202407</v>
      </c>
      <c r="B5516" s="1">
        <v>45474</v>
      </c>
      <c r="C5516">
        <v>2024</v>
      </c>
      <c r="D5516" t="s">
        <v>14</v>
      </c>
      <c r="E5516" t="s">
        <v>27</v>
      </c>
      <c r="F5516" t="s">
        <v>40</v>
      </c>
      <c r="G5516" t="s">
        <v>28</v>
      </c>
      <c r="H5516">
        <v>227.3</v>
      </c>
    </row>
    <row r="5517" spans="1:8" x14ac:dyDescent="0.3">
      <c r="A5517">
        <v>202408</v>
      </c>
      <c r="B5517" s="1">
        <v>45505</v>
      </c>
      <c r="C5517">
        <v>2024</v>
      </c>
      <c r="D5517" t="s">
        <v>15</v>
      </c>
      <c r="E5517" t="s">
        <v>27</v>
      </c>
      <c r="F5517" t="s">
        <v>40</v>
      </c>
      <c r="G5517" t="s">
        <v>28</v>
      </c>
      <c r="H5517">
        <v>160.93</v>
      </c>
    </row>
    <row r="5518" spans="1:8" x14ac:dyDescent="0.3">
      <c r="A5518">
        <v>202409</v>
      </c>
      <c r="B5518" s="1">
        <v>45536</v>
      </c>
      <c r="C5518">
        <v>2024</v>
      </c>
      <c r="D5518" t="s">
        <v>16</v>
      </c>
      <c r="E5518" t="s">
        <v>27</v>
      </c>
      <c r="F5518" t="s">
        <v>40</v>
      </c>
      <c r="G5518" t="s">
        <v>28</v>
      </c>
      <c r="H5518">
        <v>144.16999999999999</v>
      </c>
    </row>
    <row r="5519" spans="1:8" x14ac:dyDescent="0.3">
      <c r="A5519">
        <v>202410</v>
      </c>
      <c r="B5519" s="1">
        <v>45566</v>
      </c>
      <c r="C5519">
        <v>2024</v>
      </c>
      <c r="D5519" t="s">
        <v>17</v>
      </c>
      <c r="E5519" t="s">
        <v>27</v>
      </c>
      <c r="F5519" t="s">
        <v>40</v>
      </c>
      <c r="G5519" t="s">
        <v>28</v>
      </c>
      <c r="H5519">
        <v>208.48</v>
      </c>
    </row>
    <row r="5520" spans="1:8" x14ac:dyDescent="0.3">
      <c r="A5520">
        <v>202411</v>
      </c>
      <c r="B5520" s="1">
        <v>45597</v>
      </c>
      <c r="C5520">
        <v>2024</v>
      </c>
      <c r="D5520" t="s">
        <v>18</v>
      </c>
      <c r="E5520" t="s">
        <v>27</v>
      </c>
      <c r="F5520" t="s">
        <v>40</v>
      </c>
      <c r="G5520" t="s">
        <v>28</v>
      </c>
      <c r="H5520">
        <v>127.33</v>
      </c>
    </row>
    <row r="5521" spans="1:8" x14ac:dyDescent="0.3">
      <c r="A5521">
        <v>202412</v>
      </c>
      <c r="B5521" s="1">
        <v>45627</v>
      </c>
      <c r="C5521">
        <v>2024</v>
      </c>
      <c r="D5521" t="s">
        <v>19</v>
      </c>
      <c r="E5521" t="s">
        <v>27</v>
      </c>
      <c r="F5521" t="s">
        <v>40</v>
      </c>
      <c r="G5521" t="s">
        <v>28</v>
      </c>
      <c r="H5521">
        <v>187.94</v>
      </c>
    </row>
    <row r="5522" spans="1:8" x14ac:dyDescent="0.3">
      <c r="A5522">
        <v>202401</v>
      </c>
      <c r="B5522" s="1">
        <v>45292</v>
      </c>
      <c r="C5522">
        <v>2024</v>
      </c>
      <c r="D5522" t="s">
        <v>6</v>
      </c>
      <c r="E5522" t="s">
        <v>27</v>
      </c>
      <c r="F5522" t="s">
        <v>40</v>
      </c>
      <c r="G5522" t="s">
        <v>28</v>
      </c>
      <c r="H5522">
        <v>981.39</v>
      </c>
    </row>
    <row r="5523" spans="1:8" x14ac:dyDescent="0.3">
      <c r="A5523">
        <v>202402</v>
      </c>
      <c r="B5523" s="1">
        <v>45323</v>
      </c>
      <c r="C5523">
        <v>2024</v>
      </c>
      <c r="D5523" t="s">
        <v>9</v>
      </c>
      <c r="E5523" t="s">
        <v>27</v>
      </c>
      <c r="F5523" t="s">
        <v>40</v>
      </c>
      <c r="G5523" t="s">
        <v>28</v>
      </c>
      <c r="H5523">
        <v>475.95</v>
      </c>
    </row>
    <row r="5524" spans="1:8" x14ac:dyDescent="0.3">
      <c r="A5524">
        <v>202403</v>
      </c>
      <c r="B5524" s="1">
        <v>45352</v>
      </c>
      <c r="C5524">
        <v>2024</v>
      </c>
      <c r="D5524" t="s">
        <v>10</v>
      </c>
      <c r="E5524" t="s">
        <v>27</v>
      </c>
      <c r="F5524" t="s">
        <v>40</v>
      </c>
      <c r="G5524" t="s">
        <v>28</v>
      </c>
      <c r="H5524">
        <v>596.62</v>
      </c>
    </row>
    <row r="5525" spans="1:8" x14ac:dyDescent="0.3">
      <c r="A5525">
        <v>202404</v>
      </c>
      <c r="B5525" s="1">
        <v>45383</v>
      </c>
      <c r="C5525">
        <v>2024</v>
      </c>
      <c r="D5525" t="s">
        <v>11</v>
      </c>
      <c r="E5525" t="s">
        <v>27</v>
      </c>
      <c r="F5525" t="s">
        <v>40</v>
      </c>
      <c r="G5525" t="s">
        <v>28</v>
      </c>
      <c r="H5525">
        <v>1229.23</v>
      </c>
    </row>
    <row r="5526" spans="1:8" x14ac:dyDescent="0.3">
      <c r="A5526">
        <v>202405</v>
      </c>
      <c r="B5526" s="1">
        <v>45413</v>
      </c>
      <c r="C5526">
        <v>2024</v>
      </c>
      <c r="D5526" t="s">
        <v>12</v>
      </c>
      <c r="E5526" t="s">
        <v>27</v>
      </c>
      <c r="F5526" t="s">
        <v>40</v>
      </c>
      <c r="G5526" t="s">
        <v>28</v>
      </c>
      <c r="H5526">
        <v>825.58</v>
      </c>
    </row>
    <row r="5527" spans="1:8" x14ac:dyDescent="0.3">
      <c r="A5527">
        <v>202406</v>
      </c>
      <c r="B5527" s="1">
        <v>45444</v>
      </c>
      <c r="C5527">
        <v>2024</v>
      </c>
      <c r="D5527" t="s">
        <v>13</v>
      </c>
      <c r="E5527" t="s">
        <v>27</v>
      </c>
      <c r="F5527" t="s">
        <v>40</v>
      </c>
      <c r="G5527" t="s">
        <v>28</v>
      </c>
      <c r="H5527">
        <v>724.21</v>
      </c>
    </row>
    <row r="5528" spans="1:8" x14ac:dyDescent="0.3">
      <c r="A5528">
        <v>202407</v>
      </c>
      <c r="B5528" s="1">
        <v>45474</v>
      </c>
      <c r="C5528">
        <v>2024</v>
      </c>
      <c r="D5528" t="s">
        <v>14</v>
      </c>
      <c r="E5528" t="s">
        <v>27</v>
      </c>
      <c r="F5528" t="s">
        <v>40</v>
      </c>
      <c r="G5528" t="s">
        <v>28</v>
      </c>
      <c r="H5528">
        <v>1163.94</v>
      </c>
    </row>
    <row r="5529" spans="1:8" x14ac:dyDescent="0.3">
      <c r="A5529">
        <v>202408</v>
      </c>
      <c r="B5529" s="1">
        <v>45505</v>
      </c>
      <c r="C5529">
        <v>2024</v>
      </c>
      <c r="D5529" t="s">
        <v>15</v>
      </c>
      <c r="E5529" t="s">
        <v>27</v>
      </c>
      <c r="F5529" t="s">
        <v>40</v>
      </c>
      <c r="G5529" t="s">
        <v>28</v>
      </c>
      <c r="H5529">
        <v>814.78</v>
      </c>
    </row>
    <row r="5530" spans="1:8" x14ac:dyDescent="0.3">
      <c r="A5530">
        <v>202409</v>
      </c>
      <c r="B5530" s="1">
        <v>45536</v>
      </c>
      <c r="C5530">
        <v>2024</v>
      </c>
      <c r="D5530" t="s">
        <v>16</v>
      </c>
      <c r="E5530" t="s">
        <v>27</v>
      </c>
      <c r="F5530" t="s">
        <v>40</v>
      </c>
      <c r="G5530" t="s">
        <v>28</v>
      </c>
      <c r="H5530">
        <v>709.73</v>
      </c>
    </row>
    <row r="5531" spans="1:8" x14ac:dyDescent="0.3">
      <c r="A5531">
        <v>202410</v>
      </c>
      <c r="B5531" s="1">
        <v>45566</v>
      </c>
      <c r="C5531">
        <v>2024</v>
      </c>
      <c r="D5531" t="s">
        <v>17</v>
      </c>
      <c r="E5531" t="s">
        <v>27</v>
      </c>
      <c r="F5531" t="s">
        <v>40</v>
      </c>
      <c r="G5531" t="s">
        <v>28</v>
      </c>
      <c r="H5531">
        <v>1200.6500000000001</v>
      </c>
    </row>
    <row r="5532" spans="1:8" x14ac:dyDescent="0.3">
      <c r="A5532">
        <v>202411</v>
      </c>
      <c r="B5532" s="1">
        <v>45597</v>
      </c>
      <c r="C5532">
        <v>2024</v>
      </c>
      <c r="D5532" t="s">
        <v>18</v>
      </c>
      <c r="E5532" t="s">
        <v>27</v>
      </c>
      <c r="F5532" t="s">
        <v>40</v>
      </c>
      <c r="G5532" t="s">
        <v>28</v>
      </c>
      <c r="H5532">
        <v>804.12</v>
      </c>
    </row>
    <row r="5533" spans="1:8" x14ac:dyDescent="0.3">
      <c r="A5533">
        <v>202412</v>
      </c>
      <c r="B5533" s="1">
        <v>45627</v>
      </c>
      <c r="C5533">
        <v>2024</v>
      </c>
      <c r="D5533" t="s">
        <v>19</v>
      </c>
      <c r="E5533" t="s">
        <v>27</v>
      </c>
      <c r="F5533" t="s">
        <v>40</v>
      </c>
      <c r="G5533" t="s">
        <v>28</v>
      </c>
      <c r="H5533">
        <v>872.93</v>
      </c>
    </row>
    <row r="5534" spans="1:8" x14ac:dyDescent="0.3">
      <c r="A5534">
        <v>202401</v>
      </c>
      <c r="B5534" s="1">
        <v>45292</v>
      </c>
      <c r="C5534">
        <v>2024</v>
      </c>
      <c r="D5534" t="s">
        <v>6</v>
      </c>
      <c r="E5534" t="s">
        <v>29</v>
      </c>
      <c r="F5534" t="s">
        <v>40</v>
      </c>
      <c r="G5534" t="s">
        <v>28</v>
      </c>
      <c r="H5534">
        <v>1213.06</v>
      </c>
    </row>
    <row r="5535" spans="1:8" x14ac:dyDescent="0.3">
      <c r="A5535">
        <v>202402</v>
      </c>
      <c r="B5535" s="1">
        <v>45323</v>
      </c>
      <c r="C5535">
        <v>2024</v>
      </c>
      <c r="D5535" t="s">
        <v>9</v>
      </c>
      <c r="E5535" t="s">
        <v>29</v>
      </c>
      <c r="F5535" t="s">
        <v>40</v>
      </c>
      <c r="G5535" t="s">
        <v>28</v>
      </c>
      <c r="H5535">
        <v>557.91999999999996</v>
      </c>
    </row>
    <row r="5536" spans="1:8" x14ac:dyDescent="0.3">
      <c r="A5536">
        <v>202403</v>
      </c>
      <c r="B5536" s="1">
        <v>45352</v>
      </c>
      <c r="C5536">
        <v>2024</v>
      </c>
      <c r="D5536" t="s">
        <v>10</v>
      </c>
      <c r="E5536" t="s">
        <v>29</v>
      </c>
      <c r="F5536" t="s">
        <v>40</v>
      </c>
      <c r="G5536" t="s">
        <v>28</v>
      </c>
      <c r="H5536">
        <v>649.07000000000005</v>
      </c>
    </row>
    <row r="5537" spans="1:8" x14ac:dyDescent="0.3">
      <c r="A5537">
        <v>202404</v>
      </c>
      <c r="B5537" s="1">
        <v>45383</v>
      </c>
      <c r="C5537">
        <v>2024</v>
      </c>
      <c r="D5537" t="s">
        <v>11</v>
      </c>
      <c r="E5537" t="s">
        <v>29</v>
      </c>
      <c r="F5537" t="s">
        <v>40</v>
      </c>
      <c r="G5537" t="s">
        <v>28</v>
      </c>
      <c r="H5537">
        <v>1452.44</v>
      </c>
    </row>
    <row r="5538" spans="1:8" x14ac:dyDescent="0.3">
      <c r="A5538">
        <v>202405</v>
      </c>
      <c r="B5538" s="1">
        <v>45413</v>
      </c>
      <c r="C5538">
        <v>2024</v>
      </c>
      <c r="D5538" t="s">
        <v>12</v>
      </c>
      <c r="E5538" t="s">
        <v>29</v>
      </c>
      <c r="F5538" t="s">
        <v>40</v>
      </c>
      <c r="G5538" t="s">
        <v>28</v>
      </c>
      <c r="H5538">
        <v>882.78</v>
      </c>
    </row>
    <row r="5539" spans="1:8" x14ac:dyDescent="0.3">
      <c r="A5539">
        <v>202406</v>
      </c>
      <c r="B5539" s="1">
        <v>45444</v>
      </c>
      <c r="C5539">
        <v>2024</v>
      </c>
      <c r="D5539" t="s">
        <v>13</v>
      </c>
      <c r="E5539" t="s">
        <v>29</v>
      </c>
      <c r="F5539" t="s">
        <v>40</v>
      </c>
      <c r="G5539" t="s">
        <v>28</v>
      </c>
      <c r="H5539">
        <v>748.95</v>
      </c>
    </row>
    <row r="5540" spans="1:8" x14ac:dyDescent="0.3">
      <c r="A5540">
        <v>202407</v>
      </c>
      <c r="B5540" s="1">
        <v>45474</v>
      </c>
      <c r="C5540">
        <v>2024</v>
      </c>
      <c r="D5540" t="s">
        <v>14</v>
      </c>
      <c r="E5540" t="s">
        <v>29</v>
      </c>
      <c r="F5540" t="s">
        <v>40</v>
      </c>
      <c r="G5540" t="s">
        <v>28</v>
      </c>
      <c r="H5540">
        <v>1205.02</v>
      </c>
    </row>
    <row r="5541" spans="1:8" x14ac:dyDescent="0.3">
      <c r="A5541">
        <v>202408</v>
      </c>
      <c r="B5541" s="1">
        <v>45505</v>
      </c>
      <c r="C5541">
        <v>2024</v>
      </c>
      <c r="D5541" t="s">
        <v>15</v>
      </c>
      <c r="E5541" t="s">
        <v>29</v>
      </c>
      <c r="F5541" t="s">
        <v>40</v>
      </c>
      <c r="G5541" t="s">
        <v>28</v>
      </c>
      <c r="H5541">
        <v>845.31</v>
      </c>
    </row>
    <row r="5542" spans="1:8" x14ac:dyDescent="0.3">
      <c r="A5542">
        <v>202409</v>
      </c>
      <c r="B5542" s="1">
        <v>45536</v>
      </c>
      <c r="C5542">
        <v>2024</v>
      </c>
      <c r="D5542" t="s">
        <v>16</v>
      </c>
      <c r="E5542" t="s">
        <v>29</v>
      </c>
      <c r="F5542" t="s">
        <v>40</v>
      </c>
      <c r="G5542" t="s">
        <v>28</v>
      </c>
      <c r="H5542">
        <v>1091.0899999999999</v>
      </c>
    </row>
    <row r="5543" spans="1:8" x14ac:dyDescent="0.3">
      <c r="A5543">
        <v>202410</v>
      </c>
      <c r="B5543" s="1">
        <v>45566</v>
      </c>
      <c r="C5543">
        <v>2024</v>
      </c>
      <c r="D5543" t="s">
        <v>17</v>
      </c>
      <c r="E5543" t="s">
        <v>29</v>
      </c>
      <c r="F5543" t="s">
        <v>40</v>
      </c>
      <c r="G5543" t="s">
        <v>28</v>
      </c>
      <c r="H5543">
        <v>1600.55</v>
      </c>
    </row>
    <row r="5544" spans="1:8" x14ac:dyDescent="0.3">
      <c r="A5544">
        <v>202411</v>
      </c>
      <c r="B5544" s="1">
        <v>45597</v>
      </c>
      <c r="C5544">
        <v>2024</v>
      </c>
      <c r="D5544" t="s">
        <v>18</v>
      </c>
      <c r="E5544" t="s">
        <v>29</v>
      </c>
      <c r="F5544" t="s">
        <v>40</v>
      </c>
      <c r="G5544" t="s">
        <v>28</v>
      </c>
      <c r="H5544">
        <v>869.8</v>
      </c>
    </row>
    <row r="5545" spans="1:8" x14ac:dyDescent="0.3">
      <c r="A5545">
        <v>202412</v>
      </c>
      <c r="B5545" s="1">
        <v>45627</v>
      </c>
      <c r="C5545">
        <v>2024</v>
      </c>
      <c r="D5545" t="s">
        <v>19</v>
      </c>
      <c r="E5545" t="s">
        <v>29</v>
      </c>
      <c r="F5545" t="s">
        <v>40</v>
      </c>
      <c r="G5545" t="s">
        <v>28</v>
      </c>
      <c r="H5545">
        <v>677.38</v>
      </c>
    </row>
    <row r="5546" spans="1:8" x14ac:dyDescent="0.3">
      <c r="A5546">
        <v>202401</v>
      </c>
      <c r="B5546" s="1">
        <v>45292</v>
      </c>
      <c r="C5546">
        <v>2024</v>
      </c>
      <c r="D5546" t="s">
        <v>6</v>
      </c>
      <c r="E5546" t="s">
        <v>29</v>
      </c>
      <c r="F5546" t="s">
        <v>40</v>
      </c>
      <c r="G5546" t="s">
        <v>28</v>
      </c>
      <c r="H5546">
        <v>459.76</v>
      </c>
    </row>
    <row r="5547" spans="1:8" x14ac:dyDescent="0.3">
      <c r="A5547">
        <v>202402</v>
      </c>
      <c r="B5547" s="1">
        <v>45323</v>
      </c>
      <c r="C5547">
        <v>2024</v>
      </c>
      <c r="D5547" t="s">
        <v>9</v>
      </c>
      <c r="E5547" t="s">
        <v>29</v>
      </c>
      <c r="F5547" t="s">
        <v>40</v>
      </c>
      <c r="G5547" t="s">
        <v>28</v>
      </c>
      <c r="H5547">
        <v>247.18</v>
      </c>
    </row>
    <row r="5548" spans="1:8" x14ac:dyDescent="0.3">
      <c r="A5548">
        <v>202403</v>
      </c>
      <c r="B5548" s="1">
        <v>45352</v>
      </c>
      <c r="C5548">
        <v>2024</v>
      </c>
      <c r="D5548" t="s">
        <v>10</v>
      </c>
      <c r="E5548" t="s">
        <v>29</v>
      </c>
      <c r="F5548" t="s">
        <v>40</v>
      </c>
      <c r="G5548" t="s">
        <v>28</v>
      </c>
      <c r="H5548">
        <v>286.20999999999998</v>
      </c>
    </row>
    <row r="5549" spans="1:8" x14ac:dyDescent="0.3">
      <c r="A5549">
        <v>202404</v>
      </c>
      <c r="B5549" s="1">
        <v>45383</v>
      </c>
      <c r="C5549">
        <v>2024</v>
      </c>
      <c r="D5549" t="s">
        <v>11</v>
      </c>
      <c r="E5549" t="s">
        <v>29</v>
      </c>
      <c r="F5549" t="s">
        <v>40</v>
      </c>
      <c r="G5549" t="s">
        <v>28</v>
      </c>
      <c r="H5549">
        <v>550.22</v>
      </c>
    </row>
    <row r="5550" spans="1:8" x14ac:dyDescent="0.3">
      <c r="A5550">
        <v>202405</v>
      </c>
      <c r="B5550" s="1">
        <v>45413</v>
      </c>
      <c r="C5550">
        <v>2024</v>
      </c>
      <c r="D5550" t="s">
        <v>12</v>
      </c>
      <c r="E5550" t="s">
        <v>29</v>
      </c>
      <c r="F5550" t="s">
        <v>40</v>
      </c>
      <c r="G5550" t="s">
        <v>28</v>
      </c>
      <c r="H5550">
        <v>338.36</v>
      </c>
    </row>
    <row r="5551" spans="1:8" x14ac:dyDescent="0.3">
      <c r="A5551">
        <v>202406</v>
      </c>
      <c r="B5551" s="1">
        <v>45444</v>
      </c>
      <c r="C5551">
        <v>2024</v>
      </c>
      <c r="D5551" t="s">
        <v>13</v>
      </c>
      <c r="E5551" t="s">
        <v>29</v>
      </c>
      <c r="F5551" t="s">
        <v>40</v>
      </c>
      <c r="G5551" t="s">
        <v>28</v>
      </c>
      <c r="H5551">
        <v>375</v>
      </c>
    </row>
    <row r="5552" spans="1:8" x14ac:dyDescent="0.3">
      <c r="A5552">
        <v>202407</v>
      </c>
      <c r="B5552" s="1">
        <v>45474</v>
      </c>
      <c r="C5552">
        <v>2024</v>
      </c>
      <c r="D5552" t="s">
        <v>14</v>
      </c>
      <c r="E5552" t="s">
        <v>29</v>
      </c>
      <c r="F5552" t="s">
        <v>40</v>
      </c>
      <c r="G5552" t="s">
        <v>28</v>
      </c>
      <c r="H5552">
        <v>427.95</v>
      </c>
    </row>
    <row r="5553" spans="1:8" x14ac:dyDescent="0.3">
      <c r="A5553">
        <v>202408</v>
      </c>
      <c r="B5553" s="1">
        <v>45505</v>
      </c>
      <c r="C5553">
        <v>2024</v>
      </c>
      <c r="D5553" t="s">
        <v>15</v>
      </c>
      <c r="E5553" t="s">
        <v>29</v>
      </c>
      <c r="F5553" t="s">
        <v>40</v>
      </c>
      <c r="G5553" t="s">
        <v>28</v>
      </c>
      <c r="H5553">
        <v>360.81</v>
      </c>
    </row>
    <row r="5554" spans="1:8" x14ac:dyDescent="0.3">
      <c r="A5554">
        <v>202409</v>
      </c>
      <c r="B5554" s="1">
        <v>45536</v>
      </c>
      <c r="C5554">
        <v>2024</v>
      </c>
      <c r="D5554" t="s">
        <v>16</v>
      </c>
      <c r="E5554" t="s">
        <v>29</v>
      </c>
      <c r="F5554" t="s">
        <v>40</v>
      </c>
      <c r="G5554" t="s">
        <v>28</v>
      </c>
      <c r="H5554">
        <v>270.31</v>
      </c>
    </row>
    <row r="5555" spans="1:8" x14ac:dyDescent="0.3">
      <c r="A5555">
        <v>202410</v>
      </c>
      <c r="B5555" s="1">
        <v>45566</v>
      </c>
      <c r="C5555">
        <v>2024</v>
      </c>
      <c r="D5555" t="s">
        <v>17</v>
      </c>
      <c r="E5555" t="s">
        <v>29</v>
      </c>
      <c r="F5555" t="s">
        <v>40</v>
      </c>
      <c r="G5555" t="s">
        <v>28</v>
      </c>
      <c r="H5555">
        <v>523.67999999999995</v>
      </c>
    </row>
    <row r="5556" spans="1:8" x14ac:dyDescent="0.3">
      <c r="A5556">
        <v>202411</v>
      </c>
      <c r="B5556" s="1">
        <v>45597</v>
      </c>
      <c r="C5556">
        <v>2024</v>
      </c>
      <c r="D5556" t="s">
        <v>18</v>
      </c>
      <c r="E5556" t="s">
        <v>29</v>
      </c>
      <c r="F5556" t="s">
        <v>40</v>
      </c>
      <c r="G5556" t="s">
        <v>28</v>
      </c>
      <c r="H5556">
        <v>308.24</v>
      </c>
    </row>
    <row r="5557" spans="1:8" x14ac:dyDescent="0.3">
      <c r="A5557">
        <v>202412</v>
      </c>
      <c r="B5557" s="1">
        <v>45627</v>
      </c>
      <c r="C5557">
        <v>2024</v>
      </c>
      <c r="D5557" t="s">
        <v>19</v>
      </c>
      <c r="E5557" t="s">
        <v>29</v>
      </c>
      <c r="F5557" t="s">
        <v>40</v>
      </c>
      <c r="G5557" t="s">
        <v>28</v>
      </c>
      <c r="H5557">
        <v>366.46</v>
      </c>
    </row>
    <row r="5558" spans="1:8" x14ac:dyDescent="0.3">
      <c r="A5558">
        <v>202401</v>
      </c>
      <c r="B5558" s="1">
        <v>45292</v>
      </c>
      <c r="C5558">
        <v>2024</v>
      </c>
      <c r="D5558" t="s">
        <v>6</v>
      </c>
      <c r="E5558" t="s">
        <v>30</v>
      </c>
      <c r="F5558" t="s">
        <v>40</v>
      </c>
      <c r="G5558" t="s">
        <v>28</v>
      </c>
      <c r="H5558">
        <v>367.38</v>
      </c>
    </row>
    <row r="5559" spans="1:8" x14ac:dyDescent="0.3">
      <c r="A5559">
        <v>202402</v>
      </c>
      <c r="B5559" s="1">
        <v>45323</v>
      </c>
      <c r="C5559">
        <v>2024</v>
      </c>
      <c r="D5559" t="s">
        <v>9</v>
      </c>
      <c r="E5559" t="s">
        <v>30</v>
      </c>
      <c r="F5559" t="s">
        <v>40</v>
      </c>
      <c r="G5559" t="s">
        <v>28</v>
      </c>
      <c r="H5559">
        <v>219.01</v>
      </c>
    </row>
    <row r="5560" spans="1:8" x14ac:dyDescent="0.3">
      <c r="A5560">
        <v>202403</v>
      </c>
      <c r="B5560" s="1">
        <v>45352</v>
      </c>
      <c r="C5560">
        <v>2024</v>
      </c>
      <c r="D5560" t="s">
        <v>10</v>
      </c>
      <c r="E5560" t="s">
        <v>30</v>
      </c>
      <c r="F5560" t="s">
        <v>40</v>
      </c>
      <c r="G5560" t="s">
        <v>28</v>
      </c>
      <c r="H5560">
        <v>209.25</v>
      </c>
    </row>
    <row r="5561" spans="1:8" x14ac:dyDescent="0.3">
      <c r="A5561">
        <v>202404</v>
      </c>
      <c r="B5561" s="1">
        <v>45383</v>
      </c>
      <c r="C5561">
        <v>2024</v>
      </c>
      <c r="D5561" t="s">
        <v>11</v>
      </c>
      <c r="E5561" t="s">
        <v>30</v>
      </c>
      <c r="F5561" t="s">
        <v>40</v>
      </c>
      <c r="G5561" t="s">
        <v>28</v>
      </c>
      <c r="H5561">
        <v>419.98</v>
      </c>
    </row>
    <row r="5562" spans="1:8" x14ac:dyDescent="0.3">
      <c r="A5562">
        <v>202405</v>
      </c>
      <c r="B5562" s="1">
        <v>45413</v>
      </c>
      <c r="C5562">
        <v>2024</v>
      </c>
      <c r="D5562" t="s">
        <v>12</v>
      </c>
      <c r="E5562" t="s">
        <v>30</v>
      </c>
      <c r="F5562" t="s">
        <v>40</v>
      </c>
      <c r="G5562" t="s">
        <v>28</v>
      </c>
      <c r="H5562">
        <v>347.03</v>
      </c>
    </row>
    <row r="5563" spans="1:8" x14ac:dyDescent="0.3">
      <c r="A5563">
        <v>202406</v>
      </c>
      <c r="B5563" s="1">
        <v>45444</v>
      </c>
      <c r="C5563">
        <v>2024</v>
      </c>
      <c r="D5563" t="s">
        <v>13</v>
      </c>
      <c r="E5563" t="s">
        <v>30</v>
      </c>
      <c r="F5563" t="s">
        <v>40</v>
      </c>
      <c r="G5563" t="s">
        <v>28</v>
      </c>
      <c r="H5563">
        <v>318.17</v>
      </c>
    </row>
    <row r="5564" spans="1:8" x14ac:dyDescent="0.3">
      <c r="A5564">
        <v>202407</v>
      </c>
      <c r="B5564" s="1">
        <v>45474</v>
      </c>
      <c r="C5564">
        <v>2024</v>
      </c>
      <c r="D5564" t="s">
        <v>14</v>
      </c>
      <c r="E5564" t="s">
        <v>30</v>
      </c>
      <c r="F5564" t="s">
        <v>40</v>
      </c>
      <c r="G5564" t="s">
        <v>28</v>
      </c>
      <c r="H5564">
        <v>506.12</v>
      </c>
    </row>
    <row r="5565" spans="1:8" x14ac:dyDescent="0.3">
      <c r="A5565">
        <v>202408</v>
      </c>
      <c r="B5565" s="1">
        <v>45505</v>
      </c>
      <c r="C5565">
        <v>2024</v>
      </c>
      <c r="D5565" t="s">
        <v>15</v>
      </c>
      <c r="E5565" t="s">
        <v>30</v>
      </c>
      <c r="F5565" t="s">
        <v>40</v>
      </c>
      <c r="G5565" t="s">
        <v>28</v>
      </c>
      <c r="H5565">
        <v>360.08</v>
      </c>
    </row>
    <row r="5566" spans="1:8" x14ac:dyDescent="0.3">
      <c r="A5566">
        <v>202409</v>
      </c>
      <c r="B5566" s="1">
        <v>45536</v>
      </c>
      <c r="C5566">
        <v>2024</v>
      </c>
      <c r="D5566" t="s">
        <v>16</v>
      </c>
      <c r="E5566" t="s">
        <v>30</v>
      </c>
      <c r="F5566" t="s">
        <v>40</v>
      </c>
      <c r="G5566" t="s">
        <v>28</v>
      </c>
      <c r="H5566">
        <v>360.51</v>
      </c>
    </row>
    <row r="5567" spans="1:8" x14ac:dyDescent="0.3">
      <c r="A5567">
        <v>202410</v>
      </c>
      <c r="B5567" s="1">
        <v>45566</v>
      </c>
      <c r="C5567">
        <v>2024</v>
      </c>
      <c r="D5567" t="s">
        <v>17</v>
      </c>
      <c r="E5567" t="s">
        <v>30</v>
      </c>
      <c r="F5567" t="s">
        <v>40</v>
      </c>
      <c r="G5567" t="s">
        <v>28</v>
      </c>
      <c r="H5567">
        <v>563.92999999999995</v>
      </c>
    </row>
    <row r="5568" spans="1:8" x14ac:dyDescent="0.3">
      <c r="A5568">
        <v>202411</v>
      </c>
      <c r="B5568" s="1">
        <v>45597</v>
      </c>
      <c r="C5568">
        <v>2024</v>
      </c>
      <c r="D5568" t="s">
        <v>18</v>
      </c>
      <c r="E5568" t="s">
        <v>30</v>
      </c>
      <c r="F5568" t="s">
        <v>40</v>
      </c>
      <c r="G5568" t="s">
        <v>28</v>
      </c>
      <c r="H5568">
        <v>419.92</v>
      </c>
    </row>
    <row r="5569" spans="1:8" x14ac:dyDescent="0.3">
      <c r="A5569">
        <v>202412</v>
      </c>
      <c r="B5569" s="1">
        <v>45627</v>
      </c>
      <c r="C5569">
        <v>2024</v>
      </c>
      <c r="D5569" t="s">
        <v>19</v>
      </c>
      <c r="E5569" t="s">
        <v>30</v>
      </c>
      <c r="F5569" t="s">
        <v>40</v>
      </c>
      <c r="G5569" t="s">
        <v>28</v>
      </c>
      <c r="H5569">
        <v>359.73</v>
      </c>
    </row>
    <row r="5570" spans="1:8" x14ac:dyDescent="0.3">
      <c r="A5570">
        <v>202401</v>
      </c>
      <c r="B5570" s="1">
        <v>45292</v>
      </c>
      <c r="C5570">
        <v>2024</v>
      </c>
      <c r="D5570" t="s">
        <v>6</v>
      </c>
      <c r="E5570" t="s">
        <v>30</v>
      </c>
      <c r="F5570" t="s">
        <v>40</v>
      </c>
      <c r="G5570" t="s">
        <v>28</v>
      </c>
      <c r="H5570">
        <v>2339.46</v>
      </c>
    </row>
    <row r="5571" spans="1:8" x14ac:dyDescent="0.3">
      <c r="A5571">
        <v>202402</v>
      </c>
      <c r="B5571" s="1">
        <v>45323</v>
      </c>
      <c r="C5571">
        <v>2024</v>
      </c>
      <c r="D5571" t="s">
        <v>9</v>
      </c>
      <c r="E5571" t="s">
        <v>30</v>
      </c>
      <c r="F5571" t="s">
        <v>40</v>
      </c>
      <c r="G5571" t="s">
        <v>28</v>
      </c>
      <c r="H5571">
        <v>1164.8499999999999</v>
      </c>
    </row>
    <row r="5572" spans="1:8" x14ac:dyDescent="0.3">
      <c r="A5572">
        <v>202403</v>
      </c>
      <c r="B5572" s="1">
        <v>45352</v>
      </c>
      <c r="C5572">
        <v>2024</v>
      </c>
      <c r="D5572" t="s">
        <v>10</v>
      </c>
      <c r="E5572" t="s">
        <v>30</v>
      </c>
      <c r="F5572" t="s">
        <v>40</v>
      </c>
      <c r="G5572" t="s">
        <v>28</v>
      </c>
      <c r="H5572">
        <v>1202.19</v>
      </c>
    </row>
    <row r="5573" spans="1:8" x14ac:dyDescent="0.3">
      <c r="A5573">
        <v>202404</v>
      </c>
      <c r="B5573" s="1">
        <v>45383</v>
      </c>
      <c r="C5573">
        <v>2024</v>
      </c>
      <c r="D5573" t="s">
        <v>11</v>
      </c>
      <c r="E5573" t="s">
        <v>30</v>
      </c>
      <c r="F5573" t="s">
        <v>40</v>
      </c>
      <c r="G5573" t="s">
        <v>28</v>
      </c>
      <c r="H5573">
        <v>2737.63</v>
      </c>
    </row>
    <row r="5574" spans="1:8" x14ac:dyDescent="0.3">
      <c r="A5574">
        <v>202405</v>
      </c>
      <c r="B5574" s="1">
        <v>45413</v>
      </c>
      <c r="C5574">
        <v>2024</v>
      </c>
      <c r="D5574" t="s">
        <v>12</v>
      </c>
      <c r="E5574" t="s">
        <v>30</v>
      </c>
      <c r="F5574" t="s">
        <v>40</v>
      </c>
      <c r="G5574" t="s">
        <v>28</v>
      </c>
      <c r="H5574">
        <v>1686.63</v>
      </c>
    </row>
    <row r="5575" spans="1:8" x14ac:dyDescent="0.3">
      <c r="A5575">
        <v>202406</v>
      </c>
      <c r="B5575" s="1">
        <v>45444</v>
      </c>
      <c r="C5575">
        <v>2024</v>
      </c>
      <c r="D5575" t="s">
        <v>13</v>
      </c>
      <c r="E5575" t="s">
        <v>30</v>
      </c>
      <c r="F5575" t="s">
        <v>40</v>
      </c>
      <c r="G5575" t="s">
        <v>28</v>
      </c>
      <c r="H5575">
        <v>1442.53</v>
      </c>
    </row>
    <row r="5576" spans="1:8" x14ac:dyDescent="0.3">
      <c r="A5576">
        <v>202407</v>
      </c>
      <c r="B5576" s="1">
        <v>45474</v>
      </c>
      <c r="C5576">
        <v>2024</v>
      </c>
      <c r="D5576" t="s">
        <v>14</v>
      </c>
      <c r="E5576" t="s">
        <v>30</v>
      </c>
      <c r="F5576" t="s">
        <v>40</v>
      </c>
      <c r="G5576" t="s">
        <v>28</v>
      </c>
      <c r="H5576">
        <v>2357.52</v>
      </c>
    </row>
    <row r="5577" spans="1:8" x14ac:dyDescent="0.3">
      <c r="A5577">
        <v>202408</v>
      </c>
      <c r="B5577" s="1">
        <v>45505</v>
      </c>
      <c r="C5577">
        <v>2024</v>
      </c>
      <c r="D5577" t="s">
        <v>15</v>
      </c>
      <c r="E5577" t="s">
        <v>30</v>
      </c>
      <c r="F5577" t="s">
        <v>40</v>
      </c>
      <c r="G5577" t="s">
        <v>28</v>
      </c>
      <c r="H5577">
        <v>1728.53</v>
      </c>
    </row>
    <row r="5578" spans="1:8" x14ac:dyDescent="0.3">
      <c r="A5578">
        <v>202409</v>
      </c>
      <c r="B5578" s="1">
        <v>45536</v>
      </c>
      <c r="C5578">
        <v>2024</v>
      </c>
      <c r="D5578" t="s">
        <v>16</v>
      </c>
      <c r="E5578" t="s">
        <v>30</v>
      </c>
      <c r="F5578" t="s">
        <v>40</v>
      </c>
      <c r="G5578" t="s">
        <v>28</v>
      </c>
      <c r="H5578">
        <v>1402.85</v>
      </c>
    </row>
    <row r="5579" spans="1:8" x14ac:dyDescent="0.3">
      <c r="A5579">
        <v>202410</v>
      </c>
      <c r="B5579" s="1">
        <v>45566</v>
      </c>
      <c r="C5579">
        <v>2024</v>
      </c>
      <c r="D5579" t="s">
        <v>17</v>
      </c>
      <c r="E5579" t="s">
        <v>30</v>
      </c>
      <c r="F5579" t="s">
        <v>40</v>
      </c>
      <c r="G5579" t="s">
        <v>28</v>
      </c>
      <c r="H5579">
        <v>2389.88</v>
      </c>
    </row>
    <row r="5580" spans="1:8" x14ac:dyDescent="0.3">
      <c r="A5580">
        <v>202411</v>
      </c>
      <c r="B5580" s="1">
        <v>45597</v>
      </c>
      <c r="C5580">
        <v>2024</v>
      </c>
      <c r="D5580" t="s">
        <v>18</v>
      </c>
      <c r="E5580" t="s">
        <v>30</v>
      </c>
      <c r="F5580" t="s">
        <v>40</v>
      </c>
      <c r="G5580" t="s">
        <v>28</v>
      </c>
      <c r="H5580">
        <v>2000.96</v>
      </c>
    </row>
    <row r="5581" spans="1:8" x14ac:dyDescent="0.3">
      <c r="A5581">
        <v>202412</v>
      </c>
      <c r="B5581" s="1">
        <v>45627</v>
      </c>
      <c r="C5581">
        <v>2024</v>
      </c>
      <c r="D5581" t="s">
        <v>19</v>
      </c>
      <c r="E5581" t="s">
        <v>30</v>
      </c>
      <c r="F5581" t="s">
        <v>40</v>
      </c>
      <c r="G5581" t="s">
        <v>28</v>
      </c>
      <c r="H5581">
        <v>1467.71</v>
      </c>
    </row>
    <row r="5582" spans="1:8" x14ac:dyDescent="0.3">
      <c r="A5582">
        <v>202401</v>
      </c>
      <c r="B5582" s="1">
        <v>45292</v>
      </c>
      <c r="C5582">
        <v>2024</v>
      </c>
      <c r="D5582" t="s">
        <v>6</v>
      </c>
      <c r="E5582" t="s">
        <v>30</v>
      </c>
      <c r="F5582" t="s">
        <v>40</v>
      </c>
      <c r="G5582" t="s">
        <v>28</v>
      </c>
      <c r="H5582">
        <v>2585.56</v>
      </c>
    </row>
    <row r="5583" spans="1:8" x14ac:dyDescent="0.3">
      <c r="A5583">
        <v>202402</v>
      </c>
      <c r="B5583" s="1">
        <v>45323</v>
      </c>
      <c r="C5583">
        <v>2024</v>
      </c>
      <c r="D5583" t="s">
        <v>9</v>
      </c>
      <c r="E5583" t="s">
        <v>30</v>
      </c>
      <c r="F5583" t="s">
        <v>40</v>
      </c>
      <c r="G5583" t="s">
        <v>28</v>
      </c>
      <c r="H5583">
        <v>1024.1500000000001</v>
      </c>
    </row>
    <row r="5584" spans="1:8" x14ac:dyDescent="0.3">
      <c r="A5584">
        <v>202403</v>
      </c>
      <c r="B5584" s="1">
        <v>45352</v>
      </c>
      <c r="C5584">
        <v>2024</v>
      </c>
      <c r="D5584" t="s">
        <v>10</v>
      </c>
      <c r="E5584" t="s">
        <v>30</v>
      </c>
      <c r="F5584" t="s">
        <v>40</v>
      </c>
      <c r="G5584" t="s">
        <v>28</v>
      </c>
      <c r="H5584">
        <v>1272.52</v>
      </c>
    </row>
    <row r="5585" spans="1:8" x14ac:dyDescent="0.3">
      <c r="A5585">
        <v>202404</v>
      </c>
      <c r="B5585" s="1">
        <v>45383</v>
      </c>
      <c r="C5585">
        <v>2024</v>
      </c>
      <c r="D5585" t="s">
        <v>11</v>
      </c>
      <c r="E5585" t="s">
        <v>30</v>
      </c>
      <c r="F5585" t="s">
        <v>40</v>
      </c>
      <c r="G5585" t="s">
        <v>28</v>
      </c>
      <c r="H5585">
        <v>3068.16</v>
      </c>
    </row>
    <row r="5586" spans="1:8" x14ac:dyDescent="0.3">
      <c r="A5586">
        <v>202405</v>
      </c>
      <c r="B5586" s="1">
        <v>45413</v>
      </c>
      <c r="C5586">
        <v>2024</v>
      </c>
      <c r="D5586" t="s">
        <v>12</v>
      </c>
      <c r="E5586" t="s">
        <v>30</v>
      </c>
      <c r="F5586" t="s">
        <v>40</v>
      </c>
      <c r="G5586" t="s">
        <v>28</v>
      </c>
      <c r="H5586">
        <v>1980.9</v>
      </c>
    </row>
    <row r="5587" spans="1:8" x14ac:dyDescent="0.3">
      <c r="A5587">
        <v>202406</v>
      </c>
      <c r="B5587" s="1">
        <v>45444</v>
      </c>
      <c r="C5587">
        <v>2024</v>
      </c>
      <c r="D5587" t="s">
        <v>13</v>
      </c>
      <c r="E5587" t="s">
        <v>30</v>
      </c>
      <c r="F5587" t="s">
        <v>40</v>
      </c>
      <c r="G5587" t="s">
        <v>28</v>
      </c>
      <c r="H5587">
        <v>1470.81</v>
      </c>
    </row>
    <row r="5588" spans="1:8" x14ac:dyDescent="0.3">
      <c r="A5588">
        <v>202407</v>
      </c>
      <c r="B5588" s="1">
        <v>45474</v>
      </c>
      <c r="C5588">
        <v>2024</v>
      </c>
      <c r="D5588" t="s">
        <v>14</v>
      </c>
      <c r="E5588" t="s">
        <v>30</v>
      </c>
      <c r="F5588" t="s">
        <v>40</v>
      </c>
      <c r="G5588" t="s">
        <v>28</v>
      </c>
      <c r="H5588">
        <v>2369.5700000000002</v>
      </c>
    </row>
    <row r="5589" spans="1:8" x14ac:dyDescent="0.3">
      <c r="A5589">
        <v>202408</v>
      </c>
      <c r="B5589" s="1">
        <v>45505</v>
      </c>
      <c r="C5589">
        <v>2024</v>
      </c>
      <c r="D5589" t="s">
        <v>15</v>
      </c>
      <c r="E5589" t="s">
        <v>30</v>
      </c>
      <c r="F5589" t="s">
        <v>40</v>
      </c>
      <c r="G5589" t="s">
        <v>28</v>
      </c>
      <c r="H5589">
        <v>1906.65</v>
      </c>
    </row>
    <row r="5590" spans="1:8" x14ac:dyDescent="0.3">
      <c r="A5590">
        <v>202409</v>
      </c>
      <c r="B5590" s="1">
        <v>45536</v>
      </c>
      <c r="C5590">
        <v>2024</v>
      </c>
      <c r="D5590" t="s">
        <v>16</v>
      </c>
      <c r="E5590" t="s">
        <v>30</v>
      </c>
      <c r="F5590" t="s">
        <v>40</v>
      </c>
      <c r="G5590" t="s">
        <v>28</v>
      </c>
      <c r="H5590">
        <v>1421.5</v>
      </c>
    </row>
    <row r="5591" spans="1:8" x14ac:dyDescent="0.3">
      <c r="A5591">
        <v>202410</v>
      </c>
      <c r="B5591" s="1">
        <v>45566</v>
      </c>
      <c r="C5591">
        <v>2024</v>
      </c>
      <c r="D5591" t="s">
        <v>17</v>
      </c>
      <c r="E5591" t="s">
        <v>30</v>
      </c>
      <c r="F5591" t="s">
        <v>40</v>
      </c>
      <c r="G5591" t="s">
        <v>28</v>
      </c>
      <c r="H5591">
        <v>2355.7399999999998</v>
      </c>
    </row>
    <row r="5592" spans="1:8" x14ac:dyDescent="0.3">
      <c r="A5592">
        <v>202411</v>
      </c>
      <c r="B5592" s="1">
        <v>45597</v>
      </c>
      <c r="C5592">
        <v>2024</v>
      </c>
      <c r="D5592" t="s">
        <v>18</v>
      </c>
      <c r="E5592" t="s">
        <v>30</v>
      </c>
      <c r="F5592" t="s">
        <v>40</v>
      </c>
      <c r="G5592" t="s">
        <v>28</v>
      </c>
      <c r="H5592">
        <v>1896.55</v>
      </c>
    </row>
    <row r="5593" spans="1:8" x14ac:dyDescent="0.3">
      <c r="A5593">
        <v>202412</v>
      </c>
      <c r="B5593" s="1">
        <v>45627</v>
      </c>
      <c r="C5593">
        <v>2024</v>
      </c>
      <c r="D5593" t="s">
        <v>19</v>
      </c>
      <c r="E5593" t="s">
        <v>30</v>
      </c>
      <c r="F5593" t="s">
        <v>40</v>
      </c>
      <c r="G5593" t="s">
        <v>28</v>
      </c>
      <c r="H5593">
        <v>1457.45</v>
      </c>
    </row>
    <row r="5594" spans="1:8" x14ac:dyDescent="0.3">
      <c r="A5594">
        <v>202401</v>
      </c>
      <c r="B5594" s="1">
        <v>45292</v>
      </c>
      <c r="C5594">
        <v>2024</v>
      </c>
      <c r="D5594" t="s">
        <v>6</v>
      </c>
      <c r="E5594" t="s">
        <v>30</v>
      </c>
      <c r="F5594" t="s">
        <v>40</v>
      </c>
      <c r="G5594" t="s">
        <v>28</v>
      </c>
      <c r="H5594">
        <v>3725.76</v>
      </c>
    </row>
    <row r="5595" spans="1:8" x14ac:dyDescent="0.3">
      <c r="A5595">
        <v>202402</v>
      </c>
      <c r="B5595" s="1">
        <v>45323</v>
      </c>
      <c r="C5595">
        <v>2024</v>
      </c>
      <c r="D5595" t="s">
        <v>9</v>
      </c>
      <c r="E5595" t="s">
        <v>30</v>
      </c>
      <c r="F5595" t="s">
        <v>40</v>
      </c>
      <c r="G5595" t="s">
        <v>28</v>
      </c>
      <c r="H5595">
        <v>2020.65</v>
      </c>
    </row>
    <row r="5596" spans="1:8" x14ac:dyDescent="0.3">
      <c r="A5596">
        <v>202403</v>
      </c>
      <c r="B5596" s="1">
        <v>45352</v>
      </c>
      <c r="C5596">
        <v>2024</v>
      </c>
      <c r="D5596" t="s">
        <v>10</v>
      </c>
      <c r="E5596" t="s">
        <v>30</v>
      </c>
      <c r="F5596" t="s">
        <v>40</v>
      </c>
      <c r="G5596" t="s">
        <v>28</v>
      </c>
      <c r="H5596">
        <v>2128.19</v>
      </c>
    </row>
    <row r="5597" spans="1:8" x14ac:dyDescent="0.3">
      <c r="A5597">
        <v>202404</v>
      </c>
      <c r="B5597" s="1">
        <v>45383</v>
      </c>
      <c r="C5597">
        <v>2024</v>
      </c>
      <c r="D5597" t="s">
        <v>11</v>
      </c>
      <c r="E5597" t="s">
        <v>30</v>
      </c>
      <c r="F5597" t="s">
        <v>40</v>
      </c>
      <c r="G5597" t="s">
        <v>28</v>
      </c>
      <c r="H5597">
        <v>5736.6</v>
      </c>
    </row>
    <row r="5598" spans="1:8" x14ac:dyDescent="0.3">
      <c r="A5598">
        <v>202405</v>
      </c>
      <c r="B5598" s="1">
        <v>45413</v>
      </c>
      <c r="C5598">
        <v>2024</v>
      </c>
      <c r="D5598" t="s">
        <v>12</v>
      </c>
      <c r="E5598" t="s">
        <v>30</v>
      </c>
      <c r="F5598" t="s">
        <v>40</v>
      </c>
      <c r="G5598" t="s">
        <v>28</v>
      </c>
      <c r="H5598">
        <v>3709.82</v>
      </c>
    </row>
    <row r="5599" spans="1:8" x14ac:dyDescent="0.3">
      <c r="A5599">
        <v>202406</v>
      </c>
      <c r="B5599" s="1">
        <v>45444</v>
      </c>
      <c r="C5599">
        <v>2024</v>
      </c>
      <c r="D5599" t="s">
        <v>13</v>
      </c>
      <c r="E5599" t="s">
        <v>30</v>
      </c>
      <c r="F5599" t="s">
        <v>40</v>
      </c>
      <c r="G5599" t="s">
        <v>28</v>
      </c>
      <c r="H5599">
        <v>2687.54</v>
      </c>
    </row>
    <row r="5600" spans="1:8" x14ac:dyDescent="0.3">
      <c r="A5600">
        <v>202407</v>
      </c>
      <c r="B5600" s="1">
        <v>45474</v>
      </c>
      <c r="C5600">
        <v>2024</v>
      </c>
      <c r="D5600" t="s">
        <v>14</v>
      </c>
      <c r="E5600" t="s">
        <v>30</v>
      </c>
      <c r="F5600" t="s">
        <v>40</v>
      </c>
      <c r="G5600" t="s">
        <v>28</v>
      </c>
      <c r="H5600">
        <v>4366.42</v>
      </c>
    </row>
    <row r="5601" spans="1:8" x14ac:dyDescent="0.3">
      <c r="A5601">
        <v>202408</v>
      </c>
      <c r="B5601" s="1">
        <v>45505</v>
      </c>
      <c r="C5601">
        <v>2024</v>
      </c>
      <c r="D5601" t="s">
        <v>15</v>
      </c>
      <c r="E5601" t="s">
        <v>30</v>
      </c>
      <c r="F5601" t="s">
        <v>40</v>
      </c>
      <c r="G5601" t="s">
        <v>28</v>
      </c>
      <c r="H5601">
        <v>4763.1400000000003</v>
      </c>
    </row>
    <row r="5602" spans="1:8" x14ac:dyDescent="0.3">
      <c r="A5602">
        <v>202409</v>
      </c>
      <c r="B5602" s="1">
        <v>45536</v>
      </c>
      <c r="C5602">
        <v>2024</v>
      </c>
      <c r="D5602" t="s">
        <v>16</v>
      </c>
      <c r="E5602" t="s">
        <v>30</v>
      </c>
      <c r="F5602" t="s">
        <v>40</v>
      </c>
      <c r="G5602" t="s">
        <v>28</v>
      </c>
      <c r="H5602">
        <v>2555.06</v>
      </c>
    </row>
    <row r="5603" spans="1:8" x14ac:dyDescent="0.3">
      <c r="A5603">
        <v>202410</v>
      </c>
      <c r="B5603" s="1">
        <v>45566</v>
      </c>
      <c r="C5603">
        <v>2024</v>
      </c>
      <c r="D5603" t="s">
        <v>17</v>
      </c>
      <c r="E5603" t="s">
        <v>30</v>
      </c>
      <c r="F5603" t="s">
        <v>40</v>
      </c>
      <c r="G5603" t="s">
        <v>28</v>
      </c>
      <c r="H5603">
        <v>3972.49</v>
      </c>
    </row>
    <row r="5604" spans="1:8" x14ac:dyDescent="0.3">
      <c r="A5604">
        <v>202411</v>
      </c>
      <c r="B5604" s="1">
        <v>45597</v>
      </c>
      <c r="C5604">
        <v>2024</v>
      </c>
      <c r="D5604" t="s">
        <v>18</v>
      </c>
      <c r="E5604" t="s">
        <v>30</v>
      </c>
      <c r="F5604" t="s">
        <v>40</v>
      </c>
      <c r="G5604" t="s">
        <v>28</v>
      </c>
      <c r="H5604">
        <v>4202</v>
      </c>
    </row>
    <row r="5605" spans="1:8" x14ac:dyDescent="0.3">
      <c r="A5605">
        <v>202412</v>
      </c>
      <c r="B5605" s="1">
        <v>45627</v>
      </c>
      <c r="C5605">
        <v>2024</v>
      </c>
      <c r="D5605" t="s">
        <v>19</v>
      </c>
      <c r="E5605" t="s">
        <v>30</v>
      </c>
      <c r="F5605" t="s">
        <v>40</v>
      </c>
      <c r="G5605" t="s">
        <v>28</v>
      </c>
      <c r="H5605">
        <v>2828.81</v>
      </c>
    </row>
    <row r="5606" spans="1:8" x14ac:dyDescent="0.3">
      <c r="A5606">
        <v>202401</v>
      </c>
      <c r="B5606" s="1">
        <v>45292</v>
      </c>
      <c r="C5606">
        <v>2024</v>
      </c>
      <c r="D5606" t="s">
        <v>6</v>
      </c>
      <c r="E5606" t="s">
        <v>31</v>
      </c>
      <c r="F5606" t="s">
        <v>40</v>
      </c>
      <c r="G5606" t="s">
        <v>28</v>
      </c>
      <c r="H5606">
        <v>89.22</v>
      </c>
    </row>
    <row r="5607" spans="1:8" x14ac:dyDescent="0.3">
      <c r="A5607">
        <v>202402</v>
      </c>
      <c r="B5607" s="1">
        <v>45323</v>
      </c>
      <c r="C5607">
        <v>2024</v>
      </c>
      <c r="D5607" t="s">
        <v>9</v>
      </c>
      <c r="E5607" t="s">
        <v>31</v>
      </c>
      <c r="F5607" t="s">
        <v>40</v>
      </c>
      <c r="G5607" t="s">
        <v>28</v>
      </c>
      <c r="H5607">
        <v>71.150000000000006</v>
      </c>
    </row>
    <row r="5608" spans="1:8" x14ac:dyDescent="0.3">
      <c r="A5608">
        <v>202403</v>
      </c>
      <c r="B5608" s="1">
        <v>45352</v>
      </c>
      <c r="C5608">
        <v>2024</v>
      </c>
      <c r="D5608" t="s">
        <v>10</v>
      </c>
      <c r="E5608" t="s">
        <v>31</v>
      </c>
      <c r="F5608" t="s">
        <v>40</v>
      </c>
      <c r="G5608" t="s">
        <v>28</v>
      </c>
      <c r="H5608">
        <v>82.12</v>
      </c>
    </row>
    <row r="5609" spans="1:8" x14ac:dyDescent="0.3">
      <c r="A5609">
        <v>202404</v>
      </c>
      <c r="B5609" s="1">
        <v>45383</v>
      </c>
      <c r="C5609">
        <v>2024</v>
      </c>
      <c r="D5609" t="s">
        <v>11</v>
      </c>
      <c r="E5609" t="s">
        <v>31</v>
      </c>
      <c r="F5609" t="s">
        <v>40</v>
      </c>
      <c r="G5609" t="s">
        <v>28</v>
      </c>
      <c r="H5609">
        <v>134.22</v>
      </c>
    </row>
    <row r="5610" spans="1:8" x14ac:dyDescent="0.3">
      <c r="A5610">
        <v>202405</v>
      </c>
      <c r="B5610" s="1">
        <v>45413</v>
      </c>
      <c r="C5610">
        <v>2024</v>
      </c>
      <c r="D5610" t="s">
        <v>12</v>
      </c>
      <c r="E5610" t="s">
        <v>31</v>
      </c>
      <c r="F5610" t="s">
        <v>40</v>
      </c>
      <c r="G5610" t="s">
        <v>28</v>
      </c>
      <c r="H5610">
        <v>100.71</v>
      </c>
    </row>
    <row r="5611" spans="1:8" x14ac:dyDescent="0.3">
      <c r="A5611">
        <v>202406</v>
      </c>
      <c r="B5611" s="1">
        <v>45444</v>
      </c>
      <c r="C5611">
        <v>2024</v>
      </c>
      <c r="D5611" t="s">
        <v>13</v>
      </c>
      <c r="E5611" t="s">
        <v>31</v>
      </c>
      <c r="F5611" t="s">
        <v>40</v>
      </c>
      <c r="G5611" t="s">
        <v>28</v>
      </c>
      <c r="H5611">
        <v>102.34</v>
      </c>
    </row>
    <row r="5612" spans="1:8" x14ac:dyDescent="0.3">
      <c r="A5612">
        <v>202407</v>
      </c>
      <c r="B5612" s="1">
        <v>45474</v>
      </c>
      <c r="C5612">
        <v>2024</v>
      </c>
      <c r="D5612" t="s">
        <v>14</v>
      </c>
      <c r="E5612" t="s">
        <v>31</v>
      </c>
      <c r="F5612" t="s">
        <v>40</v>
      </c>
      <c r="G5612" t="s">
        <v>28</v>
      </c>
      <c r="H5612">
        <v>132.19</v>
      </c>
    </row>
    <row r="5613" spans="1:8" x14ac:dyDescent="0.3">
      <c r="A5613">
        <v>202408</v>
      </c>
      <c r="B5613" s="1">
        <v>45505</v>
      </c>
      <c r="C5613">
        <v>2024</v>
      </c>
      <c r="D5613" t="s">
        <v>15</v>
      </c>
      <c r="E5613" t="s">
        <v>31</v>
      </c>
      <c r="F5613" t="s">
        <v>40</v>
      </c>
      <c r="G5613" t="s">
        <v>28</v>
      </c>
      <c r="H5613">
        <v>110.43</v>
      </c>
    </row>
    <row r="5614" spans="1:8" x14ac:dyDescent="0.3">
      <c r="A5614">
        <v>202409</v>
      </c>
      <c r="B5614" s="1">
        <v>45536</v>
      </c>
      <c r="C5614">
        <v>2024</v>
      </c>
      <c r="D5614" t="s">
        <v>16</v>
      </c>
      <c r="E5614" t="s">
        <v>31</v>
      </c>
      <c r="F5614" t="s">
        <v>40</v>
      </c>
      <c r="G5614" t="s">
        <v>28</v>
      </c>
      <c r="H5614">
        <v>79.989999999999995</v>
      </c>
    </row>
    <row r="5615" spans="1:8" x14ac:dyDescent="0.3">
      <c r="A5615">
        <v>202410</v>
      </c>
      <c r="B5615" s="1">
        <v>45566</v>
      </c>
      <c r="C5615">
        <v>2024</v>
      </c>
      <c r="D5615" t="s">
        <v>17</v>
      </c>
      <c r="E5615" t="s">
        <v>31</v>
      </c>
      <c r="F5615" t="s">
        <v>40</v>
      </c>
      <c r="G5615" t="s">
        <v>28</v>
      </c>
      <c r="H5615">
        <v>124.86</v>
      </c>
    </row>
    <row r="5616" spans="1:8" x14ac:dyDescent="0.3">
      <c r="A5616">
        <v>202411</v>
      </c>
      <c r="B5616" s="1">
        <v>45597</v>
      </c>
      <c r="C5616">
        <v>2024</v>
      </c>
      <c r="D5616" t="s">
        <v>18</v>
      </c>
      <c r="E5616" t="s">
        <v>31</v>
      </c>
      <c r="F5616" t="s">
        <v>40</v>
      </c>
      <c r="G5616" t="s">
        <v>28</v>
      </c>
      <c r="H5616">
        <v>85.75</v>
      </c>
    </row>
    <row r="5617" spans="1:8" x14ac:dyDescent="0.3">
      <c r="A5617">
        <v>202412</v>
      </c>
      <c r="B5617" s="1">
        <v>45627</v>
      </c>
      <c r="C5617">
        <v>2024</v>
      </c>
      <c r="D5617" t="s">
        <v>19</v>
      </c>
      <c r="E5617" t="s">
        <v>31</v>
      </c>
      <c r="F5617" t="s">
        <v>40</v>
      </c>
      <c r="G5617" t="s">
        <v>28</v>
      </c>
      <c r="H5617">
        <v>104.31</v>
      </c>
    </row>
    <row r="5618" spans="1:8" x14ac:dyDescent="0.3">
      <c r="A5618">
        <v>202401</v>
      </c>
      <c r="B5618" s="1">
        <v>45292</v>
      </c>
      <c r="C5618">
        <v>2024</v>
      </c>
      <c r="D5618" t="s">
        <v>6</v>
      </c>
      <c r="E5618" t="s">
        <v>31</v>
      </c>
      <c r="F5618" t="s">
        <v>40</v>
      </c>
      <c r="G5618" t="s">
        <v>28</v>
      </c>
      <c r="H5618">
        <v>353.64</v>
      </c>
    </row>
    <row r="5619" spans="1:8" x14ac:dyDescent="0.3">
      <c r="A5619">
        <v>202402</v>
      </c>
      <c r="B5619" s="1">
        <v>45323</v>
      </c>
      <c r="C5619">
        <v>2024</v>
      </c>
      <c r="D5619" t="s">
        <v>9</v>
      </c>
      <c r="E5619" t="s">
        <v>31</v>
      </c>
      <c r="F5619" t="s">
        <v>40</v>
      </c>
      <c r="G5619" t="s">
        <v>28</v>
      </c>
      <c r="H5619">
        <v>157.15</v>
      </c>
    </row>
    <row r="5620" spans="1:8" x14ac:dyDescent="0.3">
      <c r="A5620">
        <v>202403</v>
      </c>
      <c r="B5620" s="1">
        <v>45352</v>
      </c>
      <c r="C5620">
        <v>2024</v>
      </c>
      <c r="D5620" t="s">
        <v>10</v>
      </c>
      <c r="E5620" t="s">
        <v>31</v>
      </c>
      <c r="F5620" t="s">
        <v>40</v>
      </c>
      <c r="G5620" t="s">
        <v>28</v>
      </c>
      <c r="H5620">
        <v>172.48</v>
      </c>
    </row>
    <row r="5621" spans="1:8" x14ac:dyDescent="0.3">
      <c r="A5621">
        <v>202404</v>
      </c>
      <c r="B5621" s="1">
        <v>45383</v>
      </c>
      <c r="C5621">
        <v>2024</v>
      </c>
      <c r="D5621" t="s">
        <v>11</v>
      </c>
      <c r="E5621" t="s">
        <v>31</v>
      </c>
      <c r="F5621" t="s">
        <v>40</v>
      </c>
      <c r="G5621" t="s">
        <v>28</v>
      </c>
      <c r="H5621">
        <v>398.71</v>
      </c>
    </row>
    <row r="5622" spans="1:8" x14ac:dyDescent="0.3">
      <c r="A5622">
        <v>202405</v>
      </c>
      <c r="B5622" s="1">
        <v>45413</v>
      </c>
      <c r="C5622">
        <v>2024</v>
      </c>
      <c r="D5622" t="s">
        <v>12</v>
      </c>
      <c r="E5622" t="s">
        <v>31</v>
      </c>
      <c r="F5622" t="s">
        <v>40</v>
      </c>
      <c r="G5622" t="s">
        <v>28</v>
      </c>
      <c r="H5622">
        <v>328.32</v>
      </c>
    </row>
    <row r="5623" spans="1:8" x14ac:dyDescent="0.3">
      <c r="A5623">
        <v>202406</v>
      </c>
      <c r="B5623" s="1">
        <v>45444</v>
      </c>
      <c r="C5623">
        <v>2024</v>
      </c>
      <c r="D5623" t="s">
        <v>13</v>
      </c>
      <c r="E5623" t="s">
        <v>31</v>
      </c>
      <c r="F5623" t="s">
        <v>40</v>
      </c>
      <c r="G5623" t="s">
        <v>28</v>
      </c>
      <c r="H5623">
        <v>240.78</v>
      </c>
    </row>
    <row r="5624" spans="1:8" x14ac:dyDescent="0.3">
      <c r="A5624">
        <v>202407</v>
      </c>
      <c r="B5624" s="1">
        <v>45474</v>
      </c>
      <c r="C5624">
        <v>2024</v>
      </c>
      <c r="D5624" t="s">
        <v>14</v>
      </c>
      <c r="E5624" t="s">
        <v>31</v>
      </c>
      <c r="F5624" t="s">
        <v>40</v>
      </c>
      <c r="G5624" t="s">
        <v>28</v>
      </c>
      <c r="H5624">
        <v>352.31</v>
      </c>
    </row>
    <row r="5625" spans="1:8" x14ac:dyDescent="0.3">
      <c r="A5625">
        <v>202408</v>
      </c>
      <c r="B5625" s="1">
        <v>45505</v>
      </c>
      <c r="C5625">
        <v>2024</v>
      </c>
      <c r="D5625" t="s">
        <v>15</v>
      </c>
      <c r="E5625" t="s">
        <v>31</v>
      </c>
      <c r="F5625" t="s">
        <v>40</v>
      </c>
      <c r="G5625" t="s">
        <v>28</v>
      </c>
      <c r="H5625">
        <v>321.43</v>
      </c>
    </row>
    <row r="5626" spans="1:8" x14ac:dyDescent="0.3">
      <c r="A5626">
        <v>202409</v>
      </c>
      <c r="B5626" s="1">
        <v>45536</v>
      </c>
      <c r="C5626">
        <v>2024</v>
      </c>
      <c r="D5626" t="s">
        <v>16</v>
      </c>
      <c r="E5626" t="s">
        <v>31</v>
      </c>
      <c r="F5626" t="s">
        <v>40</v>
      </c>
      <c r="G5626" t="s">
        <v>28</v>
      </c>
      <c r="H5626">
        <v>232.49</v>
      </c>
    </row>
    <row r="5627" spans="1:8" x14ac:dyDescent="0.3">
      <c r="A5627">
        <v>202410</v>
      </c>
      <c r="B5627" s="1">
        <v>45566</v>
      </c>
      <c r="C5627">
        <v>2024</v>
      </c>
      <c r="D5627" t="s">
        <v>17</v>
      </c>
      <c r="E5627" t="s">
        <v>31</v>
      </c>
      <c r="F5627" t="s">
        <v>40</v>
      </c>
      <c r="G5627" t="s">
        <v>28</v>
      </c>
      <c r="H5627">
        <v>323.26</v>
      </c>
    </row>
    <row r="5628" spans="1:8" x14ac:dyDescent="0.3">
      <c r="A5628">
        <v>202411</v>
      </c>
      <c r="B5628" s="1">
        <v>45597</v>
      </c>
      <c r="C5628">
        <v>2024</v>
      </c>
      <c r="D5628" t="s">
        <v>18</v>
      </c>
      <c r="E5628" t="s">
        <v>31</v>
      </c>
      <c r="F5628" t="s">
        <v>40</v>
      </c>
      <c r="G5628" t="s">
        <v>28</v>
      </c>
      <c r="H5628">
        <v>252.84</v>
      </c>
    </row>
    <row r="5629" spans="1:8" x14ac:dyDescent="0.3">
      <c r="A5629">
        <v>202412</v>
      </c>
      <c r="B5629" s="1">
        <v>45627</v>
      </c>
      <c r="C5629">
        <v>2024</v>
      </c>
      <c r="D5629" t="s">
        <v>19</v>
      </c>
      <c r="E5629" t="s">
        <v>31</v>
      </c>
      <c r="F5629" t="s">
        <v>40</v>
      </c>
      <c r="G5629" t="s">
        <v>28</v>
      </c>
      <c r="H5629">
        <v>296.13</v>
      </c>
    </row>
    <row r="5630" spans="1:8" x14ac:dyDescent="0.3">
      <c r="A5630">
        <v>202401</v>
      </c>
      <c r="B5630" s="1">
        <v>45292</v>
      </c>
      <c r="C5630">
        <v>2024</v>
      </c>
      <c r="D5630" t="s">
        <v>6</v>
      </c>
      <c r="E5630" t="s">
        <v>31</v>
      </c>
      <c r="F5630" t="s">
        <v>40</v>
      </c>
      <c r="G5630" t="s">
        <v>28</v>
      </c>
      <c r="H5630">
        <v>121.69</v>
      </c>
    </row>
    <row r="5631" spans="1:8" x14ac:dyDescent="0.3">
      <c r="A5631">
        <v>202402</v>
      </c>
      <c r="B5631" s="1">
        <v>45323</v>
      </c>
      <c r="C5631">
        <v>2024</v>
      </c>
      <c r="D5631" t="s">
        <v>9</v>
      </c>
      <c r="E5631" t="s">
        <v>31</v>
      </c>
      <c r="F5631" t="s">
        <v>40</v>
      </c>
      <c r="G5631" t="s">
        <v>28</v>
      </c>
      <c r="H5631">
        <v>69.86</v>
      </c>
    </row>
    <row r="5632" spans="1:8" x14ac:dyDescent="0.3">
      <c r="A5632">
        <v>202403</v>
      </c>
      <c r="B5632" s="1">
        <v>45352</v>
      </c>
      <c r="C5632">
        <v>2024</v>
      </c>
      <c r="D5632" t="s">
        <v>10</v>
      </c>
      <c r="E5632" t="s">
        <v>31</v>
      </c>
      <c r="F5632" t="s">
        <v>40</v>
      </c>
      <c r="G5632" t="s">
        <v>28</v>
      </c>
      <c r="H5632">
        <v>66.06</v>
      </c>
    </row>
    <row r="5633" spans="1:8" x14ac:dyDescent="0.3">
      <c r="A5633">
        <v>202404</v>
      </c>
      <c r="B5633" s="1">
        <v>45383</v>
      </c>
      <c r="C5633">
        <v>2024</v>
      </c>
      <c r="D5633" t="s">
        <v>11</v>
      </c>
      <c r="E5633" t="s">
        <v>31</v>
      </c>
      <c r="F5633" t="s">
        <v>40</v>
      </c>
      <c r="G5633" t="s">
        <v>28</v>
      </c>
      <c r="H5633">
        <v>118.91</v>
      </c>
    </row>
    <row r="5634" spans="1:8" x14ac:dyDescent="0.3">
      <c r="A5634">
        <v>202405</v>
      </c>
      <c r="B5634" s="1">
        <v>45413</v>
      </c>
      <c r="C5634">
        <v>2024</v>
      </c>
      <c r="D5634" t="s">
        <v>12</v>
      </c>
      <c r="E5634" t="s">
        <v>31</v>
      </c>
      <c r="F5634" t="s">
        <v>40</v>
      </c>
      <c r="G5634" t="s">
        <v>28</v>
      </c>
      <c r="H5634">
        <v>121.51</v>
      </c>
    </row>
    <row r="5635" spans="1:8" x14ac:dyDescent="0.3">
      <c r="A5635">
        <v>202406</v>
      </c>
      <c r="B5635" s="1">
        <v>45444</v>
      </c>
      <c r="C5635">
        <v>2024</v>
      </c>
      <c r="D5635" t="s">
        <v>13</v>
      </c>
      <c r="E5635" t="s">
        <v>31</v>
      </c>
      <c r="F5635" t="s">
        <v>40</v>
      </c>
      <c r="G5635" t="s">
        <v>28</v>
      </c>
      <c r="H5635">
        <v>99.08</v>
      </c>
    </row>
    <row r="5636" spans="1:8" x14ac:dyDescent="0.3">
      <c r="A5636">
        <v>202407</v>
      </c>
      <c r="B5636" s="1">
        <v>45474</v>
      </c>
      <c r="C5636">
        <v>2024</v>
      </c>
      <c r="D5636" t="s">
        <v>14</v>
      </c>
      <c r="E5636" t="s">
        <v>31</v>
      </c>
      <c r="F5636" t="s">
        <v>40</v>
      </c>
      <c r="G5636" t="s">
        <v>28</v>
      </c>
      <c r="H5636">
        <v>151.72999999999999</v>
      </c>
    </row>
    <row r="5637" spans="1:8" x14ac:dyDescent="0.3">
      <c r="A5637">
        <v>202408</v>
      </c>
      <c r="B5637" s="1">
        <v>45505</v>
      </c>
      <c r="C5637">
        <v>2024</v>
      </c>
      <c r="D5637" t="s">
        <v>15</v>
      </c>
      <c r="E5637" t="s">
        <v>31</v>
      </c>
      <c r="F5637" t="s">
        <v>40</v>
      </c>
      <c r="G5637" t="s">
        <v>28</v>
      </c>
      <c r="H5637">
        <v>99.02</v>
      </c>
    </row>
    <row r="5638" spans="1:8" x14ac:dyDescent="0.3">
      <c r="A5638">
        <v>202409</v>
      </c>
      <c r="B5638" s="1">
        <v>45536</v>
      </c>
      <c r="C5638">
        <v>2024</v>
      </c>
      <c r="D5638" t="s">
        <v>16</v>
      </c>
      <c r="E5638" t="s">
        <v>31</v>
      </c>
      <c r="F5638" t="s">
        <v>40</v>
      </c>
      <c r="G5638" t="s">
        <v>28</v>
      </c>
      <c r="H5638">
        <v>135.38</v>
      </c>
    </row>
    <row r="5639" spans="1:8" x14ac:dyDescent="0.3">
      <c r="A5639">
        <v>202410</v>
      </c>
      <c r="B5639" s="1">
        <v>45566</v>
      </c>
      <c r="C5639">
        <v>2024</v>
      </c>
      <c r="D5639" t="s">
        <v>17</v>
      </c>
      <c r="E5639" t="s">
        <v>31</v>
      </c>
      <c r="F5639" t="s">
        <v>40</v>
      </c>
      <c r="G5639" t="s">
        <v>28</v>
      </c>
      <c r="H5639">
        <v>132.84</v>
      </c>
    </row>
    <row r="5640" spans="1:8" x14ac:dyDescent="0.3">
      <c r="A5640">
        <v>202411</v>
      </c>
      <c r="B5640" s="1">
        <v>45597</v>
      </c>
      <c r="C5640">
        <v>2024</v>
      </c>
      <c r="D5640" t="s">
        <v>18</v>
      </c>
      <c r="E5640" t="s">
        <v>31</v>
      </c>
      <c r="F5640" t="s">
        <v>40</v>
      </c>
      <c r="G5640" t="s">
        <v>28</v>
      </c>
      <c r="H5640">
        <v>119.02</v>
      </c>
    </row>
    <row r="5641" spans="1:8" x14ac:dyDescent="0.3">
      <c r="A5641">
        <v>202412</v>
      </c>
      <c r="B5641" s="1">
        <v>45627</v>
      </c>
      <c r="C5641">
        <v>2024</v>
      </c>
      <c r="D5641" t="s">
        <v>19</v>
      </c>
      <c r="E5641" t="s">
        <v>31</v>
      </c>
      <c r="F5641" t="s">
        <v>40</v>
      </c>
      <c r="G5641" t="s">
        <v>28</v>
      </c>
      <c r="H5641">
        <v>169.42</v>
      </c>
    </row>
    <row r="5642" spans="1:8" x14ac:dyDescent="0.3">
      <c r="A5642">
        <v>202401</v>
      </c>
      <c r="B5642" s="1">
        <v>45292</v>
      </c>
      <c r="C5642">
        <v>2024</v>
      </c>
      <c r="D5642" t="s">
        <v>6</v>
      </c>
      <c r="E5642" t="s">
        <v>31</v>
      </c>
      <c r="F5642" t="s">
        <v>40</v>
      </c>
      <c r="G5642" t="s">
        <v>28</v>
      </c>
      <c r="H5642">
        <v>153.21</v>
      </c>
    </row>
    <row r="5643" spans="1:8" x14ac:dyDescent="0.3">
      <c r="A5643">
        <v>202402</v>
      </c>
      <c r="B5643" s="1">
        <v>45323</v>
      </c>
      <c r="C5643">
        <v>2024</v>
      </c>
      <c r="D5643" t="s">
        <v>9</v>
      </c>
      <c r="E5643" t="s">
        <v>31</v>
      </c>
      <c r="F5643" t="s">
        <v>40</v>
      </c>
      <c r="G5643" t="s">
        <v>28</v>
      </c>
      <c r="H5643">
        <v>93.54</v>
      </c>
    </row>
    <row r="5644" spans="1:8" x14ac:dyDescent="0.3">
      <c r="A5644">
        <v>202403</v>
      </c>
      <c r="B5644" s="1">
        <v>45352</v>
      </c>
      <c r="C5644">
        <v>2024</v>
      </c>
      <c r="D5644" t="s">
        <v>10</v>
      </c>
      <c r="E5644" t="s">
        <v>31</v>
      </c>
      <c r="F5644" t="s">
        <v>40</v>
      </c>
      <c r="G5644" t="s">
        <v>28</v>
      </c>
      <c r="H5644">
        <v>81.64</v>
      </c>
    </row>
    <row r="5645" spans="1:8" x14ac:dyDescent="0.3">
      <c r="A5645">
        <v>202404</v>
      </c>
      <c r="B5645" s="1">
        <v>45383</v>
      </c>
      <c r="C5645">
        <v>2024</v>
      </c>
      <c r="D5645" t="s">
        <v>11</v>
      </c>
      <c r="E5645" t="s">
        <v>31</v>
      </c>
      <c r="F5645" t="s">
        <v>40</v>
      </c>
      <c r="G5645" t="s">
        <v>28</v>
      </c>
      <c r="H5645">
        <v>189.01</v>
      </c>
    </row>
    <row r="5646" spans="1:8" x14ac:dyDescent="0.3">
      <c r="A5646">
        <v>202405</v>
      </c>
      <c r="B5646" s="1">
        <v>45413</v>
      </c>
      <c r="C5646">
        <v>2024</v>
      </c>
      <c r="D5646" t="s">
        <v>12</v>
      </c>
      <c r="E5646" t="s">
        <v>31</v>
      </c>
      <c r="F5646" t="s">
        <v>40</v>
      </c>
      <c r="G5646" t="s">
        <v>28</v>
      </c>
      <c r="H5646">
        <v>126.87</v>
      </c>
    </row>
    <row r="5647" spans="1:8" x14ac:dyDescent="0.3">
      <c r="A5647">
        <v>202406</v>
      </c>
      <c r="B5647" s="1">
        <v>45444</v>
      </c>
      <c r="C5647">
        <v>2024</v>
      </c>
      <c r="D5647" t="s">
        <v>13</v>
      </c>
      <c r="E5647" t="s">
        <v>31</v>
      </c>
      <c r="F5647" t="s">
        <v>40</v>
      </c>
      <c r="G5647" t="s">
        <v>28</v>
      </c>
      <c r="H5647">
        <v>136.11000000000001</v>
      </c>
    </row>
    <row r="5648" spans="1:8" x14ac:dyDescent="0.3">
      <c r="A5648">
        <v>202407</v>
      </c>
      <c r="B5648" s="1">
        <v>45474</v>
      </c>
      <c r="C5648">
        <v>2024</v>
      </c>
      <c r="D5648" t="s">
        <v>14</v>
      </c>
      <c r="E5648" t="s">
        <v>31</v>
      </c>
      <c r="F5648" t="s">
        <v>40</v>
      </c>
      <c r="G5648" t="s">
        <v>28</v>
      </c>
      <c r="H5648">
        <v>188.56</v>
      </c>
    </row>
    <row r="5649" spans="1:8" x14ac:dyDescent="0.3">
      <c r="A5649">
        <v>202408</v>
      </c>
      <c r="B5649" s="1">
        <v>45505</v>
      </c>
      <c r="C5649">
        <v>2024</v>
      </c>
      <c r="D5649" t="s">
        <v>15</v>
      </c>
      <c r="E5649" t="s">
        <v>31</v>
      </c>
      <c r="F5649" t="s">
        <v>40</v>
      </c>
      <c r="G5649" t="s">
        <v>28</v>
      </c>
      <c r="H5649">
        <v>133.97</v>
      </c>
    </row>
    <row r="5650" spans="1:8" x14ac:dyDescent="0.3">
      <c r="A5650">
        <v>202409</v>
      </c>
      <c r="B5650" s="1">
        <v>45536</v>
      </c>
      <c r="C5650">
        <v>2024</v>
      </c>
      <c r="D5650" t="s">
        <v>16</v>
      </c>
      <c r="E5650" t="s">
        <v>31</v>
      </c>
      <c r="F5650" t="s">
        <v>40</v>
      </c>
      <c r="G5650" t="s">
        <v>28</v>
      </c>
      <c r="H5650">
        <v>146.33000000000001</v>
      </c>
    </row>
    <row r="5651" spans="1:8" x14ac:dyDescent="0.3">
      <c r="A5651">
        <v>202410</v>
      </c>
      <c r="B5651" s="1">
        <v>45566</v>
      </c>
      <c r="C5651">
        <v>2024</v>
      </c>
      <c r="D5651" t="s">
        <v>17</v>
      </c>
      <c r="E5651" t="s">
        <v>31</v>
      </c>
      <c r="F5651" t="s">
        <v>40</v>
      </c>
      <c r="G5651" t="s">
        <v>28</v>
      </c>
      <c r="H5651">
        <v>170.6</v>
      </c>
    </row>
    <row r="5652" spans="1:8" x14ac:dyDescent="0.3">
      <c r="A5652">
        <v>202411</v>
      </c>
      <c r="B5652" s="1">
        <v>45597</v>
      </c>
      <c r="C5652">
        <v>2024</v>
      </c>
      <c r="D5652" t="s">
        <v>18</v>
      </c>
      <c r="E5652" t="s">
        <v>31</v>
      </c>
      <c r="F5652" t="s">
        <v>40</v>
      </c>
      <c r="G5652" t="s">
        <v>28</v>
      </c>
      <c r="H5652">
        <v>130.47999999999999</v>
      </c>
    </row>
    <row r="5653" spans="1:8" x14ac:dyDescent="0.3">
      <c r="A5653">
        <v>202412</v>
      </c>
      <c r="B5653" s="1">
        <v>45627</v>
      </c>
      <c r="C5653">
        <v>2024</v>
      </c>
      <c r="D5653" t="s">
        <v>19</v>
      </c>
      <c r="E5653" t="s">
        <v>31</v>
      </c>
      <c r="F5653" t="s">
        <v>40</v>
      </c>
      <c r="G5653" t="s">
        <v>28</v>
      </c>
      <c r="H5653">
        <v>199.22</v>
      </c>
    </row>
    <row r="5654" spans="1:8" x14ac:dyDescent="0.3">
      <c r="A5654">
        <v>202401</v>
      </c>
      <c r="B5654" s="1">
        <v>45292</v>
      </c>
      <c r="C5654">
        <v>2024</v>
      </c>
      <c r="D5654" t="s">
        <v>6</v>
      </c>
      <c r="E5654" t="s">
        <v>31</v>
      </c>
      <c r="F5654" t="s">
        <v>40</v>
      </c>
      <c r="G5654" t="s">
        <v>28</v>
      </c>
      <c r="H5654">
        <v>107.05</v>
      </c>
    </row>
    <row r="5655" spans="1:8" x14ac:dyDescent="0.3">
      <c r="A5655">
        <v>202402</v>
      </c>
      <c r="B5655" s="1">
        <v>45323</v>
      </c>
      <c r="C5655">
        <v>2024</v>
      </c>
      <c r="D5655" t="s">
        <v>9</v>
      </c>
      <c r="E5655" t="s">
        <v>31</v>
      </c>
      <c r="F5655" t="s">
        <v>40</v>
      </c>
      <c r="G5655" t="s">
        <v>28</v>
      </c>
      <c r="H5655">
        <v>66.64</v>
      </c>
    </row>
    <row r="5656" spans="1:8" x14ac:dyDescent="0.3">
      <c r="A5656">
        <v>202403</v>
      </c>
      <c r="B5656" s="1">
        <v>45352</v>
      </c>
      <c r="C5656">
        <v>2024</v>
      </c>
      <c r="D5656" t="s">
        <v>10</v>
      </c>
      <c r="E5656" t="s">
        <v>31</v>
      </c>
      <c r="F5656" t="s">
        <v>40</v>
      </c>
      <c r="G5656" t="s">
        <v>28</v>
      </c>
      <c r="H5656">
        <v>58.76</v>
      </c>
    </row>
    <row r="5657" spans="1:8" x14ac:dyDescent="0.3">
      <c r="A5657">
        <v>202404</v>
      </c>
      <c r="B5657" s="1">
        <v>45383</v>
      </c>
      <c r="C5657">
        <v>2024</v>
      </c>
      <c r="D5657" t="s">
        <v>11</v>
      </c>
      <c r="E5657" t="s">
        <v>31</v>
      </c>
      <c r="F5657" t="s">
        <v>40</v>
      </c>
      <c r="G5657" t="s">
        <v>28</v>
      </c>
      <c r="H5657">
        <v>133.91</v>
      </c>
    </row>
    <row r="5658" spans="1:8" x14ac:dyDescent="0.3">
      <c r="A5658">
        <v>202405</v>
      </c>
      <c r="B5658" s="1">
        <v>45413</v>
      </c>
      <c r="C5658">
        <v>2024</v>
      </c>
      <c r="D5658" t="s">
        <v>12</v>
      </c>
      <c r="E5658" t="s">
        <v>31</v>
      </c>
      <c r="F5658" t="s">
        <v>40</v>
      </c>
      <c r="G5658" t="s">
        <v>28</v>
      </c>
      <c r="H5658">
        <v>82.72</v>
      </c>
    </row>
    <row r="5659" spans="1:8" x14ac:dyDescent="0.3">
      <c r="A5659">
        <v>202406</v>
      </c>
      <c r="B5659" s="1">
        <v>45444</v>
      </c>
      <c r="C5659">
        <v>2024</v>
      </c>
      <c r="D5659" t="s">
        <v>13</v>
      </c>
      <c r="E5659" t="s">
        <v>31</v>
      </c>
      <c r="F5659" t="s">
        <v>40</v>
      </c>
      <c r="G5659" t="s">
        <v>28</v>
      </c>
      <c r="H5659">
        <v>86.09</v>
      </c>
    </row>
    <row r="5660" spans="1:8" x14ac:dyDescent="0.3">
      <c r="A5660">
        <v>202407</v>
      </c>
      <c r="B5660" s="1">
        <v>45474</v>
      </c>
      <c r="C5660">
        <v>2024</v>
      </c>
      <c r="D5660" t="s">
        <v>14</v>
      </c>
      <c r="E5660" t="s">
        <v>31</v>
      </c>
      <c r="F5660" t="s">
        <v>40</v>
      </c>
      <c r="G5660" t="s">
        <v>28</v>
      </c>
      <c r="H5660">
        <v>112.03</v>
      </c>
    </row>
    <row r="5661" spans="1:8" x14ac:dyDescent="0.3">
      <c r="A5661">
        <v>202408</v>
      </c>
      <c r="B5661" s="1">
        <v>45505</v>
      </c>
      <c r="C5661">
        <v>2024</v>
      </c>
      <c r="D5661" t="s">
        <v>15</v>
      </c>
      <c r="E5661" t="s">
        <v>31</v>
      </c>
      <c r="F5661" t="s">
        <v>40</v>
      </c>
      <c r="G5661" t="s">
        <v>28</v>
      </c>
      <c r="H5661">
        <v>84.89</v>
      </c>
    </row>
    <row r="5662" spans="1:8" x14ac:dyDescent="0.3">
      <c r="A5662">
        <v>202409</v>
      </c>
      <c r="B5662" s="1">
        <v>45536</v>
      </c>
      <c r="C5662">
        <v>2024</v>
      </c>
      <c r="D5662" t="s">
        <v>16</v>
      </c>
      <c r="E5662" t="s">
        <v>31</v>
      </c>
      <c r="F5662" t="s">
        <v>40</v>
      </c>
      <c r="G5662" t="s">
        <v>28</v>
      </c>
      <c r="H5662">
        <v>90.22</v>
      </c>
    </row>
    <row r="5663" spans="1:8" x14ac:dyDescent="0.3">
      <c r="A5663">
        <v>202410</v>
      </c>
      <c r="B5663" s="1">
        <v>45566</v>
      </c>
      <c r="C5663">
        <v>2024</v>
      </c>
      <c r="D5663" t="s">
        <v>17</v>
      </c>
      <c r="E5663" t="s">
        <v>31</v>
      </c>
      <c r="F5663" t="s">
        <v>40</v>
      </c>
      <c r="G5663" t="s">
        <v>28</v>
      </c>
      <c r="H5663">
        <v>109.95</v>
      </c>
    </row>
    <row r="5664" spans="1:8" x14ac:dyDescent="0.3">
      <c r="A5664">
        <v>202411</v>
      </c>
      <c r="B5664" s="1">
        <v>45597</v>
      </c>
      <c r="C5664">
        <v>2024</v>
      </c>
      <c r="D5664" t="s">
        <v>18</v>
      </c>
      <c r="E5664" t="s">
        <v>31</v>
      </c>
      <c r="F5664" t="s">
        <v>40</v>
      </c>
      <c r="G5664" t="s">
        <v>28</v>
      </c>
      <c r="H5664">
        <v>86.11</v>
      </c>
    </row>
    <row r="5665" spans="1:8" x14ac:dyDescent="0.3">
      <c r="A5665">
        <v>202412</v>
      </c>
      <c r="B5665" s="1">
        <v>45627</v>
      </c>
      <c r="C5665">
        <v>2024</v>
      </c>
      <c r="D5665" t="s">
        <v>19</v>
      </c>
      <c r="E5665" t="s">
        <v>31</v>
      </c>
      <c r="F5665" t="s">
        <v>40</v>
      </c>
      <c r="G5665" t="s">
        <v>28</v>
      </c>
      <c r="H5665">
        <v>79.81</v>
      </c>
    </row>
    <row r="5666" spans="1:8" x14ac:dyDescent="0.3">
      <c r="A5666">
        <v>202401</v>
      </c>
      <c r="B5666" s="1">
        <v>45292</v>
      </c>
      <c r="C5666">
        <v>2024</v>
      </c>
      <c r="D5666" t="s">
        <v>6</v>
      </c>
      <c r="E5666" t="s">
        <v>31</v>
      </c>
      <c r="F5666" t="s">
        <v>40</v>
      </c>
      <c r="G5666" t="s">
        <v>28</v>
      </c>
      <c r="H5666">
        <v>605.75</v>
      </c>
    </row>
    <row r="5667" spans="1:8" x14ac:dyDescent="0.3">
      <c r="A5667">
        <v>202402</v>
      </c>
      <c r="B5667" s="1">
        <v>45323</v>
      </c>
      <c r="C5667">
        <v>2024</v>
      </c>
      <c r="D5667" t="s">
        <v>9</v>
      </c>
      <c r="E5667" t="s">
        <v>31</v>
      </c>
      <c r="F5667" t="s">
        <v>40</v>
      </c>
      <c r="G5667" t="s">
        <v>28</v>
      </c>
      <c r="H5667">
        <v>308.98</v>
      </c>
    </row>
    <row r="5668" spans="1:8" x14ac:dyDescent="0.3">
      <c r="A5668">
        <v>202403</v>
      </c>
      <c r="B5668" s="1">
        <v>45352</v>
      </c>
      <c r="C5668">
        <v>2024</v>
      </c>
      <c r="D5668" t="s">
        <v>10</v>
      </c>
      <c r="E5668" t="s">
        <v>31</v>
      </c>
      <c r="F5668" t="s">
        <v>40</v>
      </c>
      <c r="G5668" t="s">
        <v>28</v>
      </c>
      <c r="H5668">
        <v>407.98</v>
      </c>
    </row>
    <row r="5669" spans="1:8" x14ac:dyDescent="0.3">
      <c r="A5669">
        <v>202404</v>
      </c>
      <c r="B5669" s="1">
        <v>45383</v>
      </c>
      <c r="C5669">
        <v>2024</v>
      </c>
      <c r="D5669" t="s">
        <v>11</v>
      </c>
      <c r="E5669" t="s">
        <v>31</v>
      </c>
      <c r="F5669" t="s">
        <v>40</v>
      </c>
      <c r="G5669" t="s">
        <v>28</v>
      </c>
      <c r="H5669">
        <v>658.94</v>
      </c>
    </row>
    <row r="5670" spans="1:8" x14ac:dyDescent="0.3">
      <c r="A5670">
        <v>202405</v>
      </c>
      <c r="B5670" s="1">
        <v>45413</v>
      </c>
      <c r="C5670">
        <v>2024</v>
      </c>
      <c r="D5670" t="s">
        <v>12</v>
      </c>
      <c r="E5670" t="s">
        <v>31</v>
      </c>
      <c r="F5670" t="s">
        <v>40</v>
      </c>
      <c r="G5670" t="s">
        <v>28</v>
      </c>
      <c r="H5670">
        <v>567.92999999999995</v>
      </c>
    </row>
    <row r="5671" spans="1:8" x14ac:dyDescent="0.3">
      <c r="A5671">
        <v>202406</v>
      </c>
      <c r="B5671" s="1">
        <v>45444</v>
      </c>
      <c r="C5671">
        <v>2024</v>
      </c>
      <c r="D5671" t="s">
        <v>13</v>
      </c>
      <c r="E5671" t="s">
        <v>31</v>
      </c>
      <c r="F5671" t="s">
        <v>40</v>
      </c>
      <c r="G5671" t="s">
        <v>28</v>
      </c>
      <c r="H5671">
        <v>627.59</v>
      </c>
    </row>
    <row r="5672" spans="1:8" x14ac:dyDescent="0.3">
      <c r="A5672">
        <v>202407</v>
      </c>
      <c r="B5672" s="1">
        <v>45474</v>
      </c>
      <c r="C5672">
        <v>2024</v>
      </c>
      <c r="D5672" t="s">
        <v>14</v>
      </c>
      <c r="E5672" t="s">
        <v>31</v>
      </c>
      <c r="F5672" t="s">
        <v>40</v>
      </c>
      <c r="G5672" t="s">
        <v>28</v>
      </c>
      <c r="H5672">
        <v>697.95</v>
      </c>
    </row>
    <row r="5673" spans="1:8" x14ac:dyDescent="0.3">
      <c r="A5673">
        <v>202408</v>
      </c>
      <c r="B5673" s="1">
        <v>45505</v>
      </c>
      <c r="C5673">
        <v>2024</v>
      </c>
      <c r="D5673" t="s">
        <v>15</v>
      </c>
      <c r="E5673" t="s">
        <v>31</v>
      </c>
      <c r="F5673" t="s">
        <v>40</v>
      </c>
      <c r="G5673" t="s">
        <v>28</v>
      </c>
      <c r="H5673">
        <v>524.73</v>
      </c>
    </row>
    <row r="5674" spans="1:8" x14ac:dyDescent="0.3">
      <c r="A5674">
        <v>202409</v>
      </c>
      <c r="B5674" s="1">
        <v>45536</v>
      </c>
      <c r="C5674">
        <v>2024</v>
      </c>
      <c r="D5674" t="s">
        <v>16</v>
      </c>
      <c r="E5674" t="s">
        <v>31</v>
      </c>
      <c r="F5674" t="s">
        <v>40</v>
      </c>
      <c r="G5674" t="s">
        <v>28</v>
      </c>
      <c r="H5674">
        <v>574.53</v>
      </c>
    </row>
    <row r="5675" spans="1:8" x14ac:dyDescent="0.3">
      <c r="A5675">
        <v>202410</v>
      </c>
      <c r="B5675" s="1">
        <v>45566</v>
      </c>
      <c r="C5675">
        <v>2024</v>
      </c>
      <c r="D5675" t="s">
        <v>17</v>
      </c>
      <c r="E5675" t="s">
        <v>31</v>
      </c>
      <c r="F5675" t="s">
        <v>40</v>
      </c>
      <c r="G5675" t="s">
        <v>28</v>
      </c>
      <c r="H5675">
        <v>730.89</v>
      </c>
    </row>
    <row r="5676" spans="1:8" x14ac:dyDescent="0.3">
      <c r="A5676">
        <v>202411</v>
      </c>
      <c r="B5676" s="1">
        <v>45597</v>
      </c>
      <c r="C5676">
        <v>2024</v>
      </c>
      <c r="D5676" t="s">
        <v>18</v>
      </c>
      <c r="E5676" t="s">
        <v>31</v>
      </c>
      <c r="F5676" t="s">
        <v>40</v>
      </c>
      <c r="G5676" t="s">
        <v>28</v>
      </c>
      <c r="H5676">
        <v>544.49</v>
      </c>
    </row>
    <row r="5677" spans="1:8" x14ac:dyDescent="0.3">
      <c r="A5677">
        <v>202412</v>
      </c>
      <c r="B5677" s="1">
        <v>45627</v>
      </c>
      <c r="C5677">
        <v>2024</v>
      </c>
      <c r="D5677" t="s">
        <v>19</v>
      </c>
      <c r="E5677" t="s">
        <v>31</v>
      </c>
      <c r="F5677" t="s">
        <v>40</v>
      </c>
      <c r="G5677" t="s">
        <v>28</v>
      </c>
      <c r="H5677">
        <v>635.17999999999995</v>
      </c>
    </row>
    <row r="5678" spans="1:8" x14ac:dyDescent="0.3">
      <c r="A5678">
        <v>202401</v>
      </c>
      <c r="B5678" s="1">
        <v>45292</v>
      </c>
      <c r="C5678">
        <v>2024</v>
      </c>
      <c r="D5678" t="s">
        <v>6</v>
      </c>
      <c r="E5678" t="s">
        <v>32</v>
      </c>
      <c r="F5678" t="s">
        <v>40</v>
      </c>
      <c r="G5678" t="s">
        <v>33</v>
      </c>
      <c r="H5678">
        <v>288.04000000000002</v>
      </c>
    </row>
    <row r="5679" spans="1:8" x14ac:dyDescent="0.3">
      <c r="A5679">
        <v>202402</v>
      </c>
      <c r="B5679" s="1">
        <v>45323</v>
      </c>
      <c r="C5679">
        <v>2024</v>
      </c>
      <c r="D5679" t="s">
        <v>9</v>
      </c>
      <c r="E5679" t="s">
        <v>32</v>
      </c>
      <c r="F5679" t="s">
        <v>40</v>
      </c>
      <c r="G5679" t="s">
        <v>33</v>
      </c>
      <c r="H5679">
        <v>134.51</v>
      </c>
    </row>
    <row r="5680" spans="1:8" x14ac:dyDescent="0.3">
      <c r="A5680">
        <v>202403</v>
      </c>
      <c r="B5680" s="1">
        <v>45352</v>
      </c>
      <c r="C5680">
        <v>2024</v>
      </c>
      <c r="D5680" t="s">
        <v>10</v>
      </c>
      <c r="E5680" t="s">
        <v>32</v>
      </c>
      <c r="F5680" t="s">
        <v>40</v>
      </c>
      <c r="G5680" t="s">
        <v>33</v>
      </c>
      <c r="H5680">
        <v>139.32</v>
      </c>
    </row>
    <row r="5681" spans="1:8" x14ac:dyDescent="0.3">
      <c r="A5681">
        <v>202404</v>
      </c>
      <c r="B5681" s="1">
        <v>45383</v>
      </c>
      <c r="C5681">
        <v>2024</v>
      </c>
      <c r="D5681" t="s">
        <v>11</v>
      </c>
      <c r="E5681" t="s">
        <v>32</v>
      </c>
      <c r="F5681" t="s">
        <v>40</v>
      </c>
      <c r="G5681" t="s">
        <v>33</v>
      </c>
      <c r="H5681">
        <v>317.02</v>
      </c>
    </row>
    <row r="5682" spans="1:8" x14ac:dyDescent="0.3">
      <c r="A5682">
        <v>202405</v>
      </c>
      <c r="B5682" s="1">
        <v>45413</v>
      </c>
      <c r="C5682">
        <v>2024</v>
      </c>
      <c r="D5682" t="s">
        <v>12</v>
      </c>
      <c r="E5682" t="s">
        <v>32</v>
      </c>
      <c r="F5682" t="s">
        <v>40</v>
      </c>
      <c r="G5682" t="s">
        <v>33</v>
      </c>
      <c r="H5682">
        <v>182.22</v>
      </c>
    </row>
    <row r="5683" spans="1:8" x14ac:dyDescent="0.3">
      <c r="A5683">
        <v>202406</v>
      </c>
      <c r="B5683" s="1">
        <v>45444</v>
      </c>
      <c r="C5683">
        <v>2024</v>
      </c>
      <c r="D5683" t="s">
        <v>13</v>
      </c>
      <c r="E5683" t="s">
        <v>32</v>
      </c>
      <c r="F5683" t="s">
        <v>40</v>
      </c>
      <c r="G5683" t="s">
        <v>33</v>
      </c>
      <c r="H5683">
        <v>164.04</v>
      </c>
    </row>
    <row r="5684" spans="1:8" x14ac:dyDescent="0.3">
      <c r="A5684">
        <v>202407</v>
      </c>
      <c r="B5684" s="1">
        <v>45474</v>
      </c>
      <c r="C5684">
        <v>2024</v>
      </c>
      <c r="D5684" t="s">
        <v>14</v>
      </c>
      <c r="E5684" t="s">
        <v>32</v>
      </c>
      <c r="F5684" t="s">
        <v>40</v>
      </c>
      <c r="G5684" t="s">
        <v>33</v>
      </c>
      <c r="H5684">
        <v>260.81</v>
      </c>
    </row>
    <row r="5685" spans="1:8" x14ac:dyDescent="0.3">
      <c r="A5685">
        <v>202408</v>
      </c>
      <c r="B5685" s="1">
        <v>45505</v>
      </c>
      <c r="C5685">
        <v>2024</v>
      </c>
      <c r="D5685" t="s">
        <v>15</v>
      </c>
      <c r="E5685" t="s">
        <v>32</v>
      </c>
      <c r="F5685" t="s">
        <v>40</v>
      </c>
      <c r="G5685" t="s">
        <v>33</v>
      </c>
      <c r="H5685">
        <v>186.6</v>
      </c>
    </row>
    <row r="5686" spans="1:8" x14ac:dyDescent="0.3">
      <c r="A5686">
        <v>202409</v>
      </c>
      <c r="B5686" s="1">
        <v>45536</v>
      </c>
      <c r="C5686">
        <v>2024</v>
      </c>
      <c r="D5686" t="s">
        <v>16</v>
      </c>
      <c r="E5686" t="s">
        <v>32</v>
      </c>
      <c r="F5686" t="s">
        <v>40</v>
      </c>
      <c r="G5686" t="s">
        <v>33</v>
      </c>
      <c r="H5686">
        <v>164.04</v>
      </c>
    </row>
    <row r="5687" spans="1:8" x14ac:dyDescent="0.3">
      <c r="A5687">
        <v>202410</v>
      </c>
      <c r="B5687" s="1">
        <v>45566</v>
      </c>
      <c r="C5687">
        <v>2024</v>
      </c>
      <c r="D5687" t="s">
        <v>17</v>
      </c>
      <c r="E5687" t="s">
        <v>32</v>
      </c>
      <c r="F5687" t="s">
        <v>40</v>
      </c>
      <c r="G5687" t="s">
        <v>33</v>
      </c>
      <c r="H5687">
        <v>298.91000000000003</v>
      </c>
    </row>
    <row r="5688" spans="1:8" x14ac:dyDescent="0.3">
      <c r="A5688">
        <v>202411</v>
      </c>
      <c r="B5688" s="1">
        <v>45597</v>
      </c>
      <c r="C5688">
        <v>2024</v>
      </c>
      <c r="D5688" t="s">
        <v>18</v>
      </c>
      <c r="E5688" t="s">
        <v>32</v>
      </c>
      <c r="F5688" t="s">
        <v>40</v>
      </c>
      <c r="G5688" t="s">
        <v>33</v>
      </c>
      <c r="H5688">
        <v>201.7</v>
      </c>
    </row>
    <row r="5689" spans="1:8" x14ac:dyDescent="0.3">
      <c r="A5689">
        <v>202412</v>
      </c>
      <c r="B5689" s="1">
        <v>45627</v>
      </c>
      <c r="C5689">
        <v>2024</v>
      </c>
      <c r="D5689" t="s">
        <v>19</v>
      </c>
      <c r="E5689" t="s">
        <v>32</v>
      </c>
      <c r="F5689" t="s">
        <v>40</v>
      </c>
      <c r="G5689" t="s">
        <v>33</v>
      </c>
      <c r="H5689">
        <v>294.16000000000003</v>
      </c>
    </row>
    <row r="5690" spans="1:8" x14ac:dyDescent="0.3">
      <c r="A5690">
        <v>202401</v>
      </c>
      <c r="B5690" s="1">
        <v>45292</v>
      </c>
      <c r="C5690">
        <v>2024</v>
      </c>
      <c r="D5690" t="s">
        <v>6</v>
      </c>
      <c r="E5690" t="s">
        <v>32</v>
      </c>
      <c r="F5690" t="s">
        <v>40</v>
      </c>
      <c r="G5690" t="s">
        <v>33</v>
      </c>
      <c r="H5690">
        <v>202.56</v>
      </c>
    </row>
    <row r="5691" spans="1:8" x14ac:dyDescent="0.3">
      <c r="A5691">
        <v>202402</v>
      </c>
      <c r="B5691" s="1">
        <v>45323</v>
      </c>
      <c r="C5691">
        <v>2024</v>
      </c>
      <c r="D5691" t="s">
        <v>9</v>
      </c>
      <c r="E5691" t="s">
        <v>32</v>
      </c>
      <c r="F5691" t="s">
        <v>40</v>
      </c>
      <c r="G5691" t="s">
        <v>33</v>
      </c>
      <c r="H5691">
        <v>108.2</v>
      </c>
    </row>
    <row r="5692" spans="1:8" x14ac:dyDescent="0.3">
      <c r="A5692">
        <v>202403</v>
      </c>
      <c r="B5692" s="1">
        <v>45352</v>
      </c>
      <c r="C5692">
        <v>2024</v>
      </c>
      <c r="D5692" t="s">
        <v>10</v>
      </c>
      <c r="E5692" t="s">
        <v>32</v>
      </c>
      <c r="F5692" t="s">
        <v>40</v>
      </c>
      <c r="G5692" t="s">
        <v>33</v>
      </c>
      <c r="H5692">
        <v>131.22999999999999</v>
      </c>
    </row>
    <row r="5693" spans="1:8" x14ac:dyDescent="0.3">
      <c r="A5693">
        <v>202404</v>
      </c>
      <c r="B5693" s="1">
        <v>45383</v>
      </c>
      <c r="C5693">
        <v>2024</v>
      </c>
      <c r="D5693" t="s">
        <v>11</v>
      </c>
      <c r="E5693" t="s">
        <v>32</v>
      </c>
      <c r="F5693" t="s">
        <v>40</v>
      </c>
      <c r="G5693" t="s">
        <v>33</v>
      </c>
      <c r="H5693">
        <v>233.61</v>
      </c>
    </row>
    <row r="5694" spans="1:8" x14ac:dyDescent="0.3">
      <c r="A5694">
        <v>202405</v>
      </c>
      <c r="B5694" s="1">
        <v>45413</v>
      </c>
      <c r="C5694">
        <v>2024</v>
      </c>
      <c r="D5694" t="s">
        <v>12</v>
      </c>
      <c r="E5694" t="s">
        <v>32</v>
      </c>
      <c r="F5694" t="s">
        <v>40</v>
      </c>
      <c r="G5694" t="s">
        <v>33</v>
      </c>
      <c r="H5694">
        <v>146.66999999999999</v>
      </c>
    </row>
    <row r="5695" spans="1:8" x14ac:dyDescent="0.3">
      <c r="A5695">
        <v>202406</v>
      </c>
      <c r="B5695" s="1">
        <v>45444</v>
      </c>
      <c r="C5695">
        <v>2024</v>
      </c>
      <c r="D5695" t="s">
        <v>13</v>
      </c>
      <c r="E5695" t="s">
        <v>32</v>
      </c>
      <c r="F5695" t="s">
        <v>40</v>
      </c>
      <c r="G5695" t="s">
        <v>33</v>
      </c>
      <c r="H5695">
        <v>160.47</v>
      </c>
    </row>
    <row r="5696" spans="1:8" x14ac:dyDescent="0.3">
      <c r="A5696">
        <v>202407</v>
      </c>
      <c r="B5696" s="1">
        <v>45474</v>
      </c>
      <c r="C5696">
        <v>2024</v>
      </c>
      <c r="D5696" t="s">
        <v>14</v>
      </c>
      <c r="E5696" t="s">
        <v>32</v>
      </c>
      <c r="F5696" t="s">
        <v>40</v>
      </c>
      <c r="G5696" t="s">
        <v>33</v>
      </c>
      <c r="H5696">
        <v>204.45</v>
      </c>
    </row>
    <row r="5697" spans="1:8" x14ac:dyDescent="0.3">
      <c r="A5697">
        <v>202408</v>
      </c>
      <c r="B5697" s="1">
        <v>45505</v>
      </c>
      <c r="C5697">
        <v>2024</v>
      </c>
      <c r="D5697" t="s">
        <v>15</v>
      </c>
      <c r="E5697" t="s">
        <v>32</v>
      </c>
      <c r="F5697" t="s">
        <v>40</v>
      </c>
      <c r="G5697" t="s">
        <v>33</v>
      </c>
      <c r="H5697">
        <v>169.36</v>
      </c>
    </row>
    <row r="5698" spans="1:8" x14ac:dyDescent="0.3">
      <c r="A5698">
        <v>202409</v>
      </c>
      <c r="B5698" s="1">
        <v>45536</v>
      </c>
      <c r="C5698">
        <v>2024</v>
      </c>
      <c r="D5698" t="s">
        <v>16</v>
      </c>
      <c r="E5698" t="s">
        <v>32</v>
      </c>
      <c r="F5698" t="s">
        <v>40</v>
      </c>
      <c r="G5698" t="s">
        <v>33</v>
      </c>
      <c r="H5698">
        <v>174.81</v>
      </c>
    </row>
    <row r="5699" spans="1:8" x14ac:dyDescent="0.3">
      <c r="A5699">
        <v>202410</v>
      </c>
      <c r="B5699" s="1">
        <v>45566</v>
      </c>
      <c r="C5699">
        <v>2024</v>
      </c>
      <c r="D5699" t="s">
        <v>17</v>
      </c>
      <c r="E5699" t="s">
        <v>32</v>
      </c>
      <c r="F5699" t="s">
        <v>40</v>
      </c>
      <c r="G5699" t="s">
        <v>33</v>
      </c>
      <c r="H5699">
        <v>244.79</v>
      </c>
    </row>
    <row r="5700" spans="1:8" x14ac:dyDescent="0.3">
      <c r="A5700">
        <v>202411</v>
      </c>
      <c r="B5700" s="1">
        <v>45597</v>
      </c>
      <c r="C5700">
        <v>2024</v>
      </c>
      <c r="D5700" t="s">
        <v>18</v>
      </c>
      <c r="E5700" t="s">
        <v>32</v>
      </c>
      <c r="F5700" t="s">
        <v>40</v>
      </c>
      <c r="G5700" t="s">
        <v>33</v>
      </c>
      <c r="H5700">
        <v>175.68</v>
      </c>
    </row>
    <row r="5701" spans="1:8" x14ac:dyDescent="0.3">
      <c r="A5701">
        <v>202412</v>
      </c>
      <c r="B5701" s="1">
        <v>45627</v>
      </c>
      <c r="C5701">
        <v>2024</v>
      </c>
      <c r="D5701" t="s">
        <v>19</v>
      </c>
      <c r="E5701" t="s">
        <v>32</v>
      </c>
      <c r="F5701" t="s">
        <v>40</v>
      </c>
      <c r="G5701" t="s">
        <v>33</v>
      </c>
      <c r="H5701">
        <v>223</v>
      </c>
    </row>
    <row r="5702" spans="1:8" x14ac:dyDescent="0.3">
      <c r="A5702">
        <v>202401</v>
      </c>
      <c r="B5702" s="1">
        <v>45292</v>
      </c>
      <c r="C5702">
        <v>2024</v>
      </c>
      <c r="D5702" t="s">
        <v>6</v>
      </c>
      <c r="E5702" t="s">
        <v>32</v>
      </c>
      <c r="F5702" t="s">
        <v>40</v>
      </c>
      <c r="G5702" t="s">
        <v>33</v>
      </c>
      <c r="H5702">
        <v>93.74</v>
      </c>
    </row>
    <row r="5703" spans="1:8" x14ac:dyDescent="0.3">
      <c r="A5703">
        <v>202402</v>
      </c>
      <c r="B5703" s="1">
        <v>45323</v>
      </c>
      <c r="C5703">
        <v>2024</v>
      </c>
      <c r="D5703" t="s">
        <v>9</v>
      </c>
      <c r="E5703" t="s">
        <v>32</v>
      </c>
      <c r="F5703" t="s">
        <v>40</v>
      </c>
      <c r="G5703" t="s">
        <v>33</v>
      </c>
      <c r="H5703">
        <v>40.840000000000003</v>
      </c>
    </row>
    <row r="5704" spans="1:8" x14ac:dyDescent="0.3">
      <c r="A5704">
        <v>202403</v>
      </c>
      <c r="B5704" s="1">
        <v>45352</v>
      </c>
      <c r="C5704">
        <v>2024</v>
      </c>
      <c r="D5704" t="s">
        <v>10</v>
      </c>
      <c r="E5704" t="s">
        <v>32</v>
      </c>
      <c r="F5704" t="s">
        <v>40</v>
      </c>
      <c r="G5704" t="s">
        <v>33</v>
      </c>
      <c r="H5704">
        <v>52.58</v>
      </c>
    </row>
    <row r="5705" spans="1:8" x14ac:dyDescent="0.3">
      <c r="A5705">
        <v>202404</v>
      </c>
      <c r="B5705" s="1">
        <v>45383</v>
      </c>
      <c r="C5705">
        <v>2024</v>
      </c>
      <c r="D5705" t="s">
        <v>11</v>
      </c>
      <c r="E5705" t="s">
        <v>32</v>
      </c>
      <c r="F5705" t="s">
        <v>40</v>
      </c>
      <c r="G5705" t="s">
        <v>33</v>
      </c>
      <c r="H5705">
        <v>77</v>
      </c>
    </row>
    <row r="5706" spans="1:8" x14ac:dyDescent="0.3">
      <c r="A5706">
        <v>202405</v>
      </c>
      <c r="B5706" s="1">
        <v>45413</v>
      </c>
      <c r="C5706">
        <v>2024</v>
      </c>
      <c r="D5706" t="s">
        <v>12</v>
      </c>
      <c r="E5706" t="s">
        <v>32</v>
      </c>
      <c r="F5706" t="s">
        <v>40</v>
      </c>
      <c r="G5706" t="s">
        <v>33</v>
      </c>
      <c r="H5706">
        <v>70.67</v>
      </c>
    </row>
    <row r="5707" spans="1:8" x14ac:dyDescent="0.3">
      <c r="A5707">
        <v>202406</v>
      </c>
      <c r="B5707" s="1">
        <v>45444</v>
      </c>
      <c r="C5707">
        <v>2024</v>
      </c>
      <c r="D5707" t="s">
        <v>13</v>
      </c>
      <c r="E5707" t="s">
        <v>32</v>
      </c>
      <c r="F5707" t="s">
        <v>40</v>
      </c>
      <c r="G5707" t="s">
        <v>33</v>
      </c>
      <c r="H5707">
        <v>113.19</v>
      </c>
    </row>
    <row r="5708" spans="1:8" x14ac:dyDescent="0.3">
      <c r="A5708">
        <v>202407</v>
      </c>
      <c r="B5708" s="1">
        <v>45474</v>
      </c>
      <c r="C5708">
        <v>2024</v>
      </c>
      <c r="D5708" t="s">
        <v>14</v>
      </c>
      <c r="E5708" t="s">
        <v>32</v>
      </c>
      <c r="F5708" t="s">
        <v>40</v>
      </c>
      <c r="G5708" t="s">
        <v>33</v>
      </c>
      <c r="H5708">
        <v>47.66</v>
      </c>
    </row>
    <row r="5709" spans="1:8" x14ac:dyDescent="0.3">
      <c r="A5709">
        <v>202408</v>
      </c>
      <c r="B5709" s="1">
        <v>45505</v>
      </c>
      <c r="C5709">
        <v>2024</v>
      </c>
      <c r="D5709" t="s">
        <v>15</v>
      </c>
      <c r="E5709" t="s">
        <v>32</v>
      </c>
      <c r="F5709" t="s">
        <v>40</v>
      </c>
      <c r="G5709" t="s">
        <v>33</v>
      </c>
      <c r="H5709">
        <v>70.39</v>
      </c>
    </row>
    <row r="5710" spans="1:8" x14ac:dyDescent="0.3">
      <c r="A5710">
        <v>202409</v>
      </c>
      <c r="B5710" s="1">
        <v>45536</v>
      </c>
      <c r="C5710">
        <v>2024</v>
      </c>
      <c r="D5710" t="s">
        <v>16</v>
      </c>
      <c r="E5710" t="s">
        <v>32</v>
      </c>
      <c r="F5710" t="s">
        <v>40</v>
      </c>
      <c r="G5710" t="s">
        <v>33</v>
      </c>
      <c r="H5710">
        <v>83.43</v>
      </c>
    </row>
    <row r="5711" spans="1:8" x14ac:dyDescent="0.3">
      <c r="A5711">
        <v>202410</v>
      </c>
      <c r="B5711" s="1">
        <v>45566</v>
      </c>
      <c r="C5711">
        <v>2024</v>
      </c>
      <c r="D5711" t="s">
        <v>17</v>
      </c>
      <c r="E5711" t="s">
        <v>32</v>
      </c>
      <c r="F5711" t="s">
        <v>40</v>
      </c>
      <c r="G5711" t="s">
        <v>33</v>
      </c>
      <c r="H5711">
        <v>100.32</v>
      </c>
    </row>
    <row r="5712" spans="1:8" x14ac:dyDescent="0.3">
      <c r="A5712">
        <v>202411</v>
      </c>
      <c r="B5712" s="1">
        <v>45597</v>
      </c>
      <c r="C5712">
        <v>2024</v>
      </c>
      <c r="D5712" t="s">
        <v>18</v>
      </c>
      <c r="E5712" t="s">
        <v>32</v>
      </c>
      <c r="F5712" t="s">
        <v>40</v>
      </c>
      <c r="G5712" t="s">
        <v>33</v>
      </c>
      <c r="H5712">
        <v>84.22</v>
      </c>
    </row>
    <row r="5713" spans="1:8" x14ac:dyDescent="0.3">
      <c r="A5713">
        <v>202412</v>
      </c>
      <c r="B5713" s="1">
        <v>45627</v>
      </c>
      <c r="C5713">
        <v>2024</v>
      </c>
      <c r="D5713" t="s">
        <v>19</v>
      </c>
      <c r="E5713" t="s">
        <v>32</v>
      </c>
      <c r="F5713" t="s">
        <v>40</v>
      </c>
      <c r="G5713" t="s">
        <v>33</v>
      </c>
      <c r="H5713">
        <v>125.54</v>
      </c>
    </row>
    <row r="5714" spans="1:8" x14ac:dyDescent="0.3">
      <c r="A5714">
        <v>202401</v>
      </c>
      <c r="B5714" s="1">
        <v>45292</v>
      </c>
      <c r="C5714">
        <v>2024</v>
      </c>
      <c r="D5714" t="s">
        <v>6</v>
      </c>
      <c r="E5714" t="s">
        <v>32</v>
      </c>
      <c r="F5714" t="s">
        <v>40</v>
      </c>
      <c r="G5714" t="s">
        <v>33</v>
      </c>
      <c r="H5714">
        <v>499.39</v>
      </c>
    </row>
    <row r="5715" spans="1:8" x14ac:dyDescent="0.3">
      <c r="A5715">
        <v>202402</v>
      </c>
      <c r="B5715" s="1">
        <v>45323</v>
      </c>
      <c r="C5715">
        <v>2024</v>
      </c>
      <c r="D5715" t="s">
        <v>9</v>
      </c>
      <c r="E5715" t="s">
        <v>32</v>
      </c>
      <c r="F5715" t="s">
        <v>40</v>
      </c>
      <c r="G5715" t="s">
        <v>33</v>
      </c>
      <c r="H5715">
        <v>195.9</v>
      </c>
    </row>
    <row r="5716" spans="1:8" x14ac:dyDescent="0.3">
      <c r="A5716">
        <v>202403</v>
      </c>
      <c r="B5716" s="1">
        <v>45352</v>
      </c>
      <c r="C5716">
        <v>2024</v>
      </c>
      <c r="D5716" t="s">
        <v>10</v>
      </c>
      <c r="E5716" t="s">
        <v>32</v>
      </c>
      <c r="F5716" t="s">
        <v>40</v>
      </c>
      <c r="G5716" t="s">
        <v>33</v>
      </c>
      <c r="H5716">
        <v>231.44</v>
      </c>
    </row>
    <row r="5717" spans="1:8" x14ac:dyDescent="0.3">
      <c r="A5717">
        <v>202404</v>
      </c>
      <c r="B5717" s="1">
        <v>45383</v>
      </c>
      <c r="C5717">
        <v>2024</v>
      </c>
      <c r="D5717" t="s">
        <v>11</v>
      </c>
      <c r="E5717" t="s">
        <v>32</v>
      </c>
      <c r="F5717" t="s">
        <v>40</v>
      </c>
      <c r="G5717" t="s">
        <v>33</v>
      </c>
      <c r="H5717">
        <v>418.26</v>
      </c>
    </row>
    <row r="5718" spans="1:8" x14ac:dyDescent="0.3">
      <c r="A5718">
        <v>202405</v>
      </c>
      <c r="B5718" s="1">
        <v>45413</v>
      </c>
      <c r="C5718">
        <v>2024</v>
      </c>
      <c r="D5718" t="s">
        <v>12</v>
      </c>
      <c r="E5718" t="s">
        <v>32</v>
      </c>
      <c r="F5718" t="s">
        <v>40</v>
      </c>
      <c r="G5718" t="s">
        <v>33</v>
      </c>
      <c r="H5718">
        <v>315.73</v>
      </c>
    </row>
    <row r="5719" spans="1:8" x14ac:dyDescent="0.3">
      <c r="A5719">
        <v>202406</v>
      </c>
      <c r="B5719" s="1">
        <v>45444</v>
      </c>
      <c r="C5719">
        <v>2024</v>
      </c>
      <c r="D5719" t="s">
        <v>13</v>
      </c>
      <c r="E5719" t="s">
        <v>32</v>
      </c>
      <c r="F5719" t="s">
        <v>40</v>
      </c>
      <c r="G5719" t="s">
        <v>33</v>
      </c>
      <c r="H5719">
        <v>328.83</v>
      </c>
    </row>
    <row r="5720" spans="1:8" x14ac:dyDescent="0.3">
      <c r="A5720">
        <v>202407</v>
      </c>
      <c r="B5720" s="1">
        <v>45474</v>
      </c>
      <c r="C5720">
        <v>2024</v>
      </c>
      <c r="D5720" t="s">
        <v>14</v>
      </c>
      <c r="E5720" t="s">
        <v>32</v>
      </c>
      <c r="F5720" t="s">
        <v>40</v>
      </c>
      <c r="G5720" t="s">
        <v>33</v>
      </c>
      <c r="H5720">
        <v>428.98</v>
      </c>
    </row>
    <row r="5721" spans="1:8" x14ac:dyDescent="0.3">
      <c r="A5721">
        <v>202408</v>
      </c>
      <c r="B5721" s="1">
        <v>45505</v>
      </c>
      <c r="C5721">
        <v>2024</v>
      </c>
      <c r="D5721" t="s">
        <v>15</v>
      </c>
      <c r="E5721" t="s">
        <v>32</v>
      </c>
      <c r="F5721" t="s">
        <v>40</v>
      </c>
      <c r="G5721" t="s">
        <v>33</v>
      </c>
      <c r="H5721">
        <v>372.57</v>
      </c>
    </row>
    <row r="5722" spans="1:8" x14ac:dyDescent="0.3">
      <c r="A5722">
        <v>202409</v>
      </c>
      <c r="B5722" s="1">
        <v>45536</v>
      </c>
      <c r="C5722">
        <v>2024</v>
      </c>
      <c r="D5722" t="s">
        <v>16</v>
      </c>
      <c r="E5722" t="s">
        <v>32</v>
      </c>
      <c r="F5722" t="s">
        <v>40</v>
      </c>
      <c r="G5722" t="s">
        <v>33</v>
      </c>
      <c r="H5722">
        <v>321.02</v>
      </c>
    </row>
    <row r="5723" spans="1:8" x14ac:dyDescent="0.3">
      <c r="A5723">
        <v>202410</v>
      </c>
      <c r="B5723" s="1">
        <v>45566</v>
      </c>
      <c r="C5723">
        <v>2024</v>
      </c>
      <c r="D5723" t="s">
        <v>17</v>
      </c>
      <c r="E5723" t="s">
        <v>32</v>
      </c>
      <c r="F5723" t="s">
        <v>40</v>
      </c>
      <c r="G5723" t="s">
        <v>33</v>
      </c>
      <c r="H5723">
        <v>495.02</v>
      </c>
    </row>
    <row r="5724" spans="1:8" x14ac:dyDescent="0.3">
      <c r="A5724">
        <v>202411</v>
      </c>
      <c r="B5724" s="1">
        <v>45597</v>
      </c>
      <c r="C5724">
        <v>2024</v>
      </c>
      <c r="D5724" t="s">
        <v>18</v>
      </c>
      <c r="E5724" t="s">
        <v>32</v>
      </c>
      <c r="F5724" t="s">
        <v>40</v>
      </c>
      <c r="G5724" t="s">
        <v>33</v>
      </c>
      <c r="H5724">
        <v>314.45</v>
      </c>
    </row>
    <row r="5725" spans="1:8" x14ac:dyDescent="0.3">
      <c r="A5725">
        <v>202412</v>
      </c>
      <c r="B5725" s="1">
        <v>45627</v>
      </c>
      <c r="C5725">
        <v>2024</v>
      </c>
      <c r="D5725" t="s">
        <v>19</v>
      </c>
      <c r="E5725" t="s">
        <v>32</v>
      </c>
      <c r="F5725" t="s">
        <v>40</v>
      </c>
      <c r="G5725" t="s">
        <v>33</v>
      </c>
      <c r="H5725">
        <v>349.37</v>
      </c>
    </row>
    <row r="5726" spans="1:8" x14ac:dyDescent="0.3">
      <c r="A5726">
        <v>202401</v>
      </c>
      <c r="B5726" s="1">
        <v>45292</v>
      </c>
      <c r="C5726">
        <v>2024</v>
      </c>
      <c r="D5726" t="s">
        <v>6</v>
      </c>
      <c r="E5726" t="s">
        <v>34</v>
      </c>
      <c r="F5726" t="s">
        <v>40</v>
      </c>
      <c r="G5726" t="s">
        <v>33</v>
      </c>
      <c r="H5726">
        <v>385.84</v>
      </c>
    </row>
    <row r="5727" spans="1:8" x14ac:dyDescent="0.3">
      <c r="A5727">
        <v>202402</v>
      </c>
      <c r="B5727" s="1">
        <v>45323</v>
      </c>
      <c r="C5727">
        <v>2024</v>
      </c>
      <c r="D5727" t="s">
        <v>9</v>
      </c>
      <c r="E5727" t="s">
        <v>34</v>
      </c>
      <c r="F5727" t="s">
        <v>40</v>
      </c>
      <c r="G5727" t="s">
        <v>33</v>
      </c>
      <c r="H5727">
        <v>185.22</v>
      </c>
    </row>
    <row r="5728" spans="1:8" x14ac:dyDescent="0.3">
      <c r="A5728">
        <v>202403</v>
      </c>
      <c r="B5728" s="1">
        <v>45352</v>
      </c>
      <c r="C5728">
        <v>2024</v>
      </c>
      <c r="D5728" t="s">
        <v>10</v>
      </c>
      <c r="E5728" t="s">
        <v>34</v>
      </c>
      <c r="F5728" t="s">
        <v>40</v>
      </c>
      <c r="G5728" t="s">
        <v>33</v>
      </c>
      <c r="H5728">
        <v>225.41</v>
      </c>
    </row>
    <row r="5729" spans="1:8" x14ac:dyDescent="0.3">
      <c r="A5729">
        <v>202404</v>
      </c>
      <c r="B5729" s="1">
        <v>45383</v>
      </c>
      <c r="C5729">
        <v>2024</v>
      </c>
      <c r="D5729" t="s">
        <v>11</v>
      </c>
      <c r="E5729" t="s">
        <v>34</v>
      </c>
      <c r="F5729" t="s">
        <v>40</v>
      </c>
      <c r="G5729" t="s">
        <v>33</v>
      </c>
      <c r="H5729">
        <v>419.8</v>
      </c>
    </row>
    <row r="5730" spans="1:8" x14ac:dyDescent="0.3">
      <c r="A5730">
        <v>202405</v>
      </c>
      <c r="B5730" s="1">
        <v>45413</v>
      </c>
      <c r="C5730">
        <v>2024</v>
      </c>
      <c r="D5730" t="s">
        <v>12</v>
      </c>
      <c r="E5730" t="s">
        <v>34</v>
      </c>
      <c r="F5730" t="s">
        <v>40</v>
      </c>
      <c r="G5730" t="s">
        <v>33</v>
      </c>
      <c r="H5730">
        <v>270.42</v>
      </c>
    </row>
    <row r="5731" spans="1:8" x14ac:dyDescent="0.3">
      <c r="A5731">
        <v>202406</v>
      </c>
      <c r="B5731" s="1">
        <v>45444</v>
      </c>
      <c r="C5731">
        <v>2024</v>
      </c>
      <c r="D5731" t="s">
        <v>13</v>
      </c>
      <c r="E5731" t="s">
        <v>34</v>
      </c>
      <c r="F5731" t="s">
        <v>40</v>
      </c>
      <c r="G5731" t="s">
        <v>33</v>
      </c>
      <c r="H5731">
        <v>303.60000000000002</v>
      </c>
    </row>
    <row r="5732" spans="1:8" x14ac:dyDescent="0.3">
      <c r="A5732">
        <v>202407</v>
      </c>
      <c r="B5732" s="1">
        <v>45474</v>
      </c>
      <c r="C5732">
        <v>2024</v>
      </c>
      <c r="D5732" t="s">
        <v>14</v>
      </c>
      <c r="E5732" t="s">
        <v>34</v>
      </c>
      <c r="F5732" t="s">
        <v>40</v>
      </c>
      <c r="G5732" t="s">
        <v>33</v>
      </c>
      <c r="H5732">
        <v>360.05</v>
      </c>
    </row>
    <row r="5733" spans="1:8" x14ac:dyDescent="0.3">
      <c r="A5733">
        <v>202408</v>
      </c>
      <c r="B5733" s="1">
        <v>45505</v>
      </c>
      <c r="C5733">
        <v>2024</v>
      </c>
      <c r="D5733" t="s">
        <v>15</v>
      </c>
      <c r="E5733" t="s">
        <v>34</v>
      </c>
      <c r="F5733" t="s">
        <v>40</v>
      </c>
      <c r="G5733" t="s">
        <v>33</v>
      </c>
      <c r="H5733">
        <v>271.13</v>
      </c>
    </row>
    <row r="5734" spans="1:8" x14ac:dyDescent="0.3">
      <c r="A5734">
        <v>202409</v>
      </c>
      <c r="B5734" s="1">
        <v>45536</v>
      </c>
      <c r="C5734">
        <v>2024</v>
      </c>
      <c r="D5734" t="s">
        <v>16</v>
      </c>
      <c r="E5734" t="s">
        <v>34</v>
      </c>
      <c r="F5734" t="s">
        <v>40</v>
      </c>
      <c r="G5734" t="s">
        <v>33</v>
      </c>
      <c r="H5734">
        <v>278.20999999999998</v>
      </c>
    </row>
    <row r="5735" spans="1:8" x14ac:dyDescent="0.3">
      <c r="A5735">
        <v>202410</v>
      </c>
      <c r="B5735" s="1">
        <v>45566</v>
      </c>
      <c r="C5735">
        <v>2024</v>
      </c>
      <c r="D5735" t="s">
        <v>17</v>
      </c>
      <c r="E5735" t="s">
        <v>34</v>
      </c>
      <c r="F5735" t="s">
        <v>40</v>
      </c>
      <c r="G5735" t="s">
        <v>33</v>
      </c>
      <c r="H5735">
        <v>369.41</v>
      </c>
    </row>
    <row r="5736" spans="1:8" x14ac:dyDescent="0.3">
      <c r="A5736">
        <v>202411</v>
      </c>
      <c r="B5736" s="1">
        <v>45597</v>
      </c>
      <c r="C5736">
        <v>2024</v>
      </c>
      <c r="D5736" t="s">
        <v>18</v>
      </c>
      <c r="E5736" t="s">
        <v>34</v>
      </c>
      <c r="F5736" t="s">
        <v>40</v>
      </c>
      <c r="G5736" t="s">
        <v>33</v>
      </c>
      <c r="H5736">
        <v>368.46</v>
      </c>
    </row>
    <row r="5737" spans="1:8" x14ac:dyDescent="0.3">
      <c r="A5737">
        <v>202412</v>
      </c>
      <c r="B5737" s="1">
        <v>45627</v>
      </c>
      <c r="C5737">
        <v>2024</v>
      </c>
      <c r="D5737" t="s">
        <v>19</v>
      </c>
      <c r="E5737" t="s">
        <v>34</v>
      </c>
      <c r="F5737" t="s">
        <v>40</v>
      </c>
      <c r="G5737" t="s">
        <v>33</v>
      </c>
      <c r="H5737">
        <v>320.58</v>
      </c>
    </row>
    <row r="5738" spans="1:8" x14ac:dyDescent="0.3">
      <c r="A5738">
        <v>202401</v>
      </c>
      <c r="B5738" s="1">
        <v>45292</v>
      </c>
      <c r="C5738">
        <v>2024</v>
      </c>
      <c r="D5738" t="s">
        <v>6</v>
      </c>
      <c r="E5738" t="s">
        <v>34</v>
      </c>
      <c r="F5738" t="s">
        <v>40</v>
      </c>
      <c r="G5738" t="s">
        <v>33</v>
      </c>
      <c r="H5738">
        <v>245.99</v>
      </c>
    </row>
    <row r="5739" spans="1:8" x14ac:dyDescent="0.3">
      <c r="A5739">
        <v>202402</v>
      </c>
      <c r="B5739" s="1">
        <v>45323</v>
      </c>
      <c r="C5739">
        <v>2024</v>
      </c>
      <c r="D5739" t="s">
        <v>9</v>
      </c>
      <c r="E5739" t="s">
        <v>34</v>
      </c>
      <c r="F5739" t="s">
        <v>40</v>
      </c>
      <c r="G5739" t="s">
        <v>33</v>
      </c>
      <c r="H5739">
        <v>116.78</v>
      </c>
    </row>
    <row r="5740" spans="1:8" x14ac:dyDescent="0.3">
      <c r="A5740">
        <v>202403</v>
      </c>
      <c r="B5740" s="1">
        <v>45352</v>
      </c>
      <c r="C5740">
        <v>2024</v>
      </c>
      <c r="D5740" t="s">
        <v>10</v>
      </c>
      <c r="E5740" t="s">
        <v>34</v>
      </c>
      <c r="F5740" t="s">
        <v>40</v>
      </c>
      <c r="G5740" t="s">
        <v>33</v>
      </c>
      <c r="H5740">
        <v>170.56</v>
      </c>
    </row>
    <row r="5741" spans="1:8" x14ac:dyDescent="0.3">
      <c r="A5741">
        <v>202404</v>
      </c>
      <c r="B5741" s="1">
        <v>45383</v>
      </c>
      <c r="C5741">
        <v>2024</v>
      </c>
      <c r="D5741" t="s">
        <v>11</v>
      </c>
      <c r="E5741" t="s">
        <v>34</v>
      </c>
      <c r="F5741" t="s">
        <v>40</v>
      </c>
      <c r="G5741" t="s">
        <v>33</v>
      </c>
      <c r="H5741">
        <v>263.68</v>
      </c>
    </row>
    <row r="5742" spans="1:8" x14ac:dyDescent="0.3">
      <c r="A5742">
        <v>202405</v>
      </c>
      <c r="B5742" s="1">
        <v>45413</v>
      </c>
      <c r="C5742">
        <v>2024</v>
      </c>
      <c r="D5742" t="s">
        <v>12</v>
      </c>
      <c r="E5742" t="s">
        <v>34</v>
      </c>
      <c r="F5742" t="s">
        <v>40</v>
      </c>
      <c r="G5742" t="s">
        <v>33</v>
      </c>
      <c r="H5742">
        <v>163.5</v>
      </c>
    </row>
    <row r="5743" spans="1:8" x14ac:dyDescent="0.3">
      <c r="A5743">
        <v>202406</v>
      </c>
      <c r="B5743" s="1">
        <v>45444</v>
      </c>
      <c r="C5743">
        <v>2024</v>
      </c>
      <c r="D5743" t="s">
        <v>13</v>
      </c>
      <c r="E5743" t="s">
        <v>34</v>
      </c>
      <c r="F5743" t="s">
        <v>40</v>
      </c>
      <c r="G5743" t="s">
        <v>33</v>
      </c>
      <c r="H5743">
        <v>167.66</v>
      </c>
    </row>
    <row r="5744" spans="1:8" x14ac:dyDescent="0.3">
      <c r="A5744">
        <v>202407</v>
      </c>
      <c r="B5744" s="1">
        <v>45474</v>
      </c>
      <c r="C5744">
        <v>2024</v>
      </c>
      <c r="D5744" t="s">
        <v>14</v>
      </c>
      <c r="E5744" t="s">
        <v>34</v>
      </c>
      <c r="F5744" t="s">
        <v>40</v>
      </c>
      <c r="G5744" t="s">
        <v>33</v>
      </c>
      <c r="H5744">
        <v>246</v>
      </c>
    </row>
    <row r="5745" spans="1:8" x14ac:dyDescent="0.3">
      <c r="A5745">
        <v>202408</v>
      </c>
      <c r="B5745" s="1">
        <v>45505</v>
      </c>
      <c r="C5745">
        <v>2024</v>
      </c>
      <c r="D5745" t="s">
        <v>15</v>
      </c>
      <c r="E5745" t="s">
        <v>34</v>
      </c>
      <c r="F5745" t="s">
        <v>40</v>
      </c>
      <c r="G5745" t="s">
        <v>33</v>
      </c>
      <c r="H5745">
        <v>177.04</v>
      </c>
    </row>
    <row r="5746" spans="1:8" x14ac:dyDescent="0.3">
      <c r="A5746">
        <v>202409</v>
      </c>
      <c r="B5746" s="1">
        <v>45536</v>
      </c>
      <c r="C5746">
        <v>2024</v>
      </c>
      <c r="D5746" t="s">
        <v>16</v>
      </c>
      <c r="E5746" t="s">
        <v>34</v>
      </c>
      <c r="F5746" t="s">
        <v>40</v>
      </c>
      <c r="G5746" t="s">
        <v>33</v>
      </c>
      <c r="H5746">
        <v>126.22</v>
      </c>
    </row>
    <row r="5747" spans="1:8" x14ac:dyDescent="0.3">
      <c r="A5747">
        <v>202410</v>
      </c>
      <c r="B5747" s="1">
        <v>45566</v>
      </c>
      <c r="C5747">
        <v>2024</v>
      </c>
      <c r="D5747" t="s">
        <v>17</v>
      </c>
      <c r="E5747" t="s">
        <v>34</v>
      </c>
      <c r="F5747" t="s">
        <v>40</v>
      </c>
      <c r="G5747" t="s">
        <v>33</v>
      </c>
      <c r="H5747">
        <v>248.81</v>
      </c>
    </row>
    <row r="5748" spans="1:8" x14ac:dyDescent="0.3">
      <c r="A5748">
        <v>202411</v>
      </c>
      <c r="B5748" s="1">
        <v>45597</v>
      </c>
      <c r="C5748">
        <v>2024</v>
      </c>
      <c r="D5748" t="s">
        <v>18</v>
      </c>
      <c r="E5748" t="s">
        <v>34</v>
      </c>
      <c r="F5748" t="s">
        <v>40</v>
      </c>
      <c r="G5748" t="s">
        <v>33</v>
      </c>
      <c r="H5748">
        <v>212.77</v>
      </c>
    </row>
    <row r="5749" spans="1:8" x14ac:dyDescent="0.3">
      <c r="A5749">
        <v>202412</v>
      </c>
      <c r="B5749" s="1">
        <v>45627</v>
      </c>
      <c r="C5749">
        <v>2024</v>
      </c>
      <c r="D5749" t="s">
        <v>19</v>
      </c>
      <c r="E5749" t="s">
        <v>34</v>
      </c>
      <c r="F5749" t="s">
        <v>40</v>
      </c>
      <c r="G5749" t="s">
        <v>33</v>
      </c>
      <c r="H5749">
        <v>205.62</v>
      </c>
    </row>
    <row r="5750" spans="1:8" x14ac:dyDescent="0.3">
      <c r="A5750">
        <v>202401</v>
      </c>
      <c r="B5750" s="1">
        <v>45292</v>
      </c>
      <c r="C5750">
        <v>2024</v>
      </c>
      <c r="D5750" t="s">
        <v>6</v>
      </c>
      <c r="E5750" t="s">
        <v>34</v>
      </c>
      <c r="F5750" t="s">
        <v>40</v>
      </c>
      <c r="G5750" t="s">
        <v>33</v>
      </c>
      <c r="H5750">
        <v>214.02</v>
      </c>
    </row>
    <row r="5751" spans="1:8" x14ac:dyDescent="0.3">
      <c r="A5751">
        <v>202402</v>
      </c>
      <c r="B5751" s="1">
        <v>45323</v>
      </c>
      <c r="C5751">
        <v>2024</v>
      </c>
      <c r="D5751" t="s">
        <v>9</v>
      </c>
      <c r="E5751" t="s">
        <v>34</v>
      </c>
      <c r="F5751" t="s">
        <v>40</v>
      </c>
      <c r="G5751" t="s">
        <v>33</v>
      </c>
      <c r="H5751">
        <v>120.15</v>
      </c>
    </row>
    <row r="5752" spans="1:8" x14ac:dyDescent="0.3">
      <c r="A5752">
        <v>202403</v>
      </c>
      <c r="B5752" s="1">
        <v>45352</v>
      </c>
      <c r="C5752">
        <v>2024</v>
      </c>
      <c r="D5752" t="s">
        <v>10</v>
      </c>
      <c r="E5752" t="s">
        <v>34</v>
      </c>
      <c r="F5752" t="s">
        <v>40</v>
      </c>
      <c r="G5752" t="s">
        <v>33</v>
      </c>
      <c r="H5752">
        <v>123.01</v>
      </c>
    </row>
    <row r="5753" spans="1:8" x14ac:dyDescent="0.3">
      <c r="A5753">
        <v>202404</v>
      </c>
      <c r="B5753" s="1">
        <v>45383</v>
      </c>
      <c r="C5753">
        <v>2024</v>
      </c>
      <c r="D5753" t="s">
        <v>11</v>
      </c>
      <c r="E5753" t="s">
        <v>34</v>
      </c>
      <c r="F5753" t="s">
        <v>40</v>
      </c>
      <c r="G5753" t="s">
        <v>33</v>
      </c>
      <c r="H5753">
        <v>226.27</v>
      </c>
    </row>
    <row r="5754" spans="1:8" x14ac:dyDescent="0.3">
      <c r="A5754">
        <v>202405</v>
      </c>
      <c r="B5754" s="1">
        <v>45413</v>
      </c>
      <c r="C5754">
        <v>2024</v>
      </c>
      <c r="D5754" t="s">
        <v>12</v>
      </c>
      <c r="E5754" t="s">
        <v>34</v>
      </c>
      <c r="F5754" t="s">
        <v>40</v>
      </c>
      <c r="G5754" t="s">
        <v>33</v>
      </c>
      <c r="H5754">
        <v>167.62</v>
      </c>
    </row>
    <row r="5755" spans="1:8" x14ac:dyDescent="0.3">
      <c r="A5755">
        <v>202406</v>
      </c>
      <c r="B5755" s="1">
        <v>45444</v>
      </c>
      <c r="C5755">
        <v>2024</v>
      </c>
      <c r="D5755" t="s">
        <v>13</v>
      </c>
      <c r="E5755" t="s">
        <v>34</v>
      </c>
      <c r="F5755" t="s">
        <v>40</v>
      </c>
      <c r="G5755" t="s">
        <v>33</v>
      </c>
      <c r="H5755">
        <v>155.94999999999999</v>
      </c>
    </row>
    <row r="5756" spans="1:8" x14ac:dyDescent="0.3">
      <c r="A5756">
        <v>202407</v>
      </c>
      <c r="B5756" s="1">
        <v>45474</v>
      </c>
      <c r="C5756">
        <v>2024</v>
      </c>
      <c r="D5756" t="s">
        <v>14</v>
      </c>
      <c r="E5756" t="s">
        <v>34</v>
      </c>
      <c r="F5756" t="s">
        <v>40</v>
      </c>
      <c r="G5756" t="s">
        <v>33</v>
      </c>
      <c r="H5756">
        <v>223.03</v>
      </c>
    </row>
    <row r="5757" spans="1:8" x14ac:dyDescent="0.3">
      <c r="A5757">
        <v>202408</v>
      </c>
      <c r="B5757" s="1">
        <v>45505</v>
      </c>
      <c r="C5757">
        <v>2024</v>
      </c>
      <c r="D5757" t="s">
        <v>15</v>
      </c>
      <c r="E5757" t="s">
        <v>34</v>
      </c>
      <c r="F5757" t="s">
        <v>40</v>
      </c>
      <c r="G5757" t="s">
        <v>33</v>
      </c>
      <c r="H5757">
        <v>162.24</v>
      </c>
    </row>
    <row r="5758" spans="1:8" x14ac:dyDescent="0.3">
      <c r="A5758">
        <v>202409</v>
      </c>
      <c r="B5758" s="1">
        <v>45536</v>
      </c>
      <c r="C5758">
        <v>2024</v>
      </c>
      <c r="D5758" t="s">
        <v>16</v>
      </c>
      <c r="E5758" t="s">
        <v>34</v>
      </c>
      <c r="F5758" t="s">
        <v>40</v>
      </c>
      <c r="G5758" t="s">
        <v>33</v>
      </c>
      <c r="H5758">
        <v>172.99</v>
      </c>
    </row>
    <row r="5759" spans="1:8" x14ac:dyDescent="0.3">
      <c r="A5759">
        <v>202410</v>
      </c>
      <c r="B5759" s="1">
        <v>45566</v>
      </c>
      <c r="C5759">
        <v>2024</v>
      </c>
      <c r="D5759" t="s">
        <v>17</v>
      </c>
      <c r="E5759" t="s">
        <v>34</v>
      </c>
      <c r="F5759" t="s">
        <v>40</v>
      </c>
      <c r="G5759" t="s">
        <v>33</v>
      </c>
      <c r="H5759">
        <v>211.53</v>
      </c>
    </row>
    <row r="5760" spans="1:8" x14ac:dyDescent="0.3">
      <c r="A5760">
        <v>202411</v>
      </c>
      <c r="B5760" s="1">
        <v>45597</v>
      </c>
      <c r="C5760">
        <v>2024</v>
      </c>
      <c r="D5760" t="s">
        <v>18</v>
      </c>
      <c r="E5760" t="s">
        <v>34</v>
      </c>
      <c r="F5760" t="s">
        <v>40</v>
      </c>
      <c r="G5760" t="s">
        <v>33</v>
      </c>
      <c r="H5760">
        <v>189.54</v>
      </c>
    </row>
    <row r="5761" spans="1:8" x14ac:dyDescent="0.3">
      <c r="A5761">
        <v>202412</v>
      </c>
      <c r="B5761" s="1">
        <v>45627</v>
      </c>
      <c r="C5761">
        <v>2024</v>
      </c>
      <c r="D5761" t="s">
        <v>19</v>
      </c>
      <c r="E5761" t="s">
        <v>34</v>
      </c>
      <c r="F5761" t="s">
        <v>40</v>
      </c>
      <c r="G5761" t="s">
        <v>33</v>
      </c>
      <c r="H5761">
        <v>190.46</v>
      </c>
    </row>
    <row r="5762" spans="1:8" x14ac:dyDescent="0.3">
      <c r="A5762">
        <v>202401</v>
      </c>
      <c r="B5762" s="1">
        <v>45292</v>
      </c>
      <c r="C5762">
        <v>2024</v>
      </c>
      <c r="D5762" t="s">
        <v>6</v>
      </c>
      <c r="E5762" t="s">
        <v>34</v>
      </c>
      <c r="F5762" t="s">
        <v>40</v>
      </c>
      <c r="G5762" t="s">
        <v>33</v>
      </c>
      <c r="H5762">
        <v>106.11</v>
      </c>
    </row>
    <row r="5763" spans="1:8" x14ac:dyDescent="0.3">
      <c r="A5763">
        <v>202402</v>
      </c>
      <c r="B5763" s="1">
        <v>45323</v>
      </c>
      <c r="C5763">
        <v>2024</v>
      </c>
      <c r="D5763" t="s">
        <v>9</v>
      </c>
      <c r="E5763" t="s">
        <v>34</v>
      </c>
      <c r="F5763" t="s">
        <v>40</v>
      </c>
      <c r="G5763" t="s">
        <v>33</v>
      </c>
      <c r="H5763">
        <v>57.11</v>
      </c>
    </row>
    <row r="5764" spans="1:8" x14ac:dyDescent="0.3">
      <c r="A5764">
        <v>202403</v>
      </c>
      <c r="B5764" s="1">
        <v>45352</v>
      </c>
      <c r="C5764">
        <v>2024</v>
      </c>
      <c r="D5764" t="s">
        <v>10</v>
      </c>
      <c r="E5764" t="s">
        <v>34</v>
      </c>
      <c r="F5764" t="s">
        <v>40</v>
      </c>
      <c r="G5764" t="s">
        <v>33</v>
      </c>
      <c r="H5764">
        <v>74.2</v>
      </c>
    </row>
    <row r="5765" spans="1:8" x14ac:dyDescent="0.3">
      <c r="A5765">
        <v>202404</v>
      </c>
      <c r="B5765" s="1">
        <v>45383</v>
      </c>
      <c r="C5765">
        <v>2024</v>
      </c>
      <c r="D5765" t="s">
        <v>11</v>
      </c>
      <c r="E5765" t="s">
        <v>34</v>
      </c>
      <c r="F5765" t="s">
        <v>40</v>
      </c>
      <c r="G5765" t="s">
        <v>33</v>
      </c>
      <c r="H5765">
        <v>128.59</v>
      </c>
    </row>
    <row r="5766" spans="1:8" x14ac:dyDescent="0.3">
      <c r="A5766">
        <v>202405</v>
      </c>
      <c r="B5766" s="1">
        <v>45413</v>
      </c>
      <c r="C5766">
        <v>2024</v>
      </c>
      <c r="D5766" t="s">
        <v>12</v>
      </c>
      <c r="E5766" t="s">
        <v>34</v>
      </c>
      <c r="F5766" t="s">
        <v>40</v>
      </c>
      <c r="G5766" t="s">
        <v>33</v>
      </c>
      <c r="H5766">
        <v>119.35</v>
      </c>
    </row>
    <row r="5767" spans="1:8" x14ac:dyDescent="0.3">
      <c r="A5767">
        <v>202406</v>
      </c>
      <c r="B5767" s="1">
        <v>45444</v>
      </c>
      <c r="C5767">
        <v>2024</v>
      </c>
      <c r="D5767" t="s">
        <v>13</v>
      </c>
      <c r="E5767" t="s">
        <v>34</v>
      </c>
      <c r="F5767" t="s">
        <v>40</v>
      </c>
      <c r="G5767" t="s">
        <v>33</v>
      </c>
      <c r="H5767">
        <v>111.29</v>
      </c>
    </row>
    <row r="5768" spans="1:8" x14ac:dyDescent="0.3">
      <c r="A5768">
        <v>202407</v>
      </c>
      <c r="B5768" s="1">
        <v>45474</v>
      </c>
      <c r="C5768">
        <v>2024</v>
      </c>
      <c r="D5768" t="s">
        <v>14</v>
      </c>
      <c r="E5768" t="s">
        <v>34</v>
      </c>
      <c r="F5768" t="s">
        <v>40</v>
      </c>
      <c r="G5768" t="s">
        <v>33</v>
      </c>
      <c r="H5768">
        <v>124.09</v>
      </c>
    </row>
    <row r="5769" spans="1:8" x14ac:dyDescent="0.3">
      <c r="A5769">
        <v>202408</v>
      </c>
      <c r="B5769" s="1">
        <v>45505</v>
      </c>
      <c r="C5769">
        <v>2024</v>
      </c>
      <c r="D5769" t="s">
        <v>15</v>
      </c>
      <c r="E5769" t="s">
        <v>34</v>
      </c>
      <c r="F5769" t="s">
        <v>40</v>
      </c>
      <c r="G5769" t="s">
        <v>33</v>
      </c>
      <c r="H5769">
        <v>112.69</v>
      </c>
    </row>
    <row r="5770" spans="1:8" x14ac:dyDescent="0.3">
      <c r="A5770">
        <v>202409</v>
      </c>
      <c r="B5770" s="1">
        <v>45536</v>
      </c>
      <c r="C5770">
        <v>2024</v>
      </c>
      <c r="D5770" t="s">
        <v>16</v>
      </c>
      <c r="E5770" t="s">
        <v>34</v>
      </c>
      <c r="F5770" t="s">
        <v>40</v>
      </c>
      <c r="G5770" t="s">
        <v>33</v>
      </c>
      <c r="H5770">
        <v>135.18</v>
      </c>
    </row>
    <row r="5771" spans="1:8" x14ac:dyDescent="0.3">
      <c r="A5771">
        <v>202410</v>
      </c>
      <c r="B5771" s="1">
        <v>45566</v>
      </c>
      <c r="C5771">
        <v>2024</v>
      </c>
      <c r="D5771" t="s">
        <v>17</v>
      </c>
      <c r="E5771" t="s">
        <v>34</v>
      </c>
      <c r="F5771" t="s">
        <v>40</v>
      </c>
      <c r="G5771" t="s">
        <v>33</v>
      </c>
      <c r="H5771">
        <v>124.85</v>
      </c>
    </row>
    <row r="5772" spans="1:8" x14ac:dyDescent="0.3">
      <c r="A5772">
        <v>202411</v>
      </c>
      <c r="B5772" s="1">
        <v>45597</v>
      </c>
      <c r="C5772">
        <v>2024</v>
      </c>
      <c r="D5772" t="s">
        <v>18</v>
      </c>
      <c r="E5772" t="s">
        <v>34</v>
      </c>
      <c r="F5772" t="s">
        <v>40</v>
      </c>
      <c r="G5772" t="s">
        <v>33</v>
      </c>
      <c r="H5772">
        <v>105.59</v>
      </c>
    </row>
    <row r="5773" spans="1:8" x14ac:dyDescent="0.3">
      <c r="A5773">
        <v>202412</v>
      </c>
      <c r="B5773" s="1">
        <v>45627</v>
      </c>
      <c r="C5773">
        <v>2024</v>
      </c>
      <c r="D5773" t="s">
        <v>19</v>
      </c>
      <c r="E5773" t="s">
        <v>34</v>
      </c>
      <c r="F5773" t="s">
        <v>40</v>
      </c>
      <c r="G5773" t="s">
        <v>33</v>
      </c>
      <c r="H5773">
        <v>128.1</v>
      </c>
    </row>
    <row r="5774" spans="1:8" x14ac:dyDescent="0.3">
      <c r="A5774">
        <v>202401</v>
      </c>
      <c r="B5774" s="1">
        <v>45292</v>
      </c>
      <c r="C5774">
        <v>2024</v>
      </c>
      <c r="D5774" t="s">
        <v>6</v>
      </c>
      <c r="E5774" t="s">
        <v>34</v>
      </c>
      <c r="F5774" t="s">
        <v>40</v>
      </c>
      <c r="G5774" t="s">
        <v>33</v>
      </c>
      <c r="H5774">
        <v>937.01</v>
      </c>
    </row>
    <row r="5775" spans="1:8" x14ac:dyDescent="0.3">
      <c r="A5775">
        <v>202402</v>
      </c>
      <c r="B5775" s="1">
        <v>45323</v>
      </c>
      <c r="C5775">
        <v>2024</v>
      </c>
      <c r="D5775" t="s">
        <v>9</v>
      </c>
      <c r="E5775" t="s">
        <v>34</v>
      </c>
      <c r="F5775" t="s">
        <v>40</v>
      </c>
      <c r="G5775" t="s">
        <v>33</v>
      </c>
      <c r="H5775">
        <v>422.55</v>
      </c>
    </row>
    <row r="5776" spans="1:8" x14ac:dyDescent="0.3">
      <c r="A5776">
        <v>202403</v>
      </c>
      <c r="B5776" s="1">
        <v>45352</v>
      </c>
      <c r="C5776">
        <v>2024</v>
      </c>
      <c r="D5776" t="s">
        <v>10</v>
      </c>
      <c r="E5776" t="s">
        <v>34</v>
      </c>
      <c r="F5776" t="s">
        <v>40</v>
      </c>
      <c r="G5776" t="s">
        <v>33</v>
      </c>
      <c r="H5776">
        <v>684.18</v>
      </c>
    </row>
    <row r="5777" spans="1:8" x14ac:dyDescent="0.3">
      <c r="A5777">
        <v>202404</v>
      </c>
      <c r="B5777" s="1">
        <v>45383</v>
      </c>
      <c r="C5777">
        <v>2024</v>
      </c>
      <c r="D5777" t="s">
        <v>11</v>
      </c>
      <c r="E5777" t="s">
        <v>34</v>
      </c>
      <c r="F5777" t="s">
        <v>40</v>
      </c>
      <c r="G5777" t="s">
        <v>33</v>
      </c>
      <c r="H5777">
        <v>1044.43</v>
      </c>
    </row>
    <row r="5778" spans="1:8" x14ac:dyDescent="0.3">
      <c r="A5778">
        <v>202405</v>
      </c>
      <c r="B5778" s="1">
        <v>45413</v>
      </c>
      <c r="C5778">
        <v>2024</v>
      </c>
      <c r="D5778" t="s">
        <v>12</v>
      </c>
      <c r="E5778" t="s">
        <v>34</v>
      </c>
      <c r="F5778" t="s">
        <v>40</v>
      </c>
      <c r="G5778" t="s">
        <v>33</v>
      </c>
      <c r="H5778">
        <v>590.36</v>
      </c>
    </row>
    <row r="5779" spans="1:8" x14ac:dyDescent="0.3">
      <c r="A5779">
        <v>202406</v>
      </c>
      <c r="B5779" s="1">
        <v>45444</v>
      </c>
      <c r="C5779">
        <v>2024</v>
      </c>
      <c r="D5779" t="s">
        <v>13</v>
      </c>
      <c r="E5779" t="s">
        <v>34</v>
      </c>
      <c r="F5779" t="s">
        <v>40</v>
      </c>
      <c r="G5779" t="s">
        <v>33</v>
      </c>
      <c r="H5779">
        <v>815.78</v>
      </c>
    </row>
    <row r="5780" spans="1:8" x14ac:dyDescent="0.3">
      <c r="A5780">
        <v>202407</v>
      </c>
      <c r="B5780" s="1">
        <v>45474</v>
      </c>
      <c r="C5780">
        <v>2024</v>
      </c>
      <c r="D5780" t="s">
        <v>14</v>
      </c>
      <c r="E5780" t="s">
        <v>34</v>
      </c>
      <c r="F5780" t="s">
        <v>40</v>
      </c>
      <c r="G5780" t="s">
        <v>33</v>
      </c>
      <c r="H5780">
        <v>1004.63</v>
      </c>
    </row>
    <row r="5781" spans="1:8" x14ac:dyDescent="0.3">
      <c r="A5781">
        <v>202408</v>
      </c>
      <c r="B5781" s="1">
        <v>45505</v>
      </c>
      <c r="C5781">
        <v>2024</v>
      </c>
      <c r="D5781" t="s">
        <v>15</v>
      </c>
      <c r="E5781" t="s">
        <v>34</v>
      </c>
      <c r="F5781" t="s">
        <v>40</v>
      </c>
      <c r="G5781" t="s">
        <v>33</v>
      </c>
      <c r="H5781">
        <v>764.91</v>
      </c>
    </row>
    <row r="5782" spans="1:8" x14ac:dyDescent="0.3">
      <c r="A5782">
        <v>202409</v>
      </c>
      <c r="B5782" s="1">
        <v>45536</v>
      </c>
      <c r="C5782">
        <v>2024</v>
      </c>
      <c r="D5782" t="s">
        <v>16</v>
      </c>
      <c r="E5782" t="s">
        <v>34</v>
      </c>
      <c r="F5782" t="s">
        <v>40</v>
      </c>
      <c r="G5782" t="s">
        <v>33</v>
      </c>
      <c r="H5782">
        <v>679.49</v>
      </c>
    </row>
    <row r="5783" spans="1:8" x14ac:dyDescent="0.3">
      <c r="A5783">
        <v>202410</v>
      </c>
      <c r="B5783" s="1">
        <v>45566</v>
      </c>
      <c r="C5783">
        <v>2024</v>
      </c>
      <c r="D5783" t="s">
        <v>17</v>
      </c>
      <c r="E5783" t="s">
        <v>34</v>
      </c>
      <c r="F5783" t="s">
        <v>40</v>
      </c>
      <c r="G5783" t="s">
        <v>33</v>
      </c>
      <c r="H5783">
        <v>1614.64</v>
      </c>
    </row>
    <row r="5784" spans="1:8" x14ac:dyDescent="0.3">
      <c r="A5784">
        <v>202411</v>
      </c>
      <c r="B5784" s="1">
        <v>45597</v>
      </c>
      <c r="C5784">
        <v>2024</v>
      </c>
      <c r="D5784" t="s">
        <v>18</v>
      </c>
      <c r="E5784" t="s">
        <v>34</v>
      </c>
      <c r="F5784" t="s">
        <v>40</v>
      </c>
      <c r="G5784" t="s">
        <v>33</v>
      </c>
      <c r="H5784">
        <v>779.23</v>
      </c>
    </row>
    <row r="5785" spans="1:8" x14ac:dyDescent="0.3">
      <c r="A5785">
        <v>202412</v>
      </c>
      <c r="B5785" s="1">
        <v>45627</v>
      </c>
      <c r="C5785">
        <v>2024</v>
      </c>
      <c r="D5785" t="s">
        <v>19</v>
      </c>
      <c r="E5785" t="s">
        <v>34</v>
      </c>
      <c r="F5785" t="s">
        <v>40</v>
      </c>
      <c r="G5785" t="s">
        <v>33</v>
      </c>
      <c r="H5785">
        <v>705.8</v>
      </c>
    </row>
    <row r="5786" spans="1:8" x14ac:dyDescent="0.3">
      <c r="A5786">
        <v>202401</v>
      </c>
      <c r="B5786" s="1">
        <v>45292</v>
      </c>
      <c r="C5786">
        <v>2024</v>
      </c>
      <c r="D5786" t="s">
        <v>6</v>
      </c>
      <c r="E5786" t="s">
        <v>35</v>
      </c>
      <c r="F5786" t="s">
        <v>40</v>
      </c>
      <c r="G5786" t="s">
        <v>33</v>
      </c>
      <c r="H5786">
        <v>471.48</v>
      </c>
    </row>
    <row r="5787" spans="1:8" x14ac:dyDescent="0.3">
      <c r="A5787">
        <v>202402</v>
      </c>
      <c r="B5787" s="1">
        <v>45323</v>
      </c>
      <c r="C5787">
        <v>2024</v>
      </c>
      <c r="D5787" t="s">
        <v>9</v>
      </c>
      <c r="E5787" t="s">
        <v>35</v>
      </c>
      <c r="F5787" t="s">
        <v>40</v>
      </c>
      <c r="G5787" t="s">
        <v>33</v>
      </c>
      <c r="H5787">
        <v>246.86</v>
      </c>
    </row>
    <row r="5788" spans="1:8" x14ac:dyDescent="0.3">
      <c r="A5788">
        <v>202403</v>
      </c>
      <c r="B5788" s="1">
        <v>45352</v>
      </c>
      <c r="C5788">
        <v>2024</v>
      </c>
      <c r="D5788" t="s">
        <v>10</v>
      </c>
      <c r="E5788" t="s">
        <v>35</v>
      </c>
      <c r="F5788" t="s">
        <v>40</v>
      </c>
      <c r="G5788" t="s">
        <v>33</v>
      </c>
      <c r="H5788">
        <v>273.18</v>
      </c>
    </row>
    <row r="5789" spans="1:8" x14ac:dyDescent="0.3">
      <c r="A5789">
        <v>202404</v>
      </c>
      <c r="B5789" s="1">
        <v>45383</v>
      </c>
      <c r="C5789">
        <v>2024</v>
      </c>
      <c r="D5789" t="s">
        <v>11</v>
      </c>
      <c r="E5789" t="s">
        <v>35</v>
      </c>
      <c r="F5789" t="s">
        <v>40</v>
      </c>
      <c r="G5789" t="s">
        <v>33</v>
      </c>
      <c r="H5789">
        <v>546.13</v>
      </c>
    </row>
    <row r="5790" spans="1:8" x14ac:dyDescent="0.3">
      <c r="A5790">
        <v>202405</v>
      </c>
      <c r="B5790" s="1">
        <v>45413</v>
      </c>
      <c r="C5790">
        <v>2024</v>
      </c>
      <c r="D5790" t="s">
        <v>12</v>
      </c>
      <c r="E5790" t="s">
        <v>35</v>
      </c>
      <c r="F5790" t="s">
        <v>40</v>
      </c>
      <c r="G5790" t="s">
        <v>33</v>
      </c>
      <c r="H5790">
        <v>454.32</v>
      </c>
    </row>
    <row r="5791" spans="1:8" x14ac:dyDescent="0.3">
      <c r="A5791">
        <v>202406</v>
      </c>
      <c r="B5791" s="1">
        <v>45444</v>
      </c>
      <c r="C5791">
        <v>2024</v>
      </c>
      <c r="D5791" t="s">
        <v>13</v>
      </c>
      <c r="E5791" t="s">
        <v>35</v>
      </c>
      <c r="F5791" t="s">
        <v>40</v>
      </c>
      <c r="G5791" t="s">
        <v>33</v>
      </c>
      <c r="H5791">
        <v>414.49</v>
      </c>
    </row>
    <row r="5792" spans="1:8" x14ac:dyDescent="0.3">
      <c r="A5792">
        <v>202407</v>
      </c>
      <c r="B5792" s="1">
        <v>45474</v>
      </c>
      <c r="C5792">
        <v>2024</v>
      </c>
      <c r="D5792" t="s">
        <v>14</v>
      </c>
      <c r="E5792" t="s">
        <v>35</v>
      </c>
      <c r="F5792" t="s">
        <v>40</v>
      </c>
      <c r="G5792" t="s">
        <v>33</v>
      </c>
      <c r="H5792">
        <v>510</v>
      </c>
    </row>
    <row r="5793" spans="1:8" x14ac:dyDescent="0.3">
      <c r="A5793">
        <v>202408</v>
      </c>
      <c r="B5793" s="1">
        <v>45505</v>
      </c>
      <c r="C5793">
        <v>2024</v>
      </c>
      <c r="D5793" t="s">
        <v>15</v>
      </c>
      <c r="E5793" t="s">
        <v>35</v>
      </c>
      <c r="F5793" t="s">
        <v>40</v>
      </c>
      <c r="G5793" t="s">
        <v>33</v>
      </c>
      <c r="H5793">
        <v>480.1</v>
      </c>
    </row>
    <row r="5794" spans="1:8" x14ac:dyDescent="0.3">
      <c r="A5794">
        <v>202409</v>
      </c>
      <c r="B5794" s="1">
        <v>45536</v>
      </c>
      <c r="C5794">
        <v>2024</v>
      </c>
      <c r="D5794" t="s">
        <v>16</v>
      </c>
      <c r="E5794" t="s">
        <v>35</v>
      </c>
      <c r="F5794" t="s">
        <v>40</v>
      </c>
      <c r="G5794" t="s">
        <v>33</v>
      </c>
      <c r="H5794">
        <v>417.59</v>
      </c>
    </row>
    <row r="5795" spans="1:8" x14ac:dyDescent="0.3">
      <c r="A5795">
        <v>202410</v>
      </c>
      <c r="B5795" s="1">
        <v>45566</v>
      </c>
      <c r="C5795">
        <v>2024</v>
      </c>
      <c r="D5795" t="s">
        <v>17</v>
      </c>
      <c r="E5795" t="s">
        <v>35</v>
      </c>
      <c r="F5795" t="s">
        <v>40</v>
      </c>
      <c r="G5795" t="s">
        <v>33</v>
      </c>
      <c r="H5795">
        <v>547.04999999999995</v>
      </c>
    </row>
    <row r="5796" spans="1:8" x14ac:dyDescent="0.3">
      <c r="A5796">
        <v>202411</v>
      </c>
      <c r="B5796" s="1">
        <v>45597</v>
      </c>
      <c r="C5796">
        <v>2024</v>
      </c>
      <c r="D5796" t="s">
        <v>18</v>
      </c>
      <c r="E5796" t="s">
        <v>35</v>
      </c>
      <c r="F5796" t="s">
        <v>40</v>
      </c>
      <c r="G5796" t="s">
        <v>33</v>
      </c>
      <c r="H5796">
        <v>464.05</v>
      </c>
    </row>
    <row r="5797" spans="1:8" x14ac:dyDescent="0.3">
      <c r="A5797">
        <v>202412</v>
      </c>
      <c r="B5797" s="1">
        <v>45627</v>
      </c>
      <c r="C5797">
        <v>2024</v>
      </c>
      <c r="D5797" t="s">
        <v>19</v>
      </c>
      <c r="E5797" t="s">
        <v>35</v>
      </c>
      <c r="F5797" t="s">
        <v>40</v>
      </c>
      <c r="G5797" t="s">
        <v>33</v>
      </c>
      <c r="H5797">
        <v>379.11</v>
      </c>
    </row>
    <row r="5798" spans="1:8" x14ac:dyDescent="0.3">
      <c r="A5798">
        <v>202401</v>
      </c>
      <c r="B5798" s="1">
        <v>45292</v>
      </c>
      <c r="C5798">
        <v>2024</v>
      </c>
      <c r="D5798" t="s">
        <v>6</v>
      </c>
      <c r="E5798" t="s">
        <v>35</v>
      </c>
      <c r="F5798" t="s">
        <v>40</v>
      </c>
      <c r="G5798" t="s">
        <v>33</v>
      </c>
      <c r="H5798">
        <v>448.64</v>
      </c>
    </row>
    <row r="5799" spans="1:8" x14ac:dyDescent="0.3">
      <c r="A5799">
        <v>202402</v>
      </c>
      <c r="B5799" s="1">
        <v>45323</v>
      </c>
      <c r="C5799">
        <v>2024</v>
      </c>
      <c r="D5799" t="s">
        <v>9</v>
      </c>
      <c r="E5799" t="s">
        <v>35</v>
      </c>
      <c r="F5799" t="s">
        <v>40</v>
      </c>
      <c r="G5799" t="s">
        <v>33</v>
      </c>
      <c r="H5799">
        <v>250.32</v>
      </c>
    </row>
    <row r="5800" spans="1:8" x14ac:dyDescent="0.3">
      <c r="A5800">
        <v>202403</v>
      </c>
      <c r="B5800" s="1">
        <v>45352</v>
      </c>
      <c r="C5800">
        <v>2024</v>
      </c>
      <c r="D5800" t="s">
        <v>10</v>
      </c>
      <c r="E5800" t="s">
        <v>35</v>
      </c>
      <c r="F5800" t="s">
        <v>40</v>
      </c>
      <c r="G5800" t="s">
        <v>33</v>
      </c>
      <c r="H5800">
        <v>144.41</v>
      </c>
    </row>
    <row r="5801" spans="1:8" x14ac:dyDescent="0.3">
      <c r="A5801">
        <v>202404</v>
      </c>
      <c r="B5801" s="1">
        <v>45383</v>
      </c>
      <c r="C5801">
        <v>2024</v>
      </c>
      <c r="D5801" t="s">
        <v>11</v>
      </c>
      <c r="E5801" t="s">
        <v>35</v>
      </c>
      <c r="F5801" t="s">
        <v>40</v>
      </c>
      <c r="G5801" t="s">
        <v>33</v>
      </c>
      <c r="H5801">
        <v>249.1</v>
      </c>
    </row>
    <row r="5802" spans="1:8" x14ac:dyDescent="0.3">
      <c r="A5802">
        <v>202405</v>
      </c>
      <c r="B5802" s="1">
        <v>45413</v>
      </c>
      <c r="C5802">
        <v>2024</v>
      </c>
      <c r="D5802" t="s">
        <v>12</v>
      </c>
      <c r="E5802" t="s">
        <v>35</v>
      </c>
      <c r="F5802" t="s">
        <v>40</v>
      </c>
      <c r="G5802" t="s">
        <v>33</v>
      </c>
      <c r="H5802">
        <v>139</v>
      </c>
    </row>
    <row r="5803" spans="1:8" x14ac:dyDescent="0.3">
      <c r="A5803">
        <v>202406</v>
      </c>
      <c r="B5803" s="1">
        <v>45444</v>
      </c>
      <c r="C5803">
        <v>2024</v>
      </c>
      <c r="D5803" t="s">
        <v>13</v>
      </c>
      <c r="E5803" t="s">
        <v>35</v>
      </c>
      <c r="F5803" t="s">
        <v>40</v>
      </c>
      <c r="G5803" t="s">
        <v>33</v>
      </c>
      <c r="H5803">
        <v>161.91999999999999</v>
      </c>
    </row>
    <row r="5804" spans="1:8" x14ac:dyDescent="0.3">
      <c r="A5804">
        <v>202407</v>
      </c>
      <c r="B5804" s="1">
        <v>45474</v>
      </c>
      <c r="C5804">
        <v>2024</v>
      </c>
      <c r="D5804" t="s">
        <v>14</v>
      </c>
      <c r="E5804" t="s">
        <v>35</v>
      </c>
      <c r="F5804" t="s">
        <v>40</v>
      </c>
      <c r="G5804" t="s">
        <v>33</v>
      </c>
      <c r="H5804">
        <v>205.05</v>
      </c>
    </row>
    <row r="5805" spans="1:8" x14ac:dyDescent="0.3">
      <c r="A5805">
        <v>202408</v>
      </c>
      <c r="B5805" s="1">
        <v>45505</v>
      </c>
      <c r="C5805">
        <v>2024</v>
      </c>
      <c r="D5805" t="s">
        <v>15</v>
      </c>
      <c r="E5805" t="s">
        <v>35</v>
      </c>
      <c r="F5805" t="s">
        <v>40</v>
      </c>
      <c r="G5805" t="s">
        <v>33</v>
      </c>
      <c r="H5805">
        <v>197.63</v>
      </c>
    </row>
    <row r="5806" spans="1:8" x14ac:dyDescent="0.3">
      <c r="A5806">
        <v>202409</v>
      </c>
      <c r="B5806" s="1">
        <v>45536</v>
      </c>
      <c r="C5806">
        <v>2024</v>
      </c>
      <c r="D5806" t="s">
        <v>16</v>
      </c>
      <c r="E5806" t="s">
        <v>35</v>
      </c>
      <c r="F5806" t="s">
        <v>40</v>
      </c>
      <c r="G5806" t="s">
        <v>33</v>
      </c>
      <c r="H5806">
        <v>182.8</v>
      </c>
    </row>
    <row r="5807" spans="1:8" x14ac:dyDescent="0.3">
      <c r="A5807">
        <v>202410</v>
      </c>
      <c r="B5807" s="1">
        <v>45566</v>
      </c>
      <c r="C5807">
        <v>2024</v>
      </c>
      <c r="D5807" t="s">
        <v>17</v>
      </c>
      <c r="E5807" t="s">
        <v>35</v>
      </c>
      <c r="F5807" t="s">
        <v>40</v>
      </c>
      <c r="G5807" t="s">
        <v>33</v>
      </c>
      <c r="H5807">
        <v>268.33</v>
      </c>
    </row>
    <row r="5808" spans="1:8" x14ac:dyDescent="0.3">
      <c r="A5808">
        <v>202411</v>
      </c>
      <c r="B5808" s="1">
        <v>45597</v>
      </c>
      <c r="C5808">
        <v>2024</v>
      </c>
      <c r="D5808" t="s">
        <v>18</v>
      </c>
      <c r="E5808" t="s">
        <v>35</v>
      </c>
      <c r="F5808" t="s">
        <v>40</v>
      </c>
      <c r="G5808" t="s">
        <v>33</v>
      </c>
      <c r="H5808">
        <v>223.34</v>
      </c>
    </row>
    <row r="5809" spans="1:8" x14ac:dyDescent="0.3">
      <c r="A5809">
        <v>202412</v>
      </c>
      <c r="B5809" s="1">
        <v>45627</v>
      </c>
      <c r="C5809">
        <v>2024</v>
      </c>
      <c r="D5809" t="s">
        <v>19</v>
      </c>
      <c r="E5809" t="s">
        <v>35</v>
      </c>
      <c r="F5809" t="s">
        <v>40</v>
      </c>
      <c r="G5809" t="s">
        <v>33</v>
      </c>
      <c r="H5809">
        <v>165.21</v>
      </c>
    </row>
    <row r="5810" spans="1:8" x14ac:dyDescent="0.3">
      <c r="A5810">
        <v>202401</v>
      </c>
      <c r="B5810" s="1">
        <v>45292</v>
      </c>
      <c r="C5810">
        <v>2024</v>
      </c>
      <c r="D5810" t="s">
        <v>6</v>
      </c>
      <c r="E5810" t="s">
        <v>35</v>
      </c>
      <c r="F5810" t="s">
        <v>40</v>
      </c>
      <c r="G5810" t="s">
        <v>33</v>
      </c>
      <c r="H5810">
        <v>114.95</v>
      </c>
    </row>
    <row r="5811" spans="1:8" x14ac:dyDescent="0.3">
      <c r="A5811">
        <v>202402</v>
      </c>
      <c r="B5811" s="1">
        <v>45323</v>
      </c>
      <c r="C5811">
        <v>2024</v>
      </c>
      <c r="D5811" t="s">
        <v>9</v>
      </c>
      <c r="E5811" t="s">
        <v>35</v>
      </c>
      <c r="F5811" t="s">
        <v>40</v>
      </c>
      <c r="G5811" t="s">
        <v>33</v>
      </c>
      <c r="H5811">
        <v>50.21</v>
      </c>
    </row>
    <row r="5812" spans="1:8" x14ac:dyDescent="0.3">
      <c r="A5812">
        <v>202403</v>
      </c>
      <c r="B5812" s="1">
        <v>45352</v>
      </c>
      <c r="C5812">
        <v>2024</v>
      </c>
      <c r="D5812" t="s">
        <v>10</v>
      </c>
      <c r="E5812" t="s">
        <v>35</v>
      </c>
      <c r="F5812" t="s">
        <v>40</v>
      </c>
      <c r="G5812" t="s">
        <v>33</v>
      </c>
      <c r="H5812">
        <v>64.75</v>
      </c>
    </row>
    <row r="5813" spans="1:8" x14ac:dyDescent="0.3">
      <c r="A5813">
        <v>202404</v>
      </c>
      <c r="B5813" s="1">
        <v>45383</v>
      </c>
      <c r="C5813">
        <v>2024</v>
      </c>
      <c r="D5813" t="s">
        <v>11</v>
      </c>
      <c r="E5813" t="s">
        <v>35</v>
      </c>
      <c r="F5813" t="s">
        <v>40</v>
      </c>
      <c r="G5813" t="s">
        <v>33</v>
      </c>
      <c r="H5813">
        <v>107.62</v>
      </c>
    </row>
    <row r="5814" spans="1:8" x14ac:dyDescent="0.3">
      <c r="A5814">
        <v>202405</v>
      </c>
      <c r="B5814" s="1">
        <v>45413</v>
      </c>
      <c r="C5814">
        <v>2024</v>
      </c>
      <c r="D5814" t="s">
        <v>12</v>
      </c>
      <c r="E5814" t="s">
        <v>35</v>
      </c>
      <c r="F5814" t="s">
        <v>40</v>
      </c>
      <c r="G5814" t="s">
        <v>33</v>
      </c>
      <c r="H5814">
        <v>158.11000000000001</v>
      </c>
    </row>
    <row r="5815" spans="1:8" x14ac:dyDescent="0.3">
      <c r="A5815">
        <v>202406</v>
      </c>
      <c r="B5815" s="1">
        <v>45444</v>
      </c>
      <c r="C5815">
        <v>2024</v>
      </c>
      <c r="D5815" t="s">
        <v>13</v>
      </c>
      <c r="E5815" t="s">
        <v>35</v>
      </c>
      <c r="F5815" t="s">
        <v>40</v>
      </c>
      <c r="G5815" t="s">
        <v>33</v>
      </c>
      <c r="H5815">
        <v>125.7</v>
      </c>
    </row>
    <row r="5816" spans="1:8" x14ac:dyDescent="0.3">
      <c r="A5816">
        <v>202407</v>
      </c>
      <c r="B5816" s="1">
        <v>45474</v>
      </c>
      <c r="C5816">
        <v>2024</v>
      </c>
      <c r="D5816" t="s">
        <v>14</v>
      </c>
      <c r="E5816" t="s">
        <v>35</v>
      </c>
      <c r="F5816" t="s">
        <v>40</v>
      </c>
      <c r="G5816" t="s">
        <v>33</v>
      </c>
      <c r="H5816">
        <v>157.97999999999999</v>
      </c>
    </row>
    <row r="5817" spans="1:8" x14ac:dyDescent="0.3">
      <c r="A5817">
        <v>202408</v>
      </c>
      <c r="B5817" s="1">
        <v>45505</v>
      </c>
      <c r="C5817">
        <v>2024</v>
      </c>
      <c r="D5817" t="s">
        <v>15</v>
      </c>
      <c r="E5817" t="s">
        <v>35</v>
      </c>
      <c r="F5817" t="s">
        <v>40</v>
      </c>
      <c r="G5817" t="s">
        <v>33</v>
      </c>
      <c r="H5817">
        <v>109.28</v>
      </c>
    </row>
    <row r="5818" spans="1:8" x14ac:dyDescent="0.3">
      <c r="A5818">
        <v>202409</v>
      </c>
      <c r="B5818" s="1">
        <v>45536</v>
      </c>
      <c r="C5818">
        <v>2024</v>
      </c>
      <c r="D5818" t="s">
        <v>16</v>
      </c>
      <c r="E5818" t="s">
        <v>35</v>
      </c>
      <c r="F5818" t="s">
        <v>40</v>
      </c>
      <c r="G5818" t="s">
        <v>33</v>
      </c>
      <c r="H5818">
        <v>112.43</v>
      </c>
    </row>
    <row r="5819" spans="1:8" x14ac:dyDescent="0.3">
      <c r="A5819">
        <v>202410</v>
      </c>
      <c r="B5819" s="1">
        <v>45566</v>
      </c>
      <c r="C5819">
        <v>2024</v>
      </c>
      <c r="D5819" t="s">
        <v>17</v>
      </c>
      <c r="E5819" t="s">
        <v>35</v>
      </c>
      <c r="F5819" t="s">
        <v>40</v>
      </c>
      <c r="G5819" t="s">
        <v>33</v>
      </c>
      <c r="H5819">
        <v>206.37</v>
      </c>
    </row>
    <row r="5820" spans="1:8" x14ac:dyDescent="0.3">
      <c r="A5820">
        <v>202411</v>
      </c>
      <c r="B5820" s="1">
        <v>45597</v>
      </c>
      <c r="C5820">
        <v>2024</v>
      </c>
      <c r="D5820" t="s">
        <v>18</v>
      </c>
      <c r="E5820" t="s">
        <v>35</v>
      </c>
      <c r="F5820" t="s">
        <v>40</v>
      </c>
      <c r="G5820" t="s">
        <v>33</v>
      </c>
      <c r="H5820">
        <v>112.39</v>
      </c>
    </row>
    <row r="5821" spans="1:8" x14ac:dyDescent="0.3">
      <c r="A5821">
        <v>202412</v>
      </c>
      <c r="B5821" s="1">
        <v>45627</v>
      </c>
      <c r="C5821">
        <v>2024</v>
      </c>
      <c r="D5821" t="s">
        <v>19</v>
      </c>
      <c r="E5821" t="s">
        <v>35</v>
      </c>
      <c r="F5821" t="s">
        <v>40</v>
      </c>
      <c r="G5821" t="s">
        <v>33</v>
      </c>
      <c r="H5821">
        <v>121.67</v>
      </c>
    </row>
    <row r="5822" spans="1:8" x14ac:dyDescent="0.3">
      <c r="A5822">
        <v>202401</v>
      </c>
      <c r="B5822" s="1">
        <v>45292</v>
      </c>
      <c r="C5822">
        <v>2024</v>
      </c>
      <c r="D5822" t="s">
        <v>6</v>
      </c>
      <c r="E5822" t="s">
        <v>35</v>
      </c>
      <c r="F5822" t="s">
        <v>40</v>
      </c>
      <c r="G5822" t="s">
        <v>33</v>
      </c>
      <c r="H5822">
        <v>1589.05</v>
      </c>
    </row>
    <row r="5823" spans="1:8" x14ac:dyDescent="0.3">
      <c r="A5823">
        <v>202402</v>
      </c>
      <c r="B5823" s="1">
        <v>45323</v>
      </c>
      <c r="C5823">
        <v>2024</v>
      </c>
      <c r="D5823" t="s">
        <v>9</v>
      </c>
      <c r="E5823" t="s">
        <v>35</v>
      </c>
      <c r="F5823" t="s">
        <v>40</v>
      </c>
      <c r="G5823" t="s">
        <v>33</v>
      </c>
      <c r="H5823">
        <v>781.07</v>
      </c>
    </row>
    <row r="5824" spans="1:8" x14ac:dyDescent="0.3">
      <c r="A5824">
        <v>202403</v>
      </c>
      <c r="B5824" s="1">
        <v>45352</v>
      </c>
      <c r="C5824">
        <v>2024</v>
      </c>
      <c r="D5824" t="s">
        <v>10</v>
      </c>
      <c r="E5824" t="s">
        <v>35</v>
      </c>
      <c r="F5824" t="s">
        <v>40</v>
      </c>
      <c r="G5824" t="s">
        <v>33</v>
      </c>
      <c r="H5824">
        <v>847.48</v>
      </c>
    </row>
    <row r="5825" spans="1:8" x14ac:dyDescent="0.3">
      <c r="A5825">
        <v>202404</v>
      </c>
      <c r="B5825" s="1">
        <v>45383</v>
      </c>
      <c r="C5825">
        <v>2024</v>
      </c>
      <c r="D5825" t="s">
        <v>11</v>
      </c>
      <c r="E5825" t="s">
        <v>35</v>
      </c>
      <c r="F5825" t="s">
        <v>40</v>
      </c>
      <c r="G5825" t="s">
        <v>33</v>
      </c>
      <c r="H5825">
        <v>1933.03</v>
      </c>
    </row>
    <row r="5826" spans="1:8" x14ac:dyDescent="0.3">
      <c r="A5826">
        <v>202405</v>
      </c>
      <c r="B5826" s="1">
        <v>45413</v>
      </c>
      <c r="C5826">
        <v>2024</v>
      </c>
      <c r="D5826" t="s">
        <v>12</v>
      </c>
      <c r="E5826" t="s">
        <v>35</v>
      </c>
      <c r="F5826" t="s">
        <v>40</v>
      </c>
      <c r="G5826" t="s">
        <v>33</v>
      </c>
      <c r="H5826">
        <v>1124.01</v>
      </c>
    </row>
    <row r="5827" spans="1:8" x14ac:dyDescent="0.3">
      <c r="A5827">
        <v>202406</v>
      </c>
      <c r="B5827" s="1">
        <v>45444</v>
      </c>
      <c r="C5827">
        <v>2024</v>
      </c>
      <c r="D5827" t="s">
        <v>13</v>
      </c>
      <c r="E5827" t="s">
        <v>35</v>
      </c>
      <c r="F5827" t="s">
        <v>40</v>
      </c>
      <c r="G5827" t="s">
        <v>33</v>
      </c>
      <c r="H5827">
        <v>1116.67</v>
      </c>
    </row>
    <row r="5828" spans="1:8" x14ac:dyDescent="0.3">
      <c r="A5828">
        <v>202407</v>
      </c>
      <c r="B5828" s="1">
        <v>45474</v>
      </c>
      <c r="C5828">
        <v>2024</v>
      </c>
      <c r="D5828" t="s">
        <v>14</v>
      </c>
      <c r="E5828" t="s">
        <v>35</v>
      </c>
      <c r="F5828" t="s">
        <v>40</v>
      </c>
      <c r="G5828" t="s">
        <v>33</v>
      </c>
      <c r="H5828">
        <v>1693.84</v>
      </c>
    </row>
    <row r="5829" spans="1:8" x14ac:dyDescent="0.3">
      <c r="A5829">
        <v>202408</v>
      </c>
      <c r="B5829" s="1">
        <v>45505</v>
      </c>
      <c r="C5829">
        <v>2024</v>
      </c>
      <c r="D5829" t="s">
        <v>15</v>
      </c>
      <c r="E5829" t="s">
        <v>35</v>
      </c>
      <c r="F5829" t="s">
        <v>40</v>
      </c>
      <c r="G5829" t="s">
        <v>33</v>
      </c>
      <c r="H5829">
        <v>1183.49</v>
      </c>
    </row>
    <row r="5830" spans="1:8" x14ac:dyDescent="0.3">
      <c r="A5830">
        <v>202409</v>
      </c>
      <c r="B5830" s="1">
        <v>45536</v>
      </c>
      <c r="C5830">
        <v>2024</v>
      </c>
      <c r="D5830" t="s">
        <v>16</v>
      </c>
      <c r="E5830" t="s">
        <v>35</v>
      </c>
      <c r="F5830" t="s">
        <v>40</v>
      </c>
      <c r="G5830" t="s">
        <v>33</v>
      </c>
      <c r="H5830">
        <v>996.43</v>
      </c>
    </row>
    <row r="5831" spans="1:8" x14ac:dyDescent="0.3">
      <c r="A5831">
        <v>202410</v>
      </c>
      <c r="B5831" s="1">
        <v>45566</v>
      </c>
      <c r="C5831">
        <v>2024</v>
      </c>
      <c r="D5831" t="s">
        <v>17</v>
      </c>
      <c r="E5831" t="s">
        <v>35</v>
      </c>
      <c r="F5831" t="s">
        <v>40</v>
      </c>
      <c r="G5831" t="s">
        <v>33</v>
      </c>
      <c r="H5831">
        <v>1921.07</v>
      </c>
    </row>
    <row r="5832" spans="1:8" x14ac:dyDescent="0.3">
      <c r="A5832">
        <v>202411</v>
      </c>
      <c r="B5832" s="1">
        <v>45597</v>
      </c>
      <c r="C5832">
        <v>2024</v>
      </c>
      <c r="D5832" t="s">
        <v>18</v>
      </c>
      <c r="E5832" t="s">
        <v>35</v>
      </c>
      <c r="F5832" t="s">
        <v>40</v>
      </c>
      <c r="G5832" t="s">
        <v>33</v>
      </c>
      <c r="H5832">
        <v>1466.09</v>
      </c>
    </row>
    <row r="5833" spans="1:8" x14ac:dyDescent="0.3">
      <c r="A5833">
        <v>202412</v>
      </c>
      <c r="B5833" s="1">
        <v>45627</v>
      </c>
      <c r="C5833">
        <v>2024</v>
      </c>
      <c r="D5833" t="s">
        <v>19</v>
      </c>
      <c r="E5833" t="s">
        <v>35</v>
      </c>
      <c r="F5833" t="s">
        <v>40</v>
      </c>
      <c r="G5833" t="s">
        <v>33</v>
      </c>
      <c r="H5833">
        <v>1043.07</v>
      </c>
    </row>
    <row r="5834" spans="1:8" x14ac:dyDescent="0.3">
      <c r="A5834">
        <v>202401</v>
      </c>
      <c r="B5834" s="1">
        <v>45292</v>
      </c>
      <c r="C5834">
        <v>2024</v>
      </c>
      <c r="D5834" t="s">
        <v>6</v>
      </c>
      <c r="E5834" t="s">
        <v>35</v>
      </c>
      <c r="F5834" t="s">
        <v>40</v>
      </c>
      <c r="G5834" t="s">
        <v>33</v>
      </c>
      <c r="H5834">
        <v>2997.58</v>
      </c>
    </row>
    <row r="5835" spans="1:8" x14ac:dyDescent="0.3">
      <c r="A5835">
        <v>202402</v>
      </c>
      <c r="B5835" s="1">
        <v>45323</v>
      </c>
      <c r="C5835">
        <v>2024</v>
      </c>
      <c r="D5835" t="s">
        <v>9</v>
      </c>
      <c r="E5835" t="s">
        <v>35</v>
      </c>
      <c r="F5835" t="s">
        <v>40</v>
      </c>
      <c r="G5835" t="s">
        <v>33</v>
      </c>
      <c r="H5835">
        <v>1375.27</v>
      </c>
    </row>
    <row r="5836" spans="1:8" x14ac:dyDescent="0.3">
      <c r="A5836">
        <v>202403</v>
      </c>
      <c r="B5836" s="1">
        <v>45352</v>
      </c>
      <c r="C5836">
        <v>2024</v>
      </c>
      <c r="D5836" t="s">
        <v>10</v>
      </c>
      <c r="E5836" t="s">
        <v>35</v>
      </c>
      <c r="F5836" t="s">
        <v>40</v>
      </c>
      <c r="G5836" t="s">
        <v>33</v>
      </c>
      <c r="H5836">
        <v>1407.35</v>
      </c>
    </row>
    <row r="5837" spans="1:8" x14ac:dyDescent="0.3">
      <c r="A5837">
        <v>202404</v>
      </c>
      <c r="B5837" s="1">
        <v>45383</v>
      </c>
      <c r="C5837">
        <v>2024</v>
      </c>
      <c r="D5837" t="s">
        <v>11</v>
      </c>
      <c r="E5837" t="s">
        <v>35</v>
      </c>
      <c r="F5837" t="s">
        <v>40</v>
      </c>
      <c r="G5837" t="s">
        <v>33</v>
      </c>
      <c r="H5837">
        <v>3469.59</v>
      </c>
    </row>
    <row r="5838" spans="1:8" x14ac:dyDescent="0.3">
      <c r="A5838">
        <v>202405</v>
      </c>
      <c r="B5838" s="1">
        <v>45413</v>
      </c>
      <c r="C5838">
        <v>2024</v>
      </c>
      <c r="D5838" t="s">
        <v>12</v>
      </c>
      <c r="E5838" t="s">
        <v>35</v>
      </c>
      <c r="F5838" t="s">
        <v>40</v>
      </c>
      <c r="G5838" t="s">
        <v>33</v>
      </c>
      <c r="H5838">
        <v>2238.83</v>
      </c>
    </row>
    <row r="5839" spans="1:8" x14ac:dyDescent="0.3">
      <c r="A5839">
        <v>202406</v>
      </c>
      <c r="B5839" s="1">
        <v>45444</v>
      </c>
      <c r="C5839">
        <v>2024</v>
      </c>
      <c r="D5839" t="s">
        <v>13</v>
      </c>
      <c r="E5839" t="s">
        <v>35</v>
      </c>
      <c r="F5839" t="s">
        <v>40</v>
      </c>
      <c r="G5839" t="s">
        <v>33</v>
      </c>
      <c r="H5839">
        <v>1502.85</v>
      </c>
    </row>
    <row r="5840" spans="1:8" x14ac:dyDescent="0.3">
      <c r="A5840">
        <v>202407</v>
      </c>
      <c r="B5840" s="1">
        <v>45474</v>
      </c>
      <c r="C5840">
        <v>2024</v>
      </c>
      <c r="D5840" t="s">
        <v>14</v>
      </c>
      <c r="E5840" t="s">
        <v>35</v>
      </c>
      <c r="F5840" t="s">
        <v>40</v>
      </c>
      <c r="G5840" t="s">
        <v>33</v>
      </c>
      <c r="H5840">
        <v>3114.26</v>
      </c>
    </row>
    <row r="5841" spans="1:8" x14ac:dyDescent="0.3">
      <c r="A5841">
        <v>202408</v>
      </c>
      <c r="B5841" s="1">
        <v>45505</v>
      </c>
      <c r="C5841">
        <v>2024</v>
      </c>
      <c r="D5841" t="s">
        <v>15</v>
      </c>
      <c r="E5841" t="s">
        <v>35</v>
      </c>
      <c r="F5841" t="s">
        <v>40</v>
      </c>
      <c r="G5841" t="s">
        <v>33</v>
      </c>
      <c r="H5841">
        <v>2498.0500000000002</v>
      </c>
    </row>
    <row r="5842" spans="1:8" x14ac:dyDescent="0.3">
      <c r="A5842">
        <v>202409</v>
      </c>
      <c r="B5842" s="1">
        <v>45536</v>
      </c>
      <c r="C5842">
        <v>2024</v>
      </c>
      <c r="D5842" t="s">
        <v>16</v>
      </c>
      <c r="E5842" t="s">
        <v>35</v>
      </c>
      <c r="F5842" t="s">
        <v>40</v>
      </c>
      <c r="G5842" t="s">
        <v>33</v>
      </c>
      <c r="H5842">
        <v>1509.16</v>
      </c>
    </row>
    <row r="5843" spans="1:8" x14ac:dyDescent="0.3">
      <c r="A5843">
        <v>202410</v>
      </c>
      <c r="B5843" s="1">
        <v>45566</v>
      </c>
      <c r="C5843">
        <v>2024</v>
      </c>
      <c r="D5843" t="s">
        <v>17</v>
      </c>
      <c r="E5843" t="s">
        <v>35</v>
      </c>
      <c r="F5843" t="s">
        <v>40</v>
      </c>
      <c r="G5843" t="s">
        <v>33</v>
      </c>
      <c r="H5843">
        <v>3050.07</v>
      </c>
    </row>
    <row r="5844" spans="1:8" x14ac:dyDescent="0.3">
      <c r="A5844">
        <v>202411</v>
      </c>
      <c r="B5844" s="1">
        <v>45597</v>
      </c>
      <c r="C5844">
        <v>2024</v>
      </c>
      <c r="D5844" t="s">
        <v>18</v>
      </c>
      <c r="E5844" t="s">
        <v>35</v>
      </c>
      <c r="F5844" t="s">
        <v>40</v>
      </c>
      <c r="G5844" t="s">
        <v>33</v>
      </c>
      <c r="H5844">
        <v>2956.09</v>
      </c>
    </row>
    <row r="5845" spans="1:8" x14ac:dyDescent="0.3">
      <c r="A5845">
        <v>202412</v>
      </c>
      <c r="B5845" s="1">
        <v>45627</v>
      </c>
      <c r="C5845">
        <v>2024</v>
      </c>
      <c r="D5845" t="s">
        <v>19</v>
      </c>
      <c r="E5845" t="s">
        <v>35</v>
      </c>
      <c r="F5845" t="s">
        <v>40</v>
      </c>
      <c r="G5845" t="s">
        <v>33</v>
      </c>
      <c r="H5845">
        <v>1616.73</v>
      </c>
    </row>
    <row r="5846" spans="1:8" x14ac:dyDescent="0.3">
      <c r="A5846">
        <v>202401</v>
      </c>
      <c r="B5846" s="1">
        <v>45292</v>
      </c>
      <c r="C5846">
        <v>2024</v>
      </c>
      <c r="D5846" t="s">
        <v>6</v>
      </c>
      <c r="E5846" t="s">
        <v>36</v>
      </c>
      <c r="F5846" t="s">
        <v>40</v>
      </c>
      <c r="G5846" t="s">
        <v>33</v>
      </c>
      <c r="H5846">
        <v>248.74</v>
      </c>
    </row>
    <row r="5847" spans="1:8" x14ac:dyDescent="0.3">
      <c r="A5847">
        <v>202402</v>
      </c>
      <c r="B5847" s="1">
        <v>45323</v>
      </c>
      <c r="C5847">
        <v>2024</v>
      </c>
      <c r="D5847" t="s">
        <v>9</v>
      </c>
      <c r="E5847" t="s">
        <v>36</v>
      </c>
      <c r="F5847" t="s">
        <v>40</v>
      </c>
      <c r="G5847" t="s">
        <v>33</v>
      </c>
      <c r="H5847">
        <v>121.28</v>
      </c>
    </row>
    <row r="5848" spans="1:8" x14ac:dyDescent="0.3">
      <c r="A5848">
        <v>202403</v>
      </c>
      <c r="B5848" s="1">
        <v>45352</v>
      </c>
      <c r="C5848">
        <v>2024</v>
      </c>
      <c r="D5848" t="s">
        <v>10</v>
      </c>
      <c r="E5848" t="s">
        <v>36</v>
      </c>
      <c r="F5848" t="s">
        <v>40</v>
      </c>
      <c r="G5848" t="s">
        <v>33</v>
      </c>
      <c r="H5848">
        <v>153.53</v>
      </c>
    </row>
    <row r="5849" spans="1:8" x14ac:dyDescent="0.3">
      <c r="A5849">
        <v>202404</v>
      </c>
      <c r="B5849" s="1">
        <v>45383</v>
      </c>
      <c r="C5849">
        <v>2024</v>
      </c>
      <c r="D5849" t="s">
        <v>11</v>
      </c>
      <c r="E5849" t="s">
        <v>36</v>
      </c>
      <c r="F5849" t="s">
        <v>40</v>
      </c>
      <c r="G5849" t="s">
        <v>33</v>
      </c>
      <c r="H5849">
        <v>263.35000000000002</v>
      </c>
    </row>
    <row r="5850" spans="1:8" x14ac:dyDescent="0.3">
      <c r="A5850">
        <v>202405</v>
      </c>
      <c r="B5850" s="1">
        <v>45413</v>
      </c>
      <c r="C5850">
        <v>2024</v>
      </c>
      <c r="D5850" t="s">
        <v>12</v>
      </c>
      <c r="E5850" t="s">
        <v>36</v>
      </c>
      <c r="F5850" t="s">
        <v>40</v>
      </c>
      <c r="G5850" t="s">
        <v>33</v>
      </c>
      <c r="H5850">
        <v>175.66</v>
      </c>
    </row>
    <row r="5851" spans="1:8" x14ac:dyDescent="0.3">
      <c r="A5851">
        <v>202406</v>
      </c>
      <c r="B5851" s="1">
        <v>45444</v>
      </c>
      <c r="C5851">
        <v>2024</v>
      </c>
      <c r="D5851" t="s">
        <v>13</v>
      </c>
      <c r="E5851" t="s">
        <v>36</v>
      </c>
      <c r="F5851" t="s">
        <v>40</v>
      </c>
      <c r="G5851" t="s">
        <v>33</v>
      </c>
      <c r="H5851">
        <v>186.81</v>
      </c>
    </row>
    <row r="5852" spans="1:8" x14ac:dyDescent="0.3">
      <c r="A5852">
        <v>202407</v>
      </c>
      <c r="B5852" s="1">
        <v>45474</v>
      </c>
      <c r="C5852">
        <v>2024</v>
      </c>
      <c r="D5852" t="s">
        <v>14</v>
      </c>
      <c r="E5852" t="s">
        <v>36</v>
      </c>
      <c r="F5852" t="s">
        <v>40</v>
      </c>
      <c r="G5852" t="s">
        <v>33</v>
      </c>
      <c r="H5852">
        <v>263.25</v>
      </c>
    </row>
    <row r="5853" spans="1:8" x14ac:dyDescent="0.3">
      <c r="A5853">
        <v>202408</v>
      </c>
      <c r="B5853" s="1">
        <v>45505</v>
      </c>
      <c r="C5853">
        <v>2024</v>
      </c>
      <c r="D5853" t="s">
        <v>15</v>
      </c>
      <c r="E5853" t="s">
        <v>36</v>
      </c>
      <c r="F5853" t="s">
        <v>40</v>
      </c>
      <c r="G5853" t="s">
        <v>33</v>
      </c>
      <c r="H5853">
        <v>209.17</v>
      </c>
    </row>
    <row r="5854" spans="1:8" x14ac:dyDescent="0.3">
      <c r="A5854">
        <v>202409</v>
      </c>
      <c r="B5854" s="1">
        <v>45536</v>
      </c>
      <c r="C5854">
        <v>2024</v>
      </c>
      <c r="D5854" t="s">
        <v>16</v>
      </c>
      <c r="E5854" t="s">
        <v>36</v>
      </c>
      <c r="F5854" t="s">
        <v>40</v>
      </c>
      <c r="G5854" t="s">
        <v>33</v>
      </c>
      <c r="H5854">
        <v>197.55</v>
      </c>
    </row>
    <row r="5855" spans="1:8" x14ac:dyDescent="0.3">
      <c r="A5855">
        <v>202410</v>
      </c>
      <c r="B5855" s="1">
        <v>45566</v>
      </c>
      <c r="C5855">
        <v>2024</v>
      </c>
      <c r="D5855" t="s">
        <v>17</v>
      </c>
      <c r="E5855" t="s">
        <v>36</v>
      </c>
      <c r="F5855" t="s">
        <v>40</v>
      </c>
      <c r="G5855" t="s">
        <v>33</v>
      </c>
      <c r="H5855">
        <v>275.57</v>
      </c>
    </row>
    <row r="5856" spans="1:8" x14ac:dyDescent="0.3">
      <c r="A5856">
        <v>202411</v>
      </c>
      <c r="B5856" s="1">
        <v>45597</v>
      </c>
      <c r="C5856">
        <v>2024</v>
      </c>
      <c r="D5856" t="s">
        <v>18</v>
      </c>
      <c r="E5856" t="s">
        <v>36</v>
      </c>
      <c r="F5856" t="s">
        <v>40</v>
      </c>
      <c r="G5856" t="s">
        <v>33</v>
      </c>
      <c r="H5856">
        <v>197.66</v>
      </c>
    </row>
    <row r="5857" spans="1:8" x14ac:dyDescent="0.3">
      <c r="A5857">
        <v>202412</v>
      </c>
      <c r="B5857" s="1">
        <v>45627</v>
      </c>
      <c r="C5857">
        <v>2024</v>
      </c>
      <c r="D5857" t="s">
        <v>19</v>
      </c>
      <c r="E5857" t="s">
        <v>36</v>
      </c>
      <c r="F5857" t="s">
        <v>40</v>
      </c>
      <c r="G5857" t="s">
        <v>33</v>
      </c>
      <c r="H5857">
        <v>258.55</v>
      </c>
    </row>
    <row r="5858" spans="1:8" x14ac:dyDescent="0.3">
      <c r="A5858">
        <v>202401</v>
      </c>
      <c r="B5858" s="1">
        <v>45292</v>
      </c>
      <c r="C5858">
        <v>2024</v>
      </c>
      <c r="D5858" t="s">
        <v>6</v>
      </c>
      <c r="E5858" t="s">
        <v>36</v>
      </c>
      <c r="F5858" t="s">
        <v>40</v>
      </c>
      <c r="G5858" t="s">
        <v>33</v>
      </c>
      <c r="H5858">
        <v>919.91</v>
      </c>
    </row>
    <row r="5859" spans="1:8" x14ac:dyDescent="0.3">
      <c r="A5859">
        <v>202402</v>
      </c>
      <c r="B5859" s="1">
        <v>45323</v>
      </c>
      <c r="C5859">
        <v>2024</v>
      </c>
      <c r="D5859" t="s">
        <v>9</v>
      </c>
      <c r="E5859" t="s">
        <v>36</v>
      </c>
      <c r="F5859" t="s">
        <v>40</v>
      </c>
      <c r="G5859" t="s">
        <v>33</v>
      </c>
      <c r="H5859">
        <v>313.68</v>
      </c>
    </row>
    <row r="5860" spans="1:8" x14ac:dyDescent="0.3">
      <c r="A5860">
        <v>202403</v>
      </c>
      <c r="B5860" s="1">
        <v>45352</v>
      </c>
      <c r="C5860">
        <v>2024</v>
      </c>
      <c r="D5860" t="s">
        <v>10</v>
      </c>
      <c r="E5860" t="s">
        <v>36</v>
      </c>
      <c r="F5860" t="s">
        <v>40</v>
      </c>
      <c r="G5860" t="s">
        <v>33</v>
      </c>
      <c r="H5860">
        <v>270.10000000000002</v>
      </c>
    </row>
    <row r="5861" spans="1:8" x14ac:dyDescent="0.3">
      <c r="A5861">
        <v>202404</v>
      </c>
      <c r="B5861" s="1">
        <v>45383</v>
      </c>
      <c r="C5861">
        <v>2024</v>
      </c>
      <c r="D5861" t="s">
        <v>11</v>
      </c>
      <c r="E5861" t="s">
        <v>36</v>
      </c>
      <c r="F5861" t="s">
        <v>40</v>
      </c>
      <c r="G5861" t="s">
        <v>33</v>
      </c>
      <c r="H5861">
        <v>552.82000000000005</v>
      </c>
    </row>
    <row r="5862" spans="1:8" x14ac:dyDescent="0.3">
      <c r="A5862">
        <v>202405</v>
      </c>
      <c r="B5862" s="1">
        <v>45413</v>
      </c>
      <c r="C5862">
        <v>2024</v>
      </c>
      <c r="D5862" t="s">
        <v>12</v>
      </c>
      <c r="E5862" t="s">
        <v>36</v>
      </c>
      <c r="F5862" t="s">
        <v>40</v>
      </c>
      <c r="G5862" t="s">
        <v>33</v>
      </c>
      <c r="H5862">
        <v>359.46</v>
      </c>
    </row>
    <row r="5863" spans="1:8" x14ac:dyDescent="0.3">
      <c r="A5863">
        <v>202406</v>
      </c>
      <c r="B5863" s="1">
        <v>45444</v>
      </c>
      <c r="C5863">
        <v>2024</v>
      </c>
      <c r="D5863" t="s">
        <v>13</v>
      </c>
      <c r="E5863" t="s">
        <v>36</v>
      </c>
      <c r="F5863" t="s">
        <v>40</v>
      </c>
      <c r="G5863" t="s">
        <v>33</v>
      </c>
      <c r="H5863">
        <v>391.21</v>
      </c>
    </row>
    <row r="5864" spans="1:8" x14ac:dyDescent="0.3">
      <c r="A5864">
        <v>202407</v>
      </c>
      <c r="B5864" s="1">
        <v>45474</v>
      </c>
      <c r="C5864">
        <v>2024</v>
      </c>
      <c r="D5864" t="s">
        <v>14</v>
      </c>
      <c r="E5864" t="s">
        <v>36</v>
      </c>
      <c r="F5864" t="s">
        <v>40</v>
      </c>
      <c r="G5864" t="s">
        <v>33</v>
      </c>
      <c r="H5864">
        <v>641.63</v>
      </c>
    </row>
    <row r="5865" spans="1:8" x14ac:dyDescent="0.3">
      <c r="A5865">
        <v>202408</v>
      </c>
      <c r="B5865" s="1">
        <v>45505</v>
      </c>
      <c r="C5865">
        <v>2024</v>
      </c>
      <c r="D5865" t="s">
        <v>15</v>
      </c>
      <c r="E5865" t="s">
        <v>36</v>
      </c>
      <c r="F5865" t="s">
        <v>40</v>
      </c>
      <c r="G5865" t="s">
        <v>33</v>
      </c>
      <c r="H5865">
        <v>399.37</v>
      </c>
    </row>
    <row r="5866" spans="1:8" x14ac:dyDescent="0.3">
      <c r="A5866">
        <v>202409</v>
      </c>
      <c r="B5866" s="1">
        <v>45536</v>
      </c>
      <c r="C5866">
        <v>2024</v>
      </c>
      <c r="D5866" t="s">
        <v>16</v>
      </c>
      <c r="E5866" t="s">
        <v>36</v>
      </c>
      <c r="F5866" t="s">
        <v>40</v>
      </c>
      <c r="G5866" t="s">
        <v>33</v>
      </c>
      <c r="H5866">
        <v>302.45999999999998</v>
      </c>
    </row>
    <row r="5867" spans="1:8" x14ac:dyDescent="0.3">
      <c r="A5867">
        <v>202410</v>
      </c>
      <c r="B5867" s="1">
        <v>45566</v>
      </c>
      <c r="C5867">
        <v>2024</v>
      </c>
      <c r="D5867" t="s">
        <v>17</v>
      </c>
      <c r="E5867" t="s">
        <v>36</v>
      </c>
      <c r="F5867" t="s">
        <v>40</v>
      </c>
      <c r="G5867" t="s">
        <v>33</v>
      </c>
      <c r="H5867">
        <v>588.42999999999995</v>
      </c>
    </row>
    <row r="5868" spans="1:8" x14ac:dyDescent="0.3">
      <c r="A5868">
        <v>202411</v>
      </c>
      <c r="B5868" s="1">
        <v>45597</v>
      </c>
      <c r="C5868">
        <v>2024</v>
      </c>
      <c r="D5868" t="s">
        <v>18</v>
      </c>
      <c r="E5868" t="s">
        <v>36</v>
      </c>
      <c r="F5868" t="s">
        <v>40</v>
      </c>
      <c r="G5868" t="s">
        <v>33</v>
      </c>
      <c r="H5868">
        <v>411.08</v>
      </c>
    </row>
    <row r="5869" spans="1:8" x14ac:dyDescent="0.3">
      <c r="A5869">
        <v>202412</v>
      </c>
      <c r="B5869" s="1">
        <v>45627</v>
      </c>
      <c r="C5869">
        <v>2024</v>
      </c>
      <c r="D5869" t="s">
        <v>19</v>
      </c>
      <c r="E5869" t="s">
        <v>36</v>
      </c>
      <c r="F5869" t="s">
        <v>40</v>
      </c>
      <c r="G5869" t="s">
        <v>33</v>
      </c>
      <c r="H5869">
        <v>369.5</v>
      </c>
    </row>
    <row r="5870" spans="1:8" x14ac:dyDescent="0.3">
      <c r="A5870">
        <v>202401</v>
      </c>
      <c r="B5870" s="1">
        <v>45292</v>
      </c>
      <c r="C5870">
        <v>2024</v>
      </c>
      <c r="D5870" t="s">
        <v>6</v>
      </c>
      <c r="E5870" t="s">
        <v>36</v>
      </c>
      <c r="F5870" t="s">
        <v>40</v>
      </c>
      <c r="G5870" t="s">
        <v>33</v>
      </c>
      <c r="H5870">
        <v>337.2</v>
      </c>
    </row>
    <row r="5871" spans="1:8" x14ac:dyDescent="0.3">
      <c r="A5871">
        <v>202402</v>
      </c>
      <c r="B5871" s="1">
        <v>45323</v>
      </c>
      <c r="C5871">
        <v>2024</v>
      </c>
      <c r="D5871" t="s">
        <v>9</v>
      </c>
      <c r="E5871" t="s">
        <v>36</v>
      </c>
      <c r="F5871" t="s">
        <v>40</v>
      </c>
      <c r="G5871" t="s">
        <v>33</v>
      </c>
      <c r="H5871">
        <v>156.05000000000001</v>
      </c>
    </row>
    <row r="5872" spans="1:8" x14ac:dyDescent="0.3">
      <c r="A5872">
        <v>202403</v>
      </c>
      <c r="B5872" s="1">
        <v>45352</v>
      </c>
      <c r="C5872">
        <v>2024</v>
      </c>
      <c r="D5872" t="s">
        <v>10</v>
      </c>
      <c r="E5872" t="s">
        <v>36</v>
      </c>
      <c r="F5872" t="s">
        <v>40</v>
      </c>
      <c r="G5872" t="s">
        <v>33</v>
      </c>
      <c r="H5872">
        <v>207.56</v>
      </c>
    </row>
    <row r="5873" spans="1:8" x14ac:dyDescent="0.3">
      <c r="A5873">
        <v>202404</v>
      </c>
      <c r="B5873" s="1">
        <v>45383</v>
      </c>
      <c r="C5873">
        <v>2024</v>
      </c>
      <c r="D5873" t="s">
        <v>11</v>
      </c>
      <c r="E5873" t="s">
        <v>36</v>
      </c>
      <c r="F5873" t="s">
        <v>40</v>
      </c>
      <c r="G5873" t="s">
        <v>33</v>
      </c>
      <c r="H5873">
        <v>325.08999999999997</v>
      </c>
    </row>
    <row r="5874" spans="1:8" x14ac:dyDescent="0.3">
      <c r="A5874">
        <v>202405</v>
      </c>
      <c r="B5874" s="1">
        <v>45413</v>
      </c>
      <c r="C5874">
        <v>2024</v>
      </c>
      <c r="D5874" t="s">
        <v>12</v>
      </c>
      <c r="E5874" t="s">
        <v>36</v>
      </c>
      <c r="F5874" t="s">
        <v>40</v>
      </c>
      <c r="G5874" t="s">
        <v>33</v>
      </c>
      <c r="H5874">
        <v>261.14999999999998</v>
      </c>
    </row>
    <row r="5875" spans="1:8" x14ac:dyDescent="0.3">
      <c r="A5875">
        <v>202406</v>
      </c>
      <c r="B5875" s="1">
        <v>45444</v>
      </c>
      <c r="C5875">
        <v>2024</v>
      </c>
      <c r="D5875" t="s">
        <v>13</v>
      </c>
      <c r="E5875" t="s">
        <v>36</v>
      </c>
      <c r="F5875" t="s">
        <v>40</v>
      </c>
      <c r="G5875" t="s">
        <v>33</v>
      </c>
      <c r="H5875">
        <v>264.3</v>
      </c>
    </row>
    <row r="5876" spans="1:8" x14ac:dyDescent="0.3">
      <c r="A5876">
        <v>202407</v>
      </c>
      <c r="B5876" s="1">
        <v>45474</v>
      </c>
      <c r="C5876">
        <v>2024</v>
      </c>
      <c r="D5876" t="s">
        <v>14</v>
      </c>
      <c r="E5876" t="s">
        <v>36</v>
      </c>
      <c r="F5876" t="s">
        <v>40</v>
      </c>
      <c r="G5876" t="s">
        <v>33</v>
      </c>
      <c r="H5876">
        <v>340.43</v>
      </c>
    </row>
    <row r="5877" spans="1:8" x14ac:dyDescent="0.3">
      <c r="A5877">
        <v>202408</v>
      </c>
      <c r="B5877" s="1">
        <v>45505</v>
      </c>
      <c r="C5877">
        <v>2024</v>
      </c>
      <c r="D5877" t="s">
        <v>15</v>
      </c>
      <c r="E5877" t="s">
        <v>36</v>
      </c>
      <c r="F5877" t="s">
        <v>40</v>
      </c>
      <c r="G5877" t="s">
        <v>33</v>
      </c>
      <c r="H5877">
        <v>328.85</v>
      </c>
    </row>
    <row r="5878" spans="1:8" x14ac:dyDescent="0.3">
      <c r="A5878">
        <v>202409</v>
      </c>
      <c r="B5878" s="1">
        <v>45536</v>
      </c>
      <c r="C5878">
        <v>2024</v>
      </c>
      <c r="D5878" t="s">
        <v>16</v>
      </c>
      <c r="E5878" t="s">
        <v>36</v>
      </c>
      <c r="F5878" t="s">
        <v>40</v>
      </c>
      <c r="G5878" t="s">
        <v>33</v>
      </c>
      <c r="H5878">
        <v>325.5</v>
      </c>
    </row>
    <row r="5879" spans="1:8" x14ac:dyDescent="0.3">
      <c r="A5879">
        <v>202410</v>
      </c>
      <c r="B5879" s="1">
        <v>45566</v>
      </c>
      <c r="C5879">
        <v>2024</v>
      </c>
      <c r="D5879" t="s">
        <v>17</v>
      </c>
      <c r="E5879" t="s">
        <v>36</v>
      </c>
      <c r="F5879" t="s">
        <v>40</v>
      </c>
      <c r="G5879" t="s">
        <v>33</v>
      </c>
      <c r="H5879">
        <v>359.36</v>
      </c>
    </row>
    <row r="5880" spans="1:8" x14ac:dyDescent="0.3">
      <c r="A5880">
        <v>202411</v>
      </c>
      <c r="B5880" s="1">
        <v>45597</v>
      </c>
      <c r="C5880">
        <v>2024</v>
      </c>
      <c r="D5880" t="s">
        <v>18</v>
      </c>
      <c r="E5880" t="s">
        <v>36</v>
      </c>
      <c r="F5880" t="s">
        <v>40</v>
      </c>
      <c r="G5880" t="s">
        <v>33</v>
      </c>
      <c r="H5880">
        <v>350.46</v>
      </c>
    </row>
    <row r="5881" spans="1:8" x14ac:dyDescent="0.3">
      <c r="A5881">
        <v>202412</v>
      </c>
      <c r="B5881" s="1">
        <v>45627</v>
      </c>
      <c r="C5881">
        <v>2024</v>
      </c>
      <c r="D5881" t="s">
        <v>19</v>
      </c>
      <c r="E5881" t="s">
        <v>36</v>
      </c>
      <c r="F5881" t="s">
        <v>40</v>
      </c>
      <c r="G5881" t="s">
        <v>33</v>
      </c>
      <c r="H5881">
        <v>481.6</v>
      </c>
    </row>
    <row r="5882" spans="1:8" x14ac:dyDescent="0.3">
      <c r="A5882">
        <v>202401</v>
      </c>
      <c r="B5882" s="1">
        <v>45292</v>
      </c>
      <c r="C5882">
        <v>2024</v>
      </c>
      <c r="D5882" t="s">
        <v>6</v>
      </c>
      <c r="E5882" t="s">
        <v>36</v>
      </c>
      <c r="F5882" t="s">
        <v>40</v>
      </c>
      <c r="G5882" t="s">
        <v>33</v>
      </c>
      <c r="H5882">
        <v>138.08000000000001</v>
      </c>
    </row>
    <row r="5883" spans="1:8" x14ac:dyDescent="0.3">
      <c r="A5883">
        <v>202402</v>
      </c>
      <c r="B5883" s="1">
        <v>45323</v>
      </c>
      <c r="C5883">
        <v>2024</v>
      </c>
      <c r="D5883" t="s">
        <v>9</v>
      </c>
      <c r="E5883" t="s">
        <v>36</v>
      </c>
      <c r="F5883" t="s">
        <v>40</v>
      </c>
      <c r="G5883" t="s">
        <v>33</v>
      </c>
      <c r="H5883">
        <v>93.37</v>
      </c>
    </row>
    <row r="5884" spans="1:8" x14ac:dyDescent="0.3">
      <c r="A5884">
        <v>202403</v>
      </c>
      <c r="B5884" s="1">
        <v>45352</v>
      </c>
      <c r="C5884">
        <v>2024</v>
      </c>
      <c r="D5884" t="s">
        <v>10</v>
      </c>
      <c r="E5884" t="s">
        <v>36</v>
      </c>
      <c r="F5884" t="s">
        <v>40</v>
      </c>
      <c r="G5884" t="s">
        <v>33</v>
      </c>
      <c r="H5884">
        <v>102.97</v>
      </c>
    </row>
    <row r="5885" spans="1:8" x14ac:dyDescent="0.3">
      <c r="A5885">
        <v>202404</v>
      </c>
      <c r="B5885" s="1">
        <v>45383</v>
      </c>
      <c r="C5885">
        <v>2024</v>
      </c>
      <c r="D5885" t="s">
        <v>11</v>
      </c>
      <c r="E5885" t="s">
        <v>36</v>
      </c>
      <c r="F5885" t="s">
        <v>40</v>
      </c>
      <c r="G5885" t="s">
        <v>33</v>
      </c>
      <c r="H5885">
        <v>195.17</v>
      </c>
    </row>
    <row r="5886" spans="1:8" x14ac:dyDescent="0.3">
      <c r="A5886">
        <v>202405</v>
      </c>
      <c r="B5886" s="1">
        <v>45413</v>
      </c>
      <c r="C5886">
        <v>2024</v>
      </c>
      <c r="D5886" t="s">
        <v>12</v>
      </c>
      <c r="E5886" t="s">
        <v>36</v>
      </c>
      <c r="F5886" t="s">
        <v>40</v>
      </c>
      <c r="G5886" t="s">
        <v>33</v>
      </c>
      <c r="H5886">
        <v>107.76</v>
      </c>
    </row>
    <row r="5887" spans="1:8" x14ac:dyDescent="0.3">
      <c r="A5887">
        <v>202406</v>
      </c>
      <c r="B5887" s="1">
        <v>45444</v>
      </c>
      <c r="C5887">
        <v>2024</v>
      </c>
      <c r="D5887" t="s">
        <v>13</v>
      </c>
      <c r="E5887" t="s">
        <v>36</v>
      </c>
      <c r="F5887" t="s">
        <v>40</v>
      </c>
      <c r="G5887" t="s">
        <v>33</v>
      </c>
      <c r="H5887">
        <v>147.02000000000001</v>
      </c>
    </row>
    <row r="5888" spans="1:8" x14ac:dyDescent="0.3">
      <c r="A5888">
        <v>202407</v>
      </c>
      <c r="B5888" s="1">
        <v>45474</v>
      </c>
      <c r="C5888">
        <v>2024</v>
      </c>
      <c r="D5888" t="s">
        <v>14</v>
      </c>
      <c r="E5888" t="s">
        <v>36</v>
      </c>
      <c r="F5888" t="s">
        <v>40</v>
      </c>
      <c r="G5888" t="s">
        <v>33</v>
      </c>
      <c r="H5888">
        <v>177.14</v>
      </c>
    </row>
    <row r="5889" spans="1:8" x14ac:dyDescent="0.3">
      <c r="A5889">
        <v>202408</v>
      </c>
      <c r="B5889" s="1">
        <v>45505</v>
      </c>
      <c r="C5889">
        <v>2024</v>
      </c>
      <c r="D5889" t="s">
        <v>15</v>
      </c>
      <c r="E5889" t="s">
        <v>36</v>
      </c>
      <c r="F5889" t="s">
        <v>40</v>
      </c>
      <c r="G5889" t="s">
        <v>33</v>
      </c>
      <c r="H5889">
        <v>115.02</v>
      </c>
    </row>
    <row r="5890" spans="1:8" x14ac:dyDescent="0.3">
      <c r="A5890">
        <v>202409</v>
      </c>
      <c r="B5890" s="1">
        <v>45536</v>
      </c>
      <c r="C5890">
        <v>2024</v>
      </c>
      <c r="D5890" t="s">
        <v>16</v>
      </c>
      <c r="E5890" t="s">
        <v>36</v>
      </c>
      <c r="F5890" t="s">
        <v>40</v>
      </c>
      <c r="G5890" t="s">
        <v>33</v>
      </c>
      <c r="H5890">
        <v>106.39</v>
      </c>
    </row>
    <row r="5891" spans="1:8" x14ac:dyDescent="0.3">
      <c r="A5891">
        <v>202410</v>
      </c>
      <c r="B5891" s="1">
        <v>45566</v>
      </c>
      <c r="C5891">
        <v>2024</v>
      </c>
      <c r="D5891" t="s">
        <v>17</v>
      </c>
      <c r="E5891" t="s">
        <v>36</v>
      </c>
      <c r="F5891" t="s">
        <v>40</v>
      </c>
      <c r="G5891" t="s">
        <v>33</v>
      </c>
      <c r="H5891">
        <v>216.61</v>
      </c>
    </row>
    <row r="5892" spans="1:8" x14ac:dyDescent="0.3">
      <c r="A5892">
        <v>202411</v>
      </c>
      <c r="B5892" s="1">
        <v>45597</v>
      </c>
      <c r="C5892">
        <v>2024</v>
      </c>
      <c r="D5892" t="s">
        <v>18</v>
      </c>
      <c r="E5892" t="s">
        <v>36</v>
      </c>
      <c r="F5892" t="s">
        <v>40</v>
      </c>
      <c r="G5892" t="s">
        <v>33</v>
      </c>
      <c r="H5892">
        <v>178.96</v>
      </c>
    </row>
    <row r="5893" spans="1:8" x14ac:dyDescent="0.3">
      <c r="A5893">
        <v>202412</v>
      </c>
      <c r="B5893" s="1">
        <v>45627</v>
      </c>
      <c r="C5893">
        <v>2024</v>
      </c>
      <c r="D5893" t="s">
        <v>19</v>
      </c>
      <c r="E5893" t="s">
        <v>36</v>
      </c>
      <c r="F5893" t="s">
        <v>40</v>
      </c>
      <c r="G5893" t="s">
        <v>33</v>
      </c>
      <c r="H5893">
        <v>188.71</v>
      </c>
    </row>
    <row r="5894" spans="1:8" x14ac:dyDescent="0.3">
      <c r="A5894">
        <v>202401</v>
      </c>
      <c r="B5894" s="1">
        <v>45292</v>
      </c>
      <c r="C5894">
        <v>2024</v>
      </c>
      <c r="D5894" t="s">
        <v>6</v>
      </c>
      <c r="E5894" t="s">
        <v>37</v>
      </c>
      <c r="F5894" t="s">
        <v>40</v>
      </c>
      <c r="G5894" t="s">
        <v>33</v>
      </c>
      <c r="H5894">
        <v>447.16</v>
      </c>
    </row>
    <row r="5895" spans="1:8" x14ac:dyDescent="0.3">
      <c r="A5895">
        <v>202402</v>
      </c>
      <c r="B5895" s="1">
        <v>45323</v>
      </c>
      <c r="C5895">
        <v>2024</v>
      </c>
      <c r="D5895" t="s">
        <v>9</v>
      </c>
      <c r="E5895" t="s">
        <v>37</v>
      </c>
      <c r="F5895" t="s">
        <v>40</v>
      </c>
      <c r="G5895" t="s">
        <v>33</v>
      </c>
      <c r="H5895">
        <v>211.41</v>
      </c>
    </row>
    <row r="5896" spans="1:8" x14ac:dyDescent="0.3">
      <c r="A5896">
        <v>202403</v>
      </c>
      <c r="B5896" s="1">
        <v>45352</v>
      </c>
      <c r="C5896">
        <v>2024</v>
      </c>
      <c r="D5896" t="s">
        <v>10</v>
      </c>
      <c r="E5896" t="s">
        <v>37</v>
      </c>
      <c r="F5896" t="s">
        <v>40</v>
      </c>
      <c r="G5896" t="s">
        <v>33</v>
      </c>
      <c r="H5896">
        <v>268.86</v>
      </c>
    </row>
    <row r="5897" spans="1:8" x14ac:dyDescent="0.3">
      <c r="A5897">
        <v>202404</v>
      </c>
      <c r="B5897" s="1">
        <v>45383</v>
      </c>
      <c r="C5897">
        <v>2024</v>
      </c>
      <c r="D5897" t="s">
        <v>11</v>
      </c>
      <c r="E5897" t="s">
        <v>37</v>
      </c>
      <c r="F5897" t="s">
        <v>40</v>
      </c>
      <c r="G5897" t="s">
        <v>33</v>
      </c>
      <c r="H5897">
        <v>446.13</v>
      </c>
    </row>
    <row r="5898" spans="1:8" x14ac:dyDescent="0.3">
      <c r="A5898">
        <v>202405</v>
      </c>
      <c r="B5898" s="1">
        <v>45413</v>
      </c>
      <c r="C5898">
        <v>2024</v>
      </c>
      <c r="D5898" t="s">
        <v>12</v>
      </c>
      <c r="E5898" t="s">
        <v>37</v>
      </c>
      <c r="F5898" t="s">
        <v>40</v>
      </c>
      <c r="G5898" t="s">
        <v>33</v>
      </c>
      <c r="H5898">
        <v>425.1</v>
      </c>
    </row>
    <row r="5899" spans="1:8" x14ac:dyDescent="0.3">
      <c r="A5899">
        <v>202406</v>
      </c>
      <c r="B5899" s="1">
        <v>45444</v>
      </c>
      <c r="C5899">
        <v>2024</v>
      </c>
      <c r="D5899" t="s">
        <v>13</v>
      </c>
      <c r="E5899" t="s">
        <v>37</v>
      </c>
      <c r="F5899" t="s">
        <v>40</v>
      </c>
      <c r="G5899" t="s">
        <v>33</v>
      </c>
      <c r="H5899">
        <v>382.73</v>
      </c>
    </row>
    <row r="5900" spans="1:8" x14ac:dyDescent="0.3">
      <c r="A5900">
        <v>202407</v>
      </c>
      <c r="B5900" s="1">
        <v>45474</v>
      </c>
      <c r="C5900">
        <v>2024</v>
      </c>
      <c r="D5900" t="s">
        <v>14</v>
      </c>
      <c r="E5900" t="s">
        <v>37</v>
      </c>
      <c r="F5900" t="s">
        <v>40</v>
      </c>
      <c r="G5900" t="s">
        <v>33</v>
      </c>
      <c r="H5900">
        <v>432.4</v>
      </c>
    </row>
    <row r="5901" spans="1:8" x14ac:dyDescent="0.3">
      <c r="A5901">
        <v>202408</v>
      </c>
      <c r="B5901" s="1">
        <v>45505</v>
      </c>
      <c r="C5901">
        <v>2024</v>
      </c>
      <c r="D5901" t="s">
        <v>15</v>
      </c>
      <c r="E5901" t="s">
        <v>37</v>
      </c>
      <c r="F5901" t="s">
        <v>40</v>
      </c>
      <c r="G5901" t="s">
        <v>33</v>
      </c>
      <c r="H5901">
        <v>380.37</v>
      </c>
    </row>
    <row r="5902" spans="1:8" x14ac:dyDescent="0.3">
      <c r="A5902">
        <v>202409</v>
      </c>
      <c r="B5902" s="1">
        <v>45536</v>
      </c>
      <c r="C5902">
        <v>2024</v>
      </c>
      <c r="D5902" t="s">
        <v>16</v>
      </c>
      <c r="E5902" t="s">
        <v>37</v>
      </c>
      <c r="F5902" t="s">
        <v>40</v>
      </c>
      <c r="G5902" t="s">
        <v>33</v>
      </c>
      <c r="H5902">
        <v>367.02</v>
      </c>
    </row>
    <row r="5903" spans="1:8" x14ac:dyDescent="0.3">
      <c r="A5903">
        <v>202410</v>
      </c>
      <c r="B5903" s="1">
        <v>45566</v>
      </c>
      <c r="C5903">
        <v>2024</v>
      </c>
      <c r="D5903" t="s">
        <v>17</v>
      </c>
      <c r="E5903" t="s">
        <v>37</v>
      </c>
      <c r="F5903" t="s">
        <v>40</v>
      </c>
      <c r="G5903" t="s">
        <v>33</v>
      </c>
      <c r="H5903">
        <v>539.99</v>
      </c>
    </row>
    <row r="5904" spans="1:8" x14ac:dyDescent="0.3">
      <c r="A5904">
        <v>202411</v>
      </c>
      <c r="B5904" s="1">
        <v>45597</v>
      </c>
      <c r="C5904">
        <v>2024</v>
      </c>
      <c r="D5904" t="s">
        <v>18</v>
      </c>
      <c r="E5904" t="s">
        <v>37</v>
      </c>
      <c r="F5904" t="s">
        <v>40</v>
      </c>
      <c r="G5904" t="s">
        <v>33</v>
      </c>
      <c r="H5904">
        <v>517.54</v>
      </c>
    </row>
    <row r="5905" spans="1:8" x14ac:dyDescent="0.3">
      <c r="A5905">
        <v>202412</v>
      </c>
      <c r="B5905" s="1">
        <v>45627</v>
      </c>
      <c r="C5905">
        <v>2024</v>
      </c>
      <c r="D5905" t="s">
        <v>19</v>
      </c>
      <c r="E5905" t="s">
        <v>37</v>
      </c>
      <c r="F5905" t="s">
        <v>40</v>
      </c>
      <c r="G5905" t="s">
        <v>33</v>
      </c>
      <c r="H5905">
        <v>491.7</v>
      </c>
    </row>
    <row r="5906" spans="1:8" x14ac:dyDescent="0.3">
      <c r="A5906">
        <v>202401</v>
      </c>
      <c r="B5906" s="1">
        <v>45292</v>
      </c>
      <c r="C5906">
        <v>2024</v>
      </c>
      <c r="D5906" t="s">
        <v>6</v>
      </c>
      <c r="E5906" t="s">
        <v>37</v>
      </c>
      <c r="F5906" t="s">
        <v>40</v>
      </c>
      <c r="G5906" t="s">
        <v>33</v>
      </c>
      <c r="H5906">
        <v>152.51</v>
      </c>
    </row>
    <row r="5907" spans="1:8" x14ac:dyDescent="0.3">
      <c r="A5907">
        <v>202402</v>
      </c>
      <c r="B5907" s="1">
        <v>45323</v>
      </c>
      <c r="C5907">
        <v>2024</v>
      </c>
      <c r="D5907" t="s">
        <v>9</v>
      </c>
      <c r="E5907" t="s">
        <v>37</v>
      </c>
      <c r="F5907" t="s">
        <v>40</v>
      </c>
      <c r="G5907" t="s">
        <v>33</v>
      </c>
      <c r="H5907">
        <v>109.25</v>
      </c>
    </row>
    <row r="5908" spans="1:8" x14ac:dyDescent="0.3">
      <c r="A5908">
        <v>202403</v>
      </c>
      <c r="B5908" s="1">
        <v>45352</v>
      </c>
      <c r="C5908">
        <v>2024</v>
      </c>
      <c r="D5908" t="s">
        <v>10</v>
      </c>
      <c r="E5908" t="s">
        <v>37</v>
      </c>
      <c r="F5908" t="s">
        <v>40</v>
      </c>
      <c r="G5908" t="s">
        <v>33</v>
      </c>
      <c r="H5908">
        <v>106.61</v>
      </c>
    </row>
    <row r="5909" spans="1:8" x14ac:dyDescent="0.3">
      <c r="A5909">
        <v>202404</v>
      </c>
      <c r="B5909" s="1">
        <v>45383</v>
      </c>
      <c r="C5909">
        <v>2024</v>
      </c>
      <c r="D5909" t="s">
        <v>11</v>
      </c>
      <c r="E5909" t="s">
        <v>37</v>
      </c>
      <c r="F5909" t="s">
        <v>40</v>
      </c>
      <c r="G5909" t="s">
        <v>33</v>
      </c>
      <c r="H5909">
        <v>153.33000000000001</v>
      </c>
    </row>
    <row r="5910" spans="1:8" x14ac:dyDescent="0.3">
      <c r="A5910">
        <v>202405</v>
      </c>
      <c r="B5910" s="1">
        <v>45413</v>
      </c>
      <c r="C5910">
        <v>2024</v>
      </c>
      <c r="D5910" t="s">
        <v>12</v>
      </c>
      <c r="E5910" t="s">
        <v>37</v>
      </c>
      <c r="F5910" t="s">
        <v>40</v>
      </c>
      <c r="G5910" t="s">
        <v>33</v>
      </c>
      <c r="H5910">
        <v>129.87</v>
      </c>
    </row>
    <row r="5911" spans="1:8" x14ac:dyDescent="0.3">
      <c r="A5911">
        <v>202406</v>
      </c>
      <c r="B5911" s="1">
        <v>45444</v>
      </c>
      <c r="C5911">
        <v>2024</v>
      </c>
      <c r="D5911" t="s">
        <v>13</v>
      </c>
      <c r="E5911" t="s">
        <v>37</v>
      </c>
      <c r="F5911" t="s">
        <v>40</v>
      </c>
      <c r="G5911" t="s">
        <v>33</v>
      </c>
      <c r="H5911">
        <v>129.54</v>
      </c>
    </row>
    <row r="5912" spans="1:8" x14ac:dyDescent="0.3">
      <c r="A5912">
        <v>202407</v>
      </c>
      <c r="B5912" s="1">
        <v>45474</v>
      </c>
      <c r="C5912">
        <v>2024</v>
      </c>
      <c r="D5912" t="s">
        <v>14</v>
      </c>
      <c r="E5912" t="s">
        <v>37</v>
      </c>
      <c r="F5912" t="s">
        <v>40</v>
      </c>
      <c r="G5912" t="s">
        <v>33</v>
      </c>
      <c r="H5912">
        <v>159.74</v>
      </c>
    </row>
    <row r="5913" spans="1:8" x14ac:dyDescent="0.3">
      <c r="A5913">
        <v>202408</v>
      </c>
      <c r="B5913" s="1">
        <v>45505</v>
      </c>
      <c r="C5913">
        <v>2024</v>
      </c>
      <c r="D5913" t="s">
        <v>15</v>
      </c>
      <c r="E5913" t="s">
        <v>37</v>
      </c>
      <c r="F5913" t="s">
        <v>40</v>
      </c>
      <c r="G5913" t="s">
        <v>33</v>
      </c>
      <c r="H5913">
        <v>140.4</v>
      </c>
    </row>
    <row r="5914" spans="1:8" x14ac:dyDescent="0.3">
      <c r="A5914">
        <v>202409</v>
      </c>
      <c r="B5914" s="1">
        <v>45536</v>
      </c>
      <c r="C5914">
        <v>2024</v>
      </c>
      <c r="D5914" t="s">
        <v>16</v>
      </c>
      <c r="E5914" t="s">
        <v>37</v>
      </c>
      <c r="F5914" t="s">
        <v>40</v>
      </c>
      <c r="G5914" t="s">
        <v>33</v>
      </c>
      <c r="H5914">
        <v>149.56</v>
      </c>
    </row>
    <row r="5915" spans="1:8" x14ac:dyDescent="0.3">
      <c r="A5915">
        <v>202410</v>
      </c>
      <c r="B5915" s="1">
        <v>45566</v>
      </c>
      <c r="C5915">
        <v>2024</v>
      </c>
      <c r="D5915" t="s">
        <v>17</v>
      </c>
      <c r="E5915" t="s">
        <v>37</v>
      </c>
      <c r="F5915" t="s">
        <v>40</v>
      </c>
      <c r="G5915" t="s">
        <v>33</v>
      </c>
      <c r="H5915">
        <v>183.5</v>
      </c>
    </row>
    <row r="5916" spans="1:8" x14ac:dyDescent="0.3">
      <c r="A5916">
        <v>202411</v>
      </c>
      <c r="B5916" s="1">
        <v>45597</v>
      </c>
      <c r="C5916">
        <v>2024</v>
      </c>
      <c r="D5916" t="s">
        <v>18</v>
      </c>
      <c r="E5916" t="s">
        <v>37</v>
      </c>
      <c r="F5916" t="s">
        <v>40</v>
      </c>
      <c r="G5916" t="s">
        <v>33</v>
      </c>
      <c r="H5916">
        <v>154.13</v>
      </c>
    </row>
    <row r="5917" spans="1:8" x14ac:dyDescent="0.3">
      <c r="A5917">
        <v>202412</v>
      </c>
      <c r="B5917" s="1">
        <v>45627</v>
      </c>
      <c r="C5917">
        <v>2024</v>
      </c>
      <c r="D5917" t="s">
        <v>19</v>
      </c>
      <c r="E5917" t="s">
        <v>37</v>
      </c>
      <c r="F5917" t="s">
        <v>40</v>
      </c>
      <c r="G5917" t="s">
        <v>33</v>
      </c>
      <c r="H5917">
        <v>127.23</v>
      </c>
    </row>
    <row r="5918" spans="1:8" x14ac:dyDescent="0.3">
      <c r="A5918">
        <v>202401</v>
      </c>
      <c r="B5918" s="1">
        <v>45292</v>
      </c>
      <c r="C5918">
        <v>2024</v>
      </c>
      <c r="D5918" t="s">
        <v>6</v>
      </c>
      <c r="E5918" t="s">
        <v>37</v>
      </c>
      <c r="F5918" t="s">
        <v>40</v>
      </c>
      <c r="G5918" t="s">
        <v>33</v>
      </c>
      <c r="H5918">
        <v>250.13</v>
      </c>
    </row>
    <row r="5919" spans="1:8" x14ac:dyDescent="0.3">
      <c r="A5919">
        <v>202402</v>
      </c>
      <c r="B5919" s="1">
        <v>45323</v>
      </c>
      <c r="C5919">
        <v>2024</v>
      </c>
      <c r="D5919" t="s">
        <v>9</v>
      </c>
      <c r="E5919" t="s">
        <v>37</v>
      </c>
      <c r="F5919" t="s">
        <v>40</v>
      </c>
      <c r="G5919" t="s">
        <v>33</v>
      </c>
      <c r="H5919">
        <v>123.6</v>
      </c>
    </row>
    <row r="5920" spans="1:8" x14ac:dyDescent="0.3">
      <c r="A5920">
        <v>202403</v>
      </c>
      <c r="B5920" s="1">
        <v>45352</v>
      </c>
      <c r="C5920">
        <v>2024</v>
      </c>
      <c r="D5920" t="s">
        <v>10</v>
      </c>
      <c r="E5920" t="s">
        <v>37</v>
      </c>
      <c r="F5920" t="s">
        <v>40</v>
      </c>
      <c r="G5920" t="s">
        <v>33</v>
      </c>
      <c r="H5920">
        <v>138.44</v>
      </c>
    </row>
    <row r="5921" spans="1:8" x14ac:dyDescent="0.3">
      <c r="A5921">
        <v>202404</v>
      </c>
      <c r="B5921" s="1">
        <v>45383</v>
      </c>
      <c r="C5921">
        <v>2024</v>
      </c>
      <c r="D5921" t="s">
        <v>11</v>
      </c>
      <c r="E5921" t="s">
        <v>37</v>
      </c>
      <c r="F5921" t="s">
        <v>40</v>
      </c>
      <c r="G5921" t="s">
        <v>33</v>
      </c>
      <c r="H5921">
        <v>287.58999999999997</v>
      </c>
    </row>
    <row r="5922" spans="1:8" x14ac:dyDescent="0.3">
      <c r="A5922">
        <v>202405</v>
      </c>
      <c r="B5922" s="1">
        <v>45413</v>
      </c>
      <c r="C5922">
        <v>2024</v>
      </c>
      <c r="D5922" t="s">
        <v>12</v>
      </c>
      <c r="E5922" t="s">
        <v>37</v>
      </c>
      <c r="F5922" t="s">
        <v>40</v>
      </c>
      <c r="G5922" t="s">
        <v>33</v>
      </c>
      <c r="H5922">
        <v>171.64</v>
      </c>
    </row>
    <row r="5923" spans="1:8" x14ac:dyDescent="0.3">
      <c r="A5923">
        <v>202406</v>
      </c>
      <c r="B5923" s="1">
        <v>45444</v>
      </c>
      <c r="C5923">
        <v>2024</v>
      </c>
      <c r="D5923" t="s">
        <v>13</v>
      </c>
      <c r="E5923" t="s">
        <v>37</v>
      </c>
      <c r="F5923" t="s">
        <v>40</v>
      </c>
      <c r="G5923" t="s">
        <v>33</v>
      </c>
      <c r="H5923">
        <v>190.03</v>
      </c>
    </row>
    <row r="5924" spans="1:8" x14ac:dyDescent="0.3">
      <c r="A5924">
        <v>202407</v>
      </c>
      <c r="B5924" s="1">
        <v>45474</v>
      </c>
      <c r="C5924">
        <v>2024</v>
      </c>
      <c r="D5924" t="s">
        <v>14</v>
      </c>
      <c r="E5924" t="s">
        <v>37</v>
      </c>
      <c r="F5924" t="s">
        <v>40</v>
      </c>
      <c r="G5924" t="s">
        <v>33</v>
      </c>
      <c r="H5924">
        <v>239.2</v>
      </c>
    </row>
    <row r="5925" spans="1:8" x14ac:dyDescent="0.3">
      <c r="A5925">
        <v>202408</v>
      </c>
      <c r="B5925" s="1">
        <v>45505</v>
      </c>
      <c r="C5925">
        <v>2024</v>
      </c>
      <c r="D5925" t="s">
        <v>15</v>
      </c>
      <c r="E5925" t="s">
        <v>37</v>
      </c>
      <c r="F5925" t="s">
        <v>40</v>
      </c>
      <c r="G5925" t="s">
        <v>33</v>
      </c>
      <c r="H5925">
        <v>218.77</v>
      </c>
    </row>
    <row r="5926" spans="1:8" x14ac:dyDescent="0.3">
      <c r="A5926">
        <v>202409</v>
      </c>
      <c r="B5926" s="1">
        <v>45536</v>
      </c>
      <c r="C5926">
        <v>2024</v>
      </c>
      <c r="D5926" t="s">
        <v>16</v>
      </c>
      <c r="E5926" t="s">
        <v>37</v>
      </c>
      <c r="F5926" t="s">
        <v>40</v>
      </c>
      <c r="G5926" t="s">
        <v>33</v>
      </c>
      <c r="H5926">
        <v>192.83</v>
      </c>
    </row>
    <row r="5927" spans="1:8" x14ac:dyDescent="0.3">
      <c r="A5927">
        <v>202410</v>
      </c>
      <c r="B5927" s="1">
        <v>45566</v>
      </c>
      <c r="C5927">
        <v>2024</v>
      </c>
      <c r="D5927" t="s">
        <v>17</v>
      </c>
      <c r="E5927" t="s">
        <v>37</v>
      </c>
      <c r="F5927" t="s">
        <v>40</v>
      </c>
      <c r="G5927" t="s">
        <v>33</v>
      </c>
      <c r="H5927">
        <v>275.33</v>
      </c>
    </row>
    <row r="5928" spans="1:8" x14ac:dyDescent="0.3">
      <c r="A5928">
        <v>202411</v>
      </c>
      <c r="B5928" s="1">
        <v>45597</v>
      </c>
      <c r="C5928">
        <v>2024</v>
      </c>
      <c r="D5928" t="s">
        <v>18</v>
      </c>
      <c r="E5928" t="s">
        <v>37</v>
      </c>
      <c r="F5928" t="s">
        <v>40</v>
      </c>
      <c r="G5928" t="s">
        <v>33</v>
      </c>
      <c r="H5928">
        <v>196.47</v>
      </c>
    </row>
    <row r="5929" spans="1:8" x14ac:dyDescent="0.3">
      <c r="A5929">
        <v>202412</v>
      </c>
      <c r="B5929" s="1">
        <v>45627</v>
      </c>
      <c r="C5929">
        <v>2024</v>
      </c>
      <c r="D5929" t="s">
        <v>19</v>
      </c>
      <c r="E5929" t="s">
        <v>37</v>
      </c>
      <c r="F5929" t="s">
        <v>40</v>
      </c>
      <c r="G5929" t="s">
        <v>33</v>
      </c>
      <c r="H5929">
        <v>244.4</v>
      </c>
    </row>
    <row r="5930" spans="1:8" x14ac:dyDescent="0.3">
      <c r="A5930">
        <v>202401</v>
      </c>
      <c r="B5930" s="1">
        <v>45292</v>
      </c>
      <c r="C5930">
        <v>2024</v>
      </c>
      <c r="D5930" t="s">
        <v>6</v>
      </c>
      <c r="E5930" t="s">
        <v>37</v>
      </c>
      <c r="F5930" t="s">
        <v>40</v>
      </c>
      <c r="G5930" t="s">
        <v>33</v>
      </c>
      <c r="H5930">
        <v>186.54</v>
      </c>
    </row>
    <row r="5931" spans="1:8" x14ac:dyDescent="0.3">
      <c r="A5931">
        <v>202402</v>
      </c>
      <c r="B5931" s="1">
        <v>45323</v>
      </c>
      <c r="C5931">
        <v>2024</v>
      </c>
      <c r="D5931" t="s">
        <v>9</v>
      </c>
      <c r="E5931" t="s">
        <v>37</v>
      </c>
      <c r="F5931" t="s">
        <v>40</v>
      </c>
      <c r="G5931" t="s">
        <v>33</v>
      </c>
      <c r="H5931">
        <v>86.31</v>
      </c>
    </row>
    <row r="5932" spans="1:8" x14ac:dyDescent="0.3">
      <c r="A5932">
        <v>202403</v>
      </c>
      <c r="B5932" s="1">
        <v>45352</v>
      </c>
      <c r="C5932">
        <v>2024</v>
      </c>
      <c r="D5932" t="s">
        <v>10</v>
      </c>
      <c r="E5932" t="s">
        <v>37</v>
      </c>
      <c r="F5932" t="s">
        <v>40</v>
      </c>
      <c r="G5932" t="s">
        <v>33</v>
      </c>
      <c r="H5932">
        <v>95.69</v>
      </c>
    </row>
    <row r="5933" spans="1:8" x14ac:dyDescent="0.3">
      <c r="A5933">
        <v>202404</v>
      </c>
      <c r="B5933" s="1">
        <v>45383</v>
      </c>
      <c r="C5933">
        <v>2024</v>
      </c>
      <c r="D5933" t="s">
        <v>11</v>
      </c>
      <c r="E5933" t="s">
        <v>37</v>
      </c>
      <c r="F5933" t="s">
        <v>40</v>
      </c>
      <c r="G5933" t="s">
        <v>33</v>
      </c>
      <c r="H5933">
        <v>173.39</v>
      </c>
    </row>
    <row r="5934" spans="1:8" x14ac:dyDescent="0.3">
      <c r="A5934">
        <v>202405</v>
      </c>
      <c r="B5934" s="1">
        <v>45413</v>
      </c>
      <c r="C5934">
        <v>2024</v>
      </c>
      <c r="D5934" t="s">
        <v>12</v>
      </c>
      <c r="E5934" t="s">
        <v>37</v>
      </c>
      <c r="F5934" t="s">
        <v>40</v>
      </c>
      <c r="G5934" t="s">
        <v>33</v>
      </c>
      <c r="H5934">
        <v>128.41999999999999</v>
      </c>
    </row>
    <row r="5935" spans="1:8" x14ac:dyDescent="0.3">
      <c r="A5935">
        <v>202406</v>
      </c>
      <c r="B5935" s="1">
        <v>45444</v>
      </c>
      <c r="C5935">
        <v>2024</v>
      </c>
      <c r="D5935" t="s">
        <v>13</v>
      </c>
      <c r="E5935" t="s">
        <v>37</v>
      </c>
      <c r="F5935" t="s">
        <v>40</v>
      </c>
      <c r="G5935" t="s">
        <v>33</v>
      </c>
      <c r="H5935">
        <v>170.22</v>
      </c>
    </row>
    <row r="5936" spans="1:8" x14ac:dyDescent="0.3">
      <c r="A5936">
        <v>202407</v>
      </c>
      <c r="B5936" s="1">
        <v>45474</v>
      </c>
      <c r="C5936">
        <v>2024</v>
      </c>
      <c r="D5936" t="s">
        <v>14</v>
      </c>
      <c r="E5936" t="s">
        <v>37</v>
      </c>
      <c r="F5936" t="s">
        <v>40</v>
      </c>
      <c r="G5936" t="s">
        <v>33</v>
      </c>
      <c r="H5936">
        <v>210.23</v>
      </c>
    </row>
    <row r="5937" spans="1:8" x14ac:dyDescent="0.3">
      <c r="A5937">
        <v>202408</v>
      </c>
      <c r="B5937" s="1">
        <v>45505</v>
      </c>
      <c r="C5937">
        <v>2024</v>
      </c>
      <c r="D5937" t="s">
        <v>15</v>
      </c>
      <c r="E5937" t="s">
        <v>37</v>
      </c>
      <c r="F5937" t="s">
        <v>40</v>
      </c>
      <c r="G5937" t="s">
        <v>33</v>
      </c>
      <c r="H5937">
        <v>147.15</v>
      </c>
    </row>
    <row r="5938" spans="1:8" x14ac:dyDescent="0.3">
      <c r="A5938">
        <v>202409</v>
      </c>
      <c r="B5938" s="1">
        <v>45536</v>
      </c>
      <c r="C5938">
        <v>2024</v>
      </c>
      <c r="D5938" t="s">
        <v>16</v>
      </c>
      <c r="E5938" t="s">
        <v>37</v>
      </c>
      <c r="F5938" t="s">
        <v>40</v>
      </c>
      <c r="G5938" t="s">
        <v>33</v>
      </c>
      <c r="H5938">
        <v>181.15</v>
      </c>
    </row>
    <row r="5939" spans="1:8" x14ac:dyDescent="0.3">
      <c r="A5939">
        <v>202410</v>
      </c>
      <c r="B5939" s="1">
        <v>45566</v>
      </c>
      <c r="C5939">
        <v>2024</v>
      </c>
      <c r="D5939" t="s">
        <v>17</v>
      </c>
      <c r="E5939" t="s">
        <v>37</v>
      </c>
      <c r="F5939" t="s">
        <v>40</v>
      </c>
      <c r="G5939" t="s">
        <v>33</v>
      </c>
      <c r="H5939">
        <v>205.87</v>
      </c>
    </row>
    <row r="5940" spans="1:8" x14ac:dyDescent="0.3">
      <c r="A5940">
        <v>202411</v>
      </c>
      <c r="B5940" s="1">
        <v>45597</v>
      </c>
      <c r="C5940">
        <v>2024</v>
      </c>
      <c r="D5940" t="s">
        <v>18</v>
      </c>
      <c r="E5940" t="s">
        <v>37</v>
      </c>
      <c r="F5940" t="s">
        <v>40</v>
      </c>
      <c r="G5940" t="s">
        <v>33</v>
      </c>
      <c r="H5940">
        <v>170.56</v>
      </c>
    </row>
    <row r="5941" spans="1:8" x14ac:dyDescent="0.3">
      <c r="A5941">
        <v>202412</v>
      </c>
      <c r="B5941" s="1">
        <v>45627</v>
      </c>
      <c r="C5941">
        <v>2024</v>
      </c>
      <c r="D5941" t="s">
        <v>19</v>
      </c>
      <c r="E5941" t="s">
        <v>37</v>
      </c>
      <c r="F5941" t="s">
        <v>40</v>
      </c>
      <c r="G5941" t="s">
        <v>33</v>
      </c>
      <c r="H5941">
        <v>130.02000000000001</v>
      </c>
    </row>
    <row r="5942" spans="1:8" x14ac:dyDescent="0.3">
      <c r="A5942">
        <v>202401</v>
      </c>
      <c r="B5942" s="1">
        <v>45292</v>
      </c>
      <c r="C5942">
        <v>2024</v>
      </c>
      <c r="D5942" t="s">
        <v>6</v>
      </c>
      <c r="E5942" t="s">
        <v>38</v>
      </c>
      <c r="F5942" t="s">
        <v>40</v>
      </c>
      <c r="G5942" t="s">
        <v>33</v>
      </c>
      <c r="H5942">
        <v>56.35</v>
      </c>
    </row>
    <row r="5943" spans="1:8" x14ac:dyDescent="0.3">
      <c r="A5943">
        <v>202402</v>
      </c>
      <c r="B5943" s="1">
        <v>45323</v>
      </c>
      <c r="C5943">
        <v>2024</v>
      </c>
      <c r="D5943" t="s">
        <v>9</v>
      </c>
      <c r="E5943" t="s">
        <v>38</v>
      </c>
      <c r="F5943" t="s">
        <v>40</v>
      </c>
      <c r="G5943" t="s">
        <v>33</v>
      </c>
      <c r="H5943">
        <v>24.75</v>
      </c>
    </row>
    <row r="5944" spans="1:8" x14ac:dyDescent="0.3">
      <c r="A5944">
        <v>202403</v>
      </c>
      <c r="B5944" s="1">
        <v>45352</v>
      </c>
      <c r="C5944">
        <v>2024</v>
      </c>
      <c r="D5944" t="s">
        <v>10</v>
      </c>
      <c r="E5944" t="s">
        <v>38</v>
      </c>
      <c r="F5944" t="s">
        <v>40</v>
      </c>
      <c r="G5944" t="s">
        <v>33</v>
      </c>
      <c r="H5944">
        <v>25.9</v>
      </c>
    </row>
    <row r="5945" spans="1:8" x14ac:dyDescent="0.3">
      <c r="A5945">
        <v>202404</v>
      </c>
      <c r="B5945" s="1">
        <v>45383</v>
      </c>
      <c r="C5945">
        <v>2024</v>
      </c>
      <c r="D5945" t="s">
        <v>11</v>
      </c>
      <c r="E5945" t="s">
        <v>38</v>
      </c>
      <c r="F5945" t="s">
        <v>40</v>
      </c>
      <c r="G5945" t="s">
        <v>33</v>
      </c>
      <c r="H5945">
        <v>35.5</v>
      </c>
    </row>
    <row r="5946" spans="1:8" x14ac:dyDescent="0.3">
      <c r="A5946">
        <v>202405</v>
      </c>
      <c r="B5946" s="1">
        <v>45413</v>
      </c>
      <c r="C5946">
        <v>2024</v>
      </c>
      <c r="D5946" t="s">
        <v>12</v>
      </c>
      <c r="E5946" t="s">
        <v>38</v>
      </c>
      <c r="F5946" t="s">
        <v>40</v>
      </c>
      <c r="G5946" t="s">
        <v>33</v>
      </c>
      <c r="H5946">
        <v>25.53</v>
      </c>
    </row>
    <row r="5947" spans="1:8" x14ac:dyDescent="0.3">
      <c r="A5947">
        <v>202406</v>
      </c>
      <c r="B5947" s="1">
        <v>45444</v>
      </c>
      <c r="C5947">
        <v>2024</v>
      </c>
      <c r="D5947" t="s">
        <v>13</v>
      </c>
      <c r="E5947" t="s">
        <v>38</v>
      </c>
      <c r="F5947" t="s">
        <v>40</v>
      </c>
      <c r="G5947" t="s">
        <v>33</v>
      </c>
      <c r="H5947">
        <v>34.15</v>
      </c>
    </row>
    <row r="5948" spans="1:8" x14ac:dyDescent="0.3">
      <c r="A5948">
        <v>202407</v>
      </c>
      <c r="B5948" s="1">
        <v>45474</v>
      </c>
      <c r="C5948">
        <v>2024</v>
      </c>
      <c r="D5948" t="s">
        <v>14</v>
      </c>
      <c r="E5948" t="s">
        <v>38</v>
      </c>
      <c r="F5948" t="s">
        <v>40</v>
      </c>
      <c r="G5948" t="s">
        <v>33</v>
      </c>
      <c r="H5948">
        <v>39.28</v>
      </c>
    </row>
    <row r="5949" spans="1:8" x14ac:dyDescent="0.3">
      <c r="A5949">
        <v>202408</v>
      </c>
      <c r="B5949" s="1">
        <v>45505</v>
      </c>
      <c r="C5949">
        <v>2024</v>
      </c>
      <c r="D5949" t="s">
        <v>15</v>
      </c>
      <c r="E5949" t="s">
        <v>38</v>
      </c>
      <c r="F5949" t="s">
        <v>40</v>
      </c>
      <c r="G5949" t="s">
        <v>33</v>
      </c>
      <c r="H5949">
        <v>30.73</v>
      </c>
    </row>
    <row r="5950" spans="1:8" x14ac:dyDescent="0.3">
      <c r="A5950">
        <v>202409</v>
      </c>
      <c r="B5950" s="1">
        <v>45536</v>
      </c>
      <c r="C5950">
        <v>2024</v>
      </c>
      <c r="D5950" t="s">
        <v>16</v>
      </c>
      <c r="E5950" t="s">
        <v>38</v>
      </c>
      <c r="F5950" t="s">
        <v>40</v>
      </c>
      <c r="G5950" t="s">
        <v>33</v>
      </c>
      <c r="H5950">
        <v>43.38</v>
      </c>
    </row>
    <row r="5951" spans="1:8" x14ac:dyDescent="0.3">
      <c r="A5951">
        <v>202410</v>
      </c>
      <c r="B5951" s="1">
        <v>45566</v>
      </c>
      <c r="C5951">
        <v>2024</v>
      </c>
      <c r="D5951" t="s">
        <v>17</v>
      </c>
      <c r="E5951" t="s">
        <v>38</v>
      </c>
      <c r="F5951" t="s">
        <v>40</v>
      </c>
      <c r="G5951" t="s">
        <v>33</v>
      </c>
      <c r="H5951">
        <v>55.14</v>
      </c>
    </row>
    <row r="5952" spans="1:8" x14ac:dyDescent="0.3">
      <c r="A5952">
        <v>202411</v>
      </c>
      <c r="B5952" s="1">
        <v>45597</v>
      </c>
      <c r="C5952">
        <v>2024</v>
      </c>
      <c r="D5952" t="s">
        <v>18</v>
      </c>
      <c r="E5952" t="s">
        <v>38</v>
      </c>
      <c r="F5952" t="s">
        <v>40</v>
      </c>
      <c r="G5952" t="s">
        <v>33</v>
      </c>
      <c r="H5952">
        <v>38.4</v>
      </c>
    </row>
    <row r="5953" spans="1:8" x14ac:dyDescent="0.3">
      <c r="A5953">
        <v>202412</v>
      </c>
      <c r="B5953" s="1">
        <v>45627</v>
      </c>
      <c r="C5953">
        <v>2024</v>
      </c>
      <c r="D5953" t="s">
        <v>19</v>
      </c>
      <c r="E5953" t="s">
        <v>38</v>
      </c>
      <c r="F5953" t="s">
        <v>40</v>
      </c>
      <c r="G5953" t="s">
        <v>33</v>
      </c>
      <c r="H5953">
        <v>51.93</v>
      </c>
    </row>
    <row r="5954" spans="1:8" x14ac:dyDescent="0.3">
      <c r="A5954">
        <v>202401</v>
      </c>
      <c r="B5954" s="1">
        <v>45292</v>
      </c>
      <c r="C5954">
        <v>2024</v>
      </c>
      <c r="D5954" t="s">
        <v>6</v>
      </c>
      <c r="E5954" t="s">
        <v>38</v>
      </c>
      <c r="F5954" t="s">
        <v>40</v>
      </c>
      <c r="G5954" t="s">
        <v>33</v>
      </c>
      <c r="H5954">
        <v>95.15</v>
      </c>
    </row>
    <row r="5955" spans="1:8" x14ac:dyDescent="0.3">
      <c r="A5955">
        <v>202402</v>
      </c>
      <c r="B5955" s="1">
        <v>45323</v>
      </c>
      <c r="C5955">
        <v>2024</v>
      </c>
      <c r="D5955" t="s">
        <v>9</v>
      </c>
      <c r="E5955" t="s">
        <v>38</v>
      </c>
      <c r="F5955" t="s">
        <v>40</v>
      </c>
      <c r="G5955" t="s">
        <v>33</v>
      </c>
      <c r="H5955">
        <v>69.81</v>
      </c>
    </row>
    <row r="5956" spans="1:8" x14ac:dyDescent="0.3">
      <c r="A5956">
        <v>202403</v>
      </c>
      <c r="B5956" s="1">
        <v>45352</v>
      </c>
      <c r="C5956">
        <v>2024</v>
      </c>
      <c r="D5956" t="s">
        <v>10</v>
      </c>
      <c r="E5956" t="s">
        <v>38</v>
      </c>
      <c r="F5956" t="s">
        <v>40</v>
      </c>
      <c r="G5956" t="s">
        <v>33</v>
      </c>
      <c r="H5956">
        <v>65.75</v>
      </c>
    </row>
    <row r="5957" spans="1:8" x14ac:dyDescent="0.3">
      <c r="A5957">
        <v>202404</v>
      </c>
      <c r="B5957" s="1">
        <v>45383</v>
      </c>
      <c r="C5957">
        <v>2024</v>
      </c>
      <c r="D5957" t="s">
        <v>11</v>
      </c>
      <c r="E5957" t="s">
        <v>38</v>
      </c>
      <c r="F5957" t="s">
        <v>40</v>
      </c>
      <c r="G5957" t="s">
        <v>33</v>
      </c>
      <c r="H5957">
        <v>109.1</v>
      </c>
    </row>
    <row r="5958" spans="1:8" x14ac:dyDescent="0.3">
      <c r="A5958">
        <v>202405</v>
      </c>
      <c r="B5958" s="1">
        <v>45413</v>
      </c>
      <c r="C5958">
        <v>2024</v>
      </c>
      <c r="D5958" t="s">
        <v>12</v>
      </c>
      <c r="E5958" t="s">
        <v>38</v>
      </c>
      <c r="F5958" t="s">
        <v>40</v>
      </c>
      <c r="G5958" t="s">
        <v>33</v>
      </c>
      <c r="H5958">
        <v>69.22</v>
      </c>
    </row>
    <row r="5959" spans="1:8" x14ac:dyDescent="0.3">
      <c r="A5959">
        <v>202406</v>
      </c>
      <c r="B5959" s="1">
        <v>45444</v>
      </c>
      <c r="C5959">
        <v>2024</v>
      </c>
      <c r="D5959" t="s">
        <v>13</v>
      </c>
      <c r="E5959" t="s">
        <v>38</v>
      </c>
      <c r="F5959" t="s">
        <v>40</v>
      </c>
      <c r="G5959" t="s">
        <v>33</v>
      </c>
      <c r="H5959">
        <v>77.709999999999994</v>
      </c>
    </row>
    <row r="5960" spans="1:8" x14ac:dyDescent="0.3">
      <c r="A5960">
        <v>202407</v>
      </c>
      <c r="B5960" s="1">
        <v>45474</v>
      </c>
      <c r="C5960">
        <v>2024</v>
      </c>
      <c r="D5960" t="s">
        <v>14</v>
      </c>
      <c r="E5960" t="s">
        <v>38</v>
      </c>
      <c r="F5960" t="s">
        <v>40</v>
      </c>
      <c r="G5960" t="s">
        <v>33</v>
      </c>
      <c r="H5960">
        <v>84.68</v>
      </c>
    </row>
    <row r="5961" spans="1:8" x14ac:dyDescent="0.3">
      <c r="A5961">
        <v>202408</v>
      </c>
      <c r="B5961" s="1">
        <v>45505</v>
      </c>
      <c r="C5961">
        <v>2024</v>
      </c>
      <c r="D5961" t="s">
        <v>15</v>
      </c>
      <c r="E5961" t="s">
        <v>38</v>
      </c>
      <c r="F5961" t="s">
        <v>40</v>
      </c>
      <c r="G5961" t="s">
        <v>33</v>
      </c>
      <c r="H5961">
        <v>74.400000000000006</v>
      </c>
    </row>
    <row r="5962" spans="1:8" x14ac:dyDescent="0.3">
      <c r="A5962">
        <v>202409</v>
      </c>
      <c r="B5962" s="1">
        <v>45536</v>
      </c>
      <c r="C5962">
        <v>2024</v>
      </c>
      <c r="D5962" t="s">
        <v>16</v>
      </c>
      <c r="E5962" t="s">
        <v>38</v>
      </c>
      <c r="F5962" t="s">
        <v>40</v>
      </c>
      <c r="G5962" t="s">
        <v>33</v>
      </c>
      <c r="H5962">
        <v>71.89</v>
      </c>
    </row>
    <row r="5963" spans="1:8" x14ac:dyDescent="0.3">
      <c r="A5963">
        <v>202410</v>
      </c>
      <c r="B5963" s="1">
        <v>45566</v>
      </c>
      <c r="C5963">
        <v>2024</v>
      </c>
      <c r="D5963" t="s">
        <v>17</v>
      </c>
      <c r="E5963" t="s">
        <v>38</v>
      </c>
      <c r="F5963" t="s">
        <v>40</v>
      </c>
      <c r="G5963" t="s">
        <v>33</v>
      </c>
      <c r="H5963">
        <v>90.05</v>
      </c>
    </row>
    <row r="5964" spans="1:8" x14ac:dyDescent="0.3">
      <c r="A5964">
        <v>202411</v>
      </c>
      <c r="B5964" s="1">
        <v>45597</v>
      </c>
      <c r="C5964">
        <v>2024</v>
      </c>
      <c r="D5964" t="s">
        <v>18</v>
      </c>
      <c r="E5964" t="s">
        <v>38</v>
      </c>
      <c r="F5964" t="s">
        <v>40</v>
      </c>
      <c r="G5964" t="s">
        <v>33</v>
      </c>
      <c r="H5964">
        <v>96.77</v>
      </c>
    </row>
    <row r="5965" spans="1:8" x14ac:dyDescent="0.3">
      <c r="A5965">
        <v>202412</v>
      </c>
      <c r="B5965" s="1">
        <v>45627</v>
      </c>
      <c r="C5965">
        <v>2024</v>
      </c>
      <c r="D5965" t="s">
        <v>19</v>
      </c>
      <c r="E5965" t="s">
        <v>38</v>
      </c>
      <c r="F5965" t="s">
        <v>40</v>
      </c>
      <c r="G5965" t="s">
        <v>33</v>
      </c>
      <c r="H5965">
        <v>86.33</v>
      </c>
    </row>
    <row r="5966" spans="1:8" x14ac:dyDescent="0.3">
      <c r="A5966">
        <v>202401</v>
      </c>
      <c r="B5966" s="1">
        <v>45292</v>
      </c>
      <c r="C5966">
        <v>2024</v>
      </c>
      <c r="D5966" t="s">
        <v>6</v>
      </c>
      <c r="E5966" t="s">
        <v>38</v>
      </c>
      <c r="F5966" t="s">
        <v>40</v>
      </c>
      <c r="G5966" t="s">
        <v>33</v>
      </c>
      <c r="H5966">
        <v>325.61</v>
      </c>
    </row>
    <row r="5967" spans="1:8" x14ac:dyDescent="0.3">
      <c r="A5967">
        <v>202402</v>
      </c>
      <c r="B5967" s="1">
        <v>45323</v>
      </c>
      <c r="C5967">
        <v>2024</v>
      </c>
      <c r="D5967" t="s">
        <v>9</v>
      </c>
      <c r="E5967" t="s">
        <v>38</v>
      </c>
      <c r="F5967" t="s">
        <v>40</v>
      </c>
      <c r="G5967" t="s">
        <v>33</v>
      </c>
      <c r="H5967">
        <v>209.32</v>
      </c>
    </row>
    <row r="5968" spans="1:8" x14ac:dyDescent="0.3">
      <c r="A5968">
        <v>202403</v>
      </c>
      <c r="B5968" s="1">
        <v>45352</v>
      </c>
      <c r="C5968">
        <v>2024</v>
      </c>
      <c r="D5968" t="s">
        <v>10</v>
      </c>
      <c r="E5968" t="s">
        <v>38</v>
      </c>
      <c r="F5968" t="s">
        <v>40</v>
      </c>
      <c r="G5968" t="s">
        <v>33</v>
      </c>
      <c r="H5968">
        <v>224.65</v>
      </c>
    </row>
    <row r="5969" spans="1:8" x14ac:dyDescent="0.3">
      <c r="A5969">
        <v>202404</v>
      </c>
      <c r="B5969" s="1">
        <v>45383</v>
      </c>
      <c r="C5969">
        <v>2024</v>
      </c>
      <c r="D5969" t="s">
        <v>11</v>
      </c>
      <c r="E5969" t="s">
        <v>38</v>
      </c>
      <c r="F5969" t="s">
        <v>40</v>
      </c>
      <c r="G5969" t="s">
        <v>33</v>
      </c>
      <c r="H5969">
        <v>233.92</v>
      </c>
    </row>
    <row r="5970" spans="1:8" x14ac:dyDescent="0.3">
      <c r="A5970">
        <v>202405</v>
      </c>
      <c r="B5970" s="1">
        <v>45413</v>
      </c>
      <c r="C5970">
        <v>2024</v>
      </c>
      <c r="D5970" t="s">
        <v>12</v>
      </c>
      <c r="E5970" t="s">
        <v>38</v>
      </c>
      <c r="F5970" t="s">
        <v>40</v>
      </c>
      <c r="G5970" t="s">
        <v>33</v>
      </c>
      <c r="H5970">
        <v>259.82</v>
      </c>
    </row>
    <row r="5971" spans="1:8" x14ac:dyDescent="0.3">
      <c r="A5971">
        <v>202406</v>
      </c>
      <c r="B5971" s="1">
        <v>45444</v>
      </c>
      <c r="C5971">
        <v>2024</v>
      </c>
      <c r="D5971" t="s">
        <v>13</v>
      </c>
      <c r="E5971" t="s">
        <v>38</v>
      </c>
      <c r="F5971" t="s">
        <v>40</v>
      </c>
      <c r="G5971" t="s">
        <v>33</v>
      </c>
      <c r="H5971">
        <v>234.39</v>
      </c>
    </row>
    <row r="5972" spans="1:8" x14ac:dyDescent="0.3">
      <c r="A5972">
        <v>202407</v>
      </c>
      <c r="B5972" s="1">
        <v>45474</v>
      </c>
      <c r="C5972">
        <v>2024</v>
      </c>
      <c r="D5972" t="s">
        <v>14</v>
      </c>
      <c r="E5972" t="s">
        <v>38</v>
      </c>
      <c r="F5972" t="s">
        <v>40</v>
      </c>
      <c r="G5972" t="s">
        <v>33</v>
      </c>
      <c r="H5972">
        <v>297.06</v>
      </c>
    </row>
    <row r="5973" spans="1:8" x14ac:dyDescent="0.3">
      <c r="A5973">
        <v>202408</v>
      </c>
      <c r="B5973" s="1">
        <v>45505</v>
      </c>
      <c r="C5973">
        <v>2024</v>
      </c>
      <c r="D5973" t="s">
        <v>15</v>
      </c>
      <c r="E5973" t="s">
        <v>38</v>
      </c>
      <c r="F5973" t="s">
        <v>40</v>
      </c>
      <c r="G5973" t="s">
        <v>33</v>
      </c>
      <c r="H5973">
        <v>195.45</v>
      </c>
    </row>
    <row r="5974" spans="1:8" x14ac:dyDescent="0.3">
      <c r="A5974">
        <v>202409</v>
      </c>
      <c r="B5974" s="1">
        <v>45536</v>
      </c>
      <c r="C5974">
        <v>2024</v>
      </c>
      <c r="D5974" t="s">
        <v>16</v>
      </c>
      <c r="E5974" t="s">
        <v>38</v>
      </c>
      <c r="F5974" t="s">
        <v>40</v>
      </c>
      <c r="G5974" t="s">
        <v>33</v>
      </c>
      <c r="H5974">
        <v>255.1</v>
      </c>
    </row>
    <row r="5975" spans="1:8" x14ac:dyDescent="0.3">
      <c r="A5975">
        <v>202410</v>
      </c>
      <c r="B5975" s="1">
        <v>45566</v>
      </c>
      <c r="C5975">
        <v>2024</v>
      </c>
      <c r="D5975" t="s">
        <v>17</v>
      </c>
      <c r="E5975" t="s">
        <v>38</v>
      </c>
      <c r="F5975" t="s">
        <v>40</v>
      </c>
      <c r="G5975" t="s">
        <v>33</v>
      </c>
      <c r="H5975">
        <v>335.19</v>
      </c>
    </row>
    <row r="5976" spans="1:8" x14ac:dyDescent="0.3">
      <c r="A5976">
        <v>202411</v>
      </c>
      <c r="B5976" s="1">
        <v>45597</v>
      </c>
      <c r="C5976">
        <v>2024</v>
      </c>
      <c r="D5976" t="s">
        <v>18</v>
      </c>
      <c r="E5976" t="s">
        <v>38</v>
      </c>
      <c r="F5976" t="s">
        <v>40</v>
      </c>
      <c r="G5976" t="s">
        <v>33</v>
      </c>
      <c r="H5976">
        <v>352.94</v>
      </c>
    </row>
    <row r="5977" spans="1:8" x14ac:dyDescent="0.3">
      <c r="A5977">
        <v>202412</v>
      </c>
      <c r="B5977" s="1">
        <v>45627</v>
      </c>
      <c r="C5977">
        <v>2024</v>
      </c>
      <c r="D5977" t="s">
        <v>19</v>
      </c>
      <c r="E5977" t="s">
        <v>38</v>
      </c>
      <c r="F5977" t="s">
        <v>40</v>
      </c>
      <c r="G5977" t="s">
        <v>33</v>
      </c>
      <c r="H5977">
        <v>418.53</v>
      </c>
    </row>
    <row r="5978" spans="1:8" x14ac:dyDescent="0.3">
      <c r="A5978">
        <v>202401</v>
      </c>
      <c r="B5978" s="1">
        <v>45292</v>
      </c>
      <c r="C5978">
        <v>2024</v>
      </c>
      <c r="D5978" t="s">
        <v>6</v>
      </c>
      <c r="E5978" t="s">
        <v>38</v>
      </c>
      <c r="F5978" t="s">
        <v>40</v>
      </c>
      <c r="G5978" t="s">
        <v>33</v>
      </c>
      <c r="H5978">
        <v>24.32</v>
      </c>
    </row>
    <row r="5979" spans="1:8" x14ac:dyDescent="0.3">
      <c r="A5979">
        <v>202402</v>
      </c>
      <c r="B5979" s="1">
        <v>45323</v>
      </c>
      <c r="C5979">
        <v>2024</v>
      </c>
      <c r="D5979" t="s">
        <v>9</v>
      </c>
      <c r="E5979" t="s">
        <v>38</v>
      </c>
      <c r="F5979" t="s">
        <v>40</v>
      </c>
      <c r="G5979" t="s">
        <v>33</v>
      </c>
      <c r="H5979">
        <v>17.149999999999999</v>
      </c>
    </row>
    <row r="5980" spans="1:8" x14ac:dyDescent="0.3">
      <c r="A5980">
        <v>202403</v>
      </c>
      <c r="B5980" s="1">
        <v>45352</v>
      </c>
      <c r="C5980">
        <v>2024</v>
      </c>
      <c r="D5980" t="s">
        <v>10</v>
      </c>
      <c r="E5980" t="s">
        <v>38</v>
      </c>
      <c r="F5980" t="s">
        <v>40</v>
      </c>
      <c r="G5980" t="s">
        <v>33</v>
      </c>
      <c r="H5980">
        <v>16.510000000000002</v>
      </c>
    </row>
    <row r="5981" spans="1:8" x14ac:dyDescent="0.3">
      <c r="A5981">
        <v>202404</v>
      </c>
      <c r="B5981" s="1">
        <v>45383</v>
      </c>
      <c r="C5981">
        <v>2024</v>
      </c>
      <c r="D5981" t="s">
        <v>11</v>
      </c>
      <c r="E5981" t="s">
        <v>38</v>
      </c>
      <c r="F5981" t="s">
        <v>40</v>
      </c>
      <c r="G5981" t="s">
        <v>33</v>
      </c>
      <c r="H5981">
        <v>39.96</v>
      </c>
    </row>
    <row r="5982" spans="1:8" x14ac:dyDescent="0.3">
      <c r="A5982">
        <v>202405</v>
      </c>
      <c r="B5982" s="1">
        <v>45413</v>
      </c>
      <c r="C5982">
        <v>2024</v>
      </c>
      <c r="D5982" t="s">
        <v>12</v>
      </c>
      <c r="E5982" t="s">
        <v>38</v>
      </c>
      <c r="F5982" t="s">
        <v>40</v>
      </c>
      <c r="G5982" t="s">
        <v>33</v>
      </c>
      <c r="H5982">
        <v>30.86</v>
      </c>
    </row>
    <row r="5983" spans="1:8" x14ac:dyDescent="0.3">
      <c r="A5983">
        <v>202406</v>
      </c>
      <c r="B5983" s="1">
        <v>45444</v>
      </c>
      <c r="C5983">
        <v>2024</v>
      </c>
      <c r="D5983" t="s">
        <v>13</v>
      </c>
      <c r="E5983" t="s">
        <v>38</v>
      </c>
      <c r="F5983" t="s">
        <v>40</v>
      </c>
      <c r="G5983" t="s">
        <v>33</v>
      </c>
      <c r="H5983">
        <v>23.72</v>
      </c>
    </row>
    <row r="5984" spans="1:8" x14ac:dyDescent="0.3">
      <c r="A5984">
        <v>202407</v>
      </c>
      <c r="B5984" s="1">
        <v>45474</v>
      </c>
      <c r="C5984">
        <v>2024</v>
      </c>
      <c r="D5984" t="s">
        <v>14</v>
      </c>
      <c r="E5984" t="s">
        <v>38</v>
      </c>
      <c r="F5984" t="s">
        <v>40</v>
      </c>
      <c r="G5984" t="s">
        <v>33</v>
      </c>
      <c r="H5984">
        <v>30.34</v>
      </c>
    </row>
    <row r="5985" spans="1:8" x14ac:dyDescent="0.3">
      <c r="A5985">
        <v>202408</v>
      </c>
      <c r="B5985" s="1">
        <v>45505</v>
      </c>
      <c r="C5985">
        <v>2024</v>
      </c>
      <c r="D5985" t="s">
        <v>15</v>
      </c>
      <c r="E5985" t="s">
        <v>38</v>
      </c>
      <c r="F5985" t="s">
        <v>40</v>
      </c>
      <c r="G5985" t="s">
        <v>33</v>
      </c>
      <c r="H5985">
        <v>41.92</v>
      </c>
    </row>
    <row r="5986" spans="1:8" x14ac:dyDescent="0.3">
      <c r="A5986">
        <v>202409</v>
      </c>
      <c r="B5986" s="1">
        <v>45536</v>
      </c>
      <c r="C5986">
        <v>2024</v>
      </c>
      <c r="D5986" t="s">
        <v>16</v>
      </c>
      <c r="E5986" t="s">
        <v>38</v>
      </c>
      <c r="F5986" t="s">
        <v>40</v>
      </c>
      <c r="G5986" t="s">
        <v>33</v>
      </c>
      <c r="H5986">
        <v>30.42</v>
      </c>
    </row>
    <row r="5987" spans="1:8" x14ac:dyDescent="0.3">
      <c r="A5987">
        <v>202410</v>
      </c>
      <c r="B5987" s="1">
        <v>45566</v>
      </c>
      <c r="C5987">
        <v>2024</v>
      </c>
      <c r="D5987" t="s">
        <v>17</v>
      </c>
      <c r="E5987" t="s">
        <v>38</v>
      </c>
      <c r="F5987" t="s">
        <v>40</v>
      </c>
      <c r="G5987" t="s">
        <v>33</v>
      </c>
      <c r="H5987">
        <v>44.73</v>
      </c>
    </row>
    <row r="5988" spans="1:8" x14ac:dyDescent="0.3">
      <c r="A5988">
        <v>202411</v>
      </c>
      <c r="B5988" s="1">
        <v>45597</v>
      </c>
      <c r="C5988">
        <v>2024</v>
      </c>
      <c r="D5988" t="s">
        <v>18</v>
      </c>
      <c r="E5988" t="s">
        <v>38</v>
      </c>
      <c r="F5988" t="s">
        <v>40</v>
      </c>
      <c r="G5988" t="s">
        <v>33</v>
      </c>
      <c r="H5988">
        <v>32.43</v>
      </c>
    </row>
    <row r="5989" spans="1:8" x14ac:dyDescent="0.3">
      <c r="A5989">
        <v>202412</v>
      </c>
      <c r="B5989" s="1">
        <v>45627</v>
      </c>
      <c r="C5989">
        <v>2024</v>
      </c>
      <c r="D5989" t="s">
        <v>19</v>
      </c>
      <c r="E5989" t="s">
        <v>38</v>
      </c>
      <c r="F5989" t="s">
        <v>40</v>
      </c>
      <c r="G5989" t="s">
        <v>33</v>
      </c>
      <c r="H5989">
        <v>42.01</v>
      </c>
    </row>
    <row r="5990" spans="1:8" x14ac:dyDescent="0.3">
      <c r="A5990">
        <v>202401</v>
      </c>
      <c r="B5990" s="1">
        <v>45292</v>
      </c>
      <c r="C5990">
        <v>2024</v>
      </c>
      <c r="D5990" t="s">
        <v>6</v>
      </c>
      <c r="E5990" t="s">
        <v>38</v>
      </c>
      <c r="F5990" t="s">
        <v>40</v>
      </c>
      <c r="G5990" t="s">
        <v>33</v>
      </c>
      <c r="H5990">
        <v>20.309999999999999</v>
      </c>
    </row>
    <row r="5991" spans="1:8" x14ac:dyDescent="0.3">
      <c r="A5991">
        <v>202402</v>
      </c>
      <c r="B5991" s="1">
        <v>45323</v>
      </c>
      <c r="C5991">
        <v>2024</v>
      </c>
      <c r="D5991" t="s">
        <v>9</v>
      </c>
      <c r="E5991" t="s">
        <v>38</v>
      </c>
      <c r="F5991" t="s">
        <v>40</v>
      </c>
      <c r="G5991" t="s">
        <v>33</v>
      </c>
      <c r="H5991">
        <v>15.7</v>
      </c>
    </row>
    <row r="5992" spans="1:8" x14ac:dyDescent="0.3">
      <c r="A5992">
        <v>202403</v>
      </c>
      <c r="B5992" s="1">
        <v>45352</v>
      </c>
      <c r="C5992">
        <v>2024</v>
      </c>
      <c r="D5992" t="s">
        <v>10</v>
      </c>
      <c r="E5992" t="s">
        <v>38</v>
      </c>
      <c r="F5992" t="s">
        <v>40</v>
      </c>
      <c r="G5992" t="s">
        <v>33</v>
      </c>
      <c r="H5992">
        <v>19.43</v>
      </c>
    </row>
    <row r="5993" spans="1:8" x14ac:dyDescent="0.3">
      <c r="A5993">
        <v>202404</v>
      </c>
      <c r="B5993" s="1">
        <v>45383</v>
      </c>
      <c r="C5993">
        <v>2024</v>
      </c>
      <c r="D5993" t="s">
        <v>11</v>
      </c>
      <c r="E5993" t="s">
        <v>38</v>
      </c>
      <c r="F5993" t="s">
        <v>40</v>
      </c>
      <c r="G5993" t="s">
        <v>33</v>
      </c>
      <c r="H5993">
        <v>27.36</v>
      </c>
    </row>
    <row r="5994" spans="1:8" x14ac:dyDescent="0.3">
      <c r="A5994">
        <v>202405</v>
      </c>
      <c r="B5994" s="1">
        <v>45413</v>
      </c>
      <c r="C5994">
        <v>2024</v>
      </c>
      <c r="D5994" t="s">
        <v>12</v>
      </c>
      <c r="E5994" t="s">
        <v>38</v>
      </c>
      <c r="F5994" t="s">
        <v>40</v>
      </c>
      <c r="G5994" t="s">
        <v>33</v>
      </c>
      <c r="H5994">
        <v>28.8</v>
      </c>
    </row>
    <row r="5995" spans="1:8" x14ac:dyDescent="0.3">
      <c r="A5995">
        <v>202406</v>
      </c>
      <c r="B5995" s="1">
        <v>45444</v>
      </c>
      <c r="C5995">
        <v>2024</v>
      </c>
      <c r="D5995" t="s">
        <v>13</v>
      </c>
      <c r="E5995" t="s">
        <v>38</v>
      </c>
      <c r="F5995" t="s">
        <v>40</v>
      </c>
      <c r="G5995" t="s">
        <v>33</v>
      </c>
      <c r="H5995">
        <v>15.44</v>
      </c>
    </row>
    <row r="5996" spans="1:8" x14ac:dyDescent="0.3">
      <c r="A5996">
        <v>202407</v>
      </c>
      <c r="B5996" s="1">
        <v>45474</v>
      </c>
      <c r="C5996">
        <v>2024</v>
      </c>
      <c r="D5996" t="s">
        <v>14</v>
      </c>
      <c r="E5996" t="s">
        <v>38</v>
      </c>
      <c r="F5996" t="s">
        <v>40</v>
      </c>
      <c r="G5996" t="s">
        <v>33</v>
      </c>
      <c r="H5996">
        <v>32.39</v>
      </c>
    </row>
    <row r="5997" spans="1:8" x14ac:dyDescent="0.3">
      <c r="A5997">
        <v>202408</v>
      </c>
      <c r="B5997" s="1">
        <v>45505</v>
      </c>
      <c r="C5997">
        <v>2024</v>
      </c>
      <c r="D5997" t="s">
        <v>15</v>
      </c>
      <c r="E5997" t="s">
        <v>38</v>
      </c>
      <c r="F5997" t="s">
        <v>40</v>
      </c>
      <c r="G5997" t="s">
        <v>33</v>
      </c>
      <c r="H5997">
        <v>30.34</v>
      </c>
    </row>
    <row r="5998" spans="1:8" x14ac:dyDescent="0.3">
      <c r="A5998">
        <v>202409</v>
      </c>
      <c r="B5998" s="1">
        <v>45536</v>
      </c>
      <c r="C5998">
        <v>2024</v>
      </c>
      <c r="D5998" t="s">
        <v>16</v>
      </c>
      <c r="E5998" t="s">
        <v>38</v>
      </c>
      <c r="F5998" t="s">
        <v>40</v>
      </c>
      <c r="G5998" t="s">
        <v>33</v>
      </c>
      <c r="H5998">
        <v>22.92</v>
      </c>
    </row>
    <row r="5999" spans="1:8" x14ac:dyDescent="0.3">
      <c r="A5999">
        <v>202410</v>
      </c>
      <c r="B5999" s="1">
        <v>45566</v>
      </c>
      <c r="C5999">
        <v>2024</v>
      </c>
      <c r="D5999" t="s">
        <v>17</v>
      </c>
      <c r="E5999" t="s">
        <v>38</v>
      </c>
      <c r="F5999" t="s">
        <v>40</v>
      </c>
      <c r="G5999" t="s">
        <v>33</v>
      </c>
      <c r="H5999">
        <v>27.68</v>
      </c>
    </row>
    <row r="6000" spans="1:8" x14ac:dyDescent="0.3">
      <c r="A6000">
        <v>202411</v>
      </c>
      <c r="B6000" s="1">
        <v>45597</v>
      </c>
      <c r="C6000">
        <v>2024</v>
      </c>
      <c r="D6000" t="s">
        <v>18</v>
      </c>
      <c r="E6000" t="s">
        <v>38</v>
      </c>
      <c r="F6000" t="s">
        <v>40</v>
      </c>
      <c r="G6000" t="s">
        <v>33</v>
      </c>
      <c r="H6000">
        <v>16.98</v>
      </c>
    </row>
    <row r="6001" spans="1:8" x14ac:dyDescent="0.3">
      <c r="A6001">
        <v>202412</v>
      </c>
      <c r="B6001" s="1">
        <v>45627</v>
      </c>
      <c r="C6001">
        <v>2024</v>
      </c>
      <c r="D6001" t="s">
        <v>19</v>
      </c>
      <c r="E6001" t="s">
        <v>38</v>
      </c>
      <c r="F6001" t="s">
        <v>40</v>
      </c>
      <c r="G6001" t="s">
        <v>33</v>
      </c>
      <c r="H6001">
        <v>33.28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B2:JR68"/>
  <sheetViews>
    <sheetView showGridLines="0" workbookViewId="0">
      <selection activeCell="H21" sqref="H21"/>
    </sheetView>
  </sheetViews>
  <sheetFormatPr defaultRowHeight="14.4" x14ac:dyDescent="0.3"/>
  <cols>
    <col min="2" max="2" width="10.77734375" bestFit="1" customWidth="1"/>
    <col min="3" max="3" width="16.88671875" bestFit="1" customWidth="1"/>
    <col min="5" max="5" width="11.21875" bestFit="1" customWidth="1"/>
    <col min="6" max="6" width="16.88671875" bestFit="1" customWidth="1"/>
    <col min="8" max="8" width="10.77734375" bestFit="1" customWidth="1"/>
    <col min="9" max="9" width="13.21875" bestFit="1" customWidth="1"/>
    <col min="11" max="12" width="10.77734375" bestFit="1" customWidth="1"/>
    <col min="14" max="14" width="11.6640625" bestFit="1" customWidth="1"/>
    <col min="15" max="16" width="10.33203125" bestFit="1" customWidth="1"/>
    <col min="17" max="17" width="12.88671875" bestFit="1" customWidth="1"/>
    <col min="18" max="20" width="10.33203125" bestFit="1" customWidth="1"/>
    <col min="21" max="22" width="11.33203125" bestFit="1" customWidth="1"/>
    <col min="23" max="25" width="10.33203125" bestFit="1" customWidth="1"/>
    <col min="26" max="26" width="11.33203125" bestFit="1" customWidth="1"/>
    <col min="27" max="29" width="10.33203125" bestFit="1" customWidth="1"/>
    <col min="30" max="30" width="11.33203125" bestFit="1" customWidth="1"/>
    <col min="31" max="32" width="10.33203125" bestFit="1" customWidth="1"/>
    <col min="33" max="33" width="12.5546875" bestFit="1" customWidth="1"/>
    <col min="35" max="52" width="9.33203125" customWidth="1"/>
    <col min="53" max="53" width="7" bestFit="1" customWidth="1"/>
    <col min="54" max="54" width="8" bestFit="1" customWidth="1"/>
  </cols>
  <sheetData>
    <row r="2" spans="2:278" s="8" customFormat="1" x14ac:dyDescent="0.3">
      <c r="B2" s="2" t="s">
        <v>1</v>
      </c>
      <c r="C2" s="8" t="s">
        <v>63</v>
      </c>
      <c r="E2" s="7" t="s">
        <v>60</v>
      </c>
      <c r="F2" s="8" t="s">
        <v>63</v>
      </c>
      <c r="H2" s="9" t="s">
        <v>61</v>
      </c>
      <c r="I2" s="9" t="s">
        <v>64</v>
      </c>
      <c r="K2" s="2" t="s">
        <v>1</v>
      </c>
      <c r="L2" s="8" t="s">
        <v>62</v>
      </c>
      <c r="N2" s="2" t="s">
        <v>67</v>
      </c>
      <c r="O2" s="2" t="s">
        <v>65</v>
      </c>
      <c r="P2"/>
      <c r="Q2"/>
      <c r="R2"/>
      <c r="S2"/>
      <c r="T2"/>
      <c r="U2"/>
      <c r="V2"/>
      <c r="W2"/>
      <c r="X2"/>
      <c r="Y2"/>
      <c r="Z2"/>
      <c r="AA2"/>
      <c r="AB2"/>
      <c r="AC2"/>
      <c r="AD2"/>
      <c r="AE2"/>
      <c r="AF2"/>
      <c r="AG2"/>
      <c r="AI2"/>
      <c r="AJ2"/>
      <c r="AK2"/>
      <c r="AL2"/>
      <c r="AM2"/>
      <c r="AN2"/>
      <c r="AO2"/>
      <c r="AP2"/>
      <c r="AQ2"/>
      <c r="AR2"/>
      <c r="AS2"/>
      <c r="AT2"/>
      <c r="AU2"/>
      <c r="AV2"/>
      <c r="AW2"/>
      <c r="AX2"/>
      <c r="AY2"/>
      <c r="AZ2"/>
      <c r="BA2"/>
      <c r="BB2"/>
    </row>
    <row r="3" spans="2:278" ht="15.6" x14ac:dyDescent="0.3">
      <c r="B3" s="3" t="s">
        <v>42</v>
      </c>
      <c r="C3" s="6">
        <v>1893931.2099999995</v>
      </c>
      <c r="E3" s="3" t="s">
        <v>7</v>
      </c>
      <c r="F3" s="6">
        <v>9393185.2400000002</v>
      </c>
      <c r="H3" t="str" cm="1">
        <f t="array" ref="H3:H19">_xlfn._xlws.FILTER($E$3:$E$20, $E$3:$E$20&lt;&gt;"NCR")</f>
        <v>R-04A</v>
      </c>
      <c r="I3" s="5">
        <f>IF($H3&lt;&gt;"", _xlfn.IFNA(VLOOKUP($H3, $E3:$F20, 2, 0)/GETPIVOTDATA("Tax Collected",$E$2), ""), "")</f>
        <v>3.7500141275370158E-2</v>
      </c>
      <c r="K3" s="3" t="s">
        <v>42</v>
      </c>
      <c r="L3" s="4"/>
      <c r="N3" s="2" t="s">
        <v>3</v>
      </c>
      <c r="O3" t="s">
        <v>38</v>
      </c>
      <c r="P3" t="s">
        <v>20</v>
      </c>
      <c r="Q3" t="s">
        <v>7</v>
      </c>
      <c r="R3" t="s">
        <v>29</v>
      </c>
      <c r="S3" t="s">
        <v>21</v>
      </c>
      <c r="T3" t="s">
        <v>22</v>
      </c>
      <c r="U3" t="s">
        <v>23</v>
      </c>
      <c r="V3" t="s">
        <v>24</v>
      </c>
      <c r="W3" t="s">
        <v>25</v>
      </c>
      <c r="X3" t="s">
        <v>26</v>
      </c>
      <c r="Y3" t="s">
        <v>27</v>
      </c>
      <c r="Z3" t="s">
        <v>30</v>
      </c>
      <c r="AA3" t="s">
        <v>31</v>
      </c>
      <c r="AB3" t="s">
        <v>32</v>
      </c>
      <c r="AC3" t="s">
        <v>34</v>
      </c>
      <c r="AD3" t="s">
        <v>35</v>
      </c>
      <c r="AE3" t="s">
        <v>36</v>
      </c>
      <c r="AF3" t="s">
        <v>37</v>
      </c>
      <c r="AH3" s="24" t="str" cm="1">
        <f t="array" ref="AH3:AZ16">_xlfn._xlws.FILTER($N$3:$AF$16, $N$3:$N$16&lt;&gt;"")</f>
        <v>Month</v>
      </c>
      <c r="AI3" s="24" t="str">
        <v>BARMM</v>
      </c>
      <c r="AJ3" s="24" t="str">
        <v>CAR</v>
      </c>
      <c r="AK3" s="24" t="str">
        <v>NCR</v>
      </c>
      <c r="AL3" s="24" t="str">
        <v>NIR</v>
      </c>
      <c r="AM3" s="24" t="str">
        <v>R-01</v>
      </c>
      <c r="AN3" s="24" t="str">
        <v>R-02</v>
      </c>
      <c r="AO3" s="24" t="str">
        <v>R-03</v>
      </c>
      <c r="AP3" s="24" t="str">
        <v>R-04A</v>
      </c>
      <c r="AQ3" s="24" t="str">
        <v>R-04B</v>
      </c>
      <c r="AR3" s="24" t="str">
        <v>R-05</v>
      </c>
      <c r="AS3" s="24" t="str">
        <v>R-06</v>
      </c>
      <c r="AT3" s="24" t="str">
        <v>R-07</v>
      </c>
      <c r="AU3" s="24" t="str">
        <v>R-08</v>
      </c>
      <c r="AV3" s="24" t="str">
        <v>R-09</v>
      </c>
      <c r="AW3" s="24" t="str">
        <v>R-10</v>
      </c>
      <c r="AX3" s="24" t="str">
        <v>R-11</v>
      </c>
      <c r="AY3" s="24" t="str">
        <v>R-12</v>
      </c>
      <c r="AZ3" s="24" t="str">
        <v>R-13</v>
      </c>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5"/>
    </row>
    <row r="4" spans="2:278" x14ac:dyDescent="0.3">
      <c r="B4" s="11" t="s">
        <v>47</v>
      </c>
      <c r="C4" s="6">
        <v>189458.55999999985</v>
      </c>
      <c r="E4" s="3" t="s">
        <v>24</v>
      </c>
      <c r="F4" s="6">
        <v>427258.94000000006</v>
      </c>
      <c r="H4" t="str">
        <v>R-07</v>
      </c>
      <c r="I4" s="5">
        <f t="shared" ref="I4:I19" si="0">IF($H4&lt;&gt;"", _xlfn.IFNA(VLOOKUP($H4, $E4:$F21, 2, 0)/GETPIVOTDATA("Tax Collected",$E$2), ""), "")</f>
        <v>3.1847777457807668E-2</v>
      </c>
      <c r="K4" s="3" t="s">
        <v>43</v>
      </c>
      <c r="L4" s="4">
        <v>6.6597534975939232E-2</v>
      </c>
      <c r="N4" s="3" t="s">
        <v>47</v>
      </c>
      <c r="O4" s="6">
        <v>2263.25</v>
      </c>
      <c r="P4" s="6">
        <v>3893.1500000000005</v>
      </c>
      <c r="Q4" s="6">
        <v>890648.11999999976</v>
      </c>
      <c r="R4" s="6">
        <v>6116.3000000000011</v>
      </c>
      <c r="S4" s="6">
        <v>9009.98</v>
      </c>
      <c r="T4" s="6">
        <v>5484.71</v>
      </c>
      <c r="U4" s="6">
        <v>28733.930000000008</v>
      </c>
      <c r="V4" s="6">
        <v>42452.799999999996</v>
      </c>
      <c r="W4" s="6">
        <v>4364.3300000000008</v>
      </c>
      <c r="X4" s="6">
        <v>7496.93</v>
      </c>
      <c r="Y4" s="6">
        <v>7496.36</v>
      </c>
      <c r="Z4" s="6">
        <v>35346.230000000003</v>
      </c>
      <c r="AA4" s="6">
        <v>5036.2999999999993</v>
      </c>
      <c r="AB4" s="6">
        <v>3994.9399999999996</v>
      </c>
      <c r="AC4" s="6">
        <v>7282.1799999999994</v>
      </c>
      <c r="AD4" s="6">
        <v>20697.829999999994</v>
      </c>
      <c r="AE4" s="6">
        <v>4920.1599999999989</v>
      </c>
      <c r="AF4" s="6">
        <v>3962.7399999999989</v>
      </c>
      <c r="AH4" s="25" t="str">
        <v>Jan</v>
      </c>
      <c r="AI4" s="18">
        <v>2263.25</v>
      </c>
      <c r="AJ4" s="19">
        <v>3893.1500000000005</v>
      </c>
      <c r="AK4" s="19">
        <v>890648.11999999976</v>
      </c>
      <c r="AL4" s="19">
        <v>6116.3000000000011</v>
      </c>
      <c r="AM4" s="19">
        <v>9009.98</v>
      </c>
      <c r="AN4" s="19">
        <v>5484.71</v>
      </c>
      <c r="AO4" s="19">
        <v>28733.930000000008</v>
      </c>
      <c r="AP4" s="19">
        <v>42452.799999999996</v>
      </c>
      <c r="AQ4" s="19">
        <v>4364.3300000000008</v>
      </c>
      <c r="AR4" s="19">
        <v>7496.93</v>
      </c>
      <c r="AS4" s="19">
        <v>7496.36</v>
      </c>
      <c r="AT4" s="19">
        <v>35346.230000000003</v>
      </c>
      <c r="AU4" s="19">
        <v>5036.2999999999993</v>
      </c>
      <c r="AV4" s="19">
        <v>3994.9399999999996</v>
      </c>
      <c r="AW4" s="19">
        <v>7282.1799999999994</v>
      </c>
      <c r="AX4" s="19">
        <v>20697.829999999994</v>
      </c>
      <c r="AY4" s="19">
        <v>4920.1599999999989</v>
      </c>
      <c r="AZ4" s="20">
        <v>3962.7399999999989</v>
      </c>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c r="IW4" s="16"/>
      <c r="IX4" s="16"/>
      <c r="IY4" s="16"/>
      <c r="IZ4" s="16"/>
      <c r="JA4" s="16"/>
      <c r="JB4" s="16"/>
      <c r="JC4" s="16"/>
      <c r="JD4" s="16"/>
      <c r="JE4" s="16"/>
      <c r="JF4" s="16"/>
      <c r="JG4" s="16"/>
      <c r="JH4" s="16"/>
      <c r="JI4" s="16"/>
      <c r="JJ4" s="16"/>
      <c r="JK4" s="16"/>
      <c r="JL4" s="16"/>
      <c r="JM4" s="16"/>
      <c r="JN4" s="16"/>
      <c r="JO4" s="16"/>
      <c r="JP4" s="16"/>
      <c r="JQ4" s="16"/>
      <c r="JR4" s="17"/>
    </row>
    <row r="5" spans="2:278" x14ac:dyDescent="0.3">
      <c r="B5" s="11" t="s">
        <v>48</v>
      </c>
      <c r="C5" s="6">
        <v>138207.95999999993</v>
      </c>
      <c r="E5" s="3" t="s">
        <v>30</v>
      </c>
      <c r="F5" s="6">
        <v>362858.57000000024</v>
      </c>
      <c r="H5" t="str">
        <v>R-03</v>
      </c>
      <c r="I5" s="5">
        <f t="shared" si="0"/>
        <v>2.6935972613738427E-2</v>
      </c>
      <c r="K5" s="3" t="s">
        <v>44</v>
      </c>
      <c r="L5" s="4">
        <v>0.12303088009619678</v>
      </c>
      <c r="N5" s="3" t="s">
        <v>48</v>
      </c>
      <c r="O5" s="6">
        <v>1553.0800000000002</v>
      </c>
      <c r="P5" s="6">
        <v>2289.0100000000002</v>
      </c>
      <c r="Q5" s="6">
        <v>549313.96</v>
      </c>
      <c r="R5" s="6">
        <v>3906.4199999999996</v>
      </c>
      <c r="S5" s="6">
        <v>5061.9099999999989</v>
      </c>
      <c r="T5" s="6">
        <v>3236.1000000000004</v>
      </c>
      <c r="U5" s="6">
        <v>18132.310000000001</v>
      </c>
      <c r="V5" s="6">
        <v>24798.69</v>
      </c>
      <c r="W5" s="6">
        <v>2362.4699999999998</v>
      </c>
      <c r="X5" s="6">
        <v>3835.610000000001</v>
      </c>
      <c r="Y5" s="6">
        <v>3942.4599999999996</v>
      </c>
      <c r="Z5" s="6">
        <v>20319.770000000004</v>
      </c>
      <c r="AA5" s="6">
        <v>2971.5900000000006</v>
      </c>
      <c r="AB5" s="6">
        <v>2213.2600000000002</v>
      </c>
      <c r="AC5" s="6">
        <v>4270.3999999999996</v>
      </c>
      <c r="AD5" s="6">
        <v>11206.08</v>
      </c>
      <c r="AE5" s="6">
        <v>2652.63</v>
      </c>
      <c r="AF5" s="6">
        <v>2255.54</v>
      </c>
      <c r="AH5" s="25" t="str">
        <v>Feb</v>
      </c>
      <c r="AI5" s="18">
        <v>1553.0800000000002</v>
      </c>
      <c r="AJ5" s="19">
        <v>2289.0100000000002</v>
      </c>
      <c r="AK5" s="19">
        <v>549313.96</v>
      </c>
      <c r="AL5" s="19">
        <v>3906.4199999999996</v>
      </c>
      <c r="AM5" s="19">
        <v>5061.9099999999989</v>
      </c>
      <c r="AN5" s="19">
        <v>3236.1000000000004</v>
      </c>
      <c r="AO5" s="19">
        <v>18132.310000000001</v>
      </c>
      <c r="AP5" s="19">
        <v>24798.69</v>
      </c>
      <c r="AQ5" s="19">
        <v>2362.4699999999998</v>
      </c>
      <c r="AR5" s="19">
        <v>3835.610000000001</v>
      </c>
      <c r="AS5" s="19">
        <v>3942.4599999999996</v>
      </c>
      <c r="AT5" s="19">
        <v>20319.770000000004</v>
      </c>
      <c r="AU5" s="19">
        <v>2971.5900000000006</v>
      </c>
      <c r="AV5" s="19">
        <v>2213.2600000000002</v>
      </c>
      <c r="AW5" s="19">
        <v>4270.3999999999996</v>
      </c>
      <c r="AX5" s="19">
        <v>11206.08</v>
      </c>
      <c r="AY5" s="19">
        <v>2652.63</v>
      </c>
      <c r="AZ5" s="20">
        <v>2255.54</v>
      </c>
    </row>
    <row r="6" spans="2:278" x14ac:dyDescent="0.3">
      <c r="B6" s="11" t="s">
        <v>49</v>
      </c>
      <c r="C6" s="6">
        <v>126746.65999999999</v>
      </c>
      <c r="E6" s="3" t="s">
        <v>23</v>
      </c>
      <c r="F6" s="6">
        <v>306895.7799999998</v>
      </c>
      <c r="H6" t="str">
        <v>R-11</v>
      </c>
      <c r="I6" s="5">
        <f t="shared" si="0"/>
        <v>1.8140703678968442E-2</v>
      </c>
      <c r="K6" s="3" t="s">
        <v>45</v>
      </c>
      <c r="L6" s="4">
        <v>7.6669669365595924E-2</v>
      </c>
      <c r="N6" s="3" t="s">
        <v>49</v>
      </c>
      <c r="O6" s="6">
        <v>1505.56</v>
      </c>
      <c r="P6" s="6">
        <v>2603.5499999999993</v>
      </c>
      <c r="Q6" s="6">
        <v>566566.55000000005</v>
      </c>
      <c r="R6" s="6">
        <v>4361.57</v>
      </c>
      <c r="S6" s="6">
        <v>5659.9500000000007</v>
      </c>
      <c r="T6" s="6">
        <v>3724.9200000000005</v>
      </c>
      <c r="U6" s="6">
        <v>19984.48</v>
      </c>
      <c r="V6" s="6">
        <v>29049.279999999992</v>
      </c>
      <c r="W6" s="6">
        <v>2603.8800000000006</v>
      </c>
      <c r="X6" s="6">
        <v>4513.58</v>
      </c>
      <c r="Y6" s="6">
        <v>4691.8600000000006</v>
      </c>
      <c r="Z6" s="6">
        <v>21910.469999999998</v>
      </c>
      <c r="AA6" s="6">
        <v>3422.2999999999993</v>
      </c>
      <c r="AB6" s="6">
        <v>2599.62</v>
      </c>
      <c r="AC6" s="6">
        <v>4956.58</v>
      </c>
      <c r="AD6" s="6">
        <v>13252.67</v>
      </c>
      <c r="AE6" s="6">
        <v>3264.66</v>
      </c>
      <c r="AF6" s="6">
        <v>2669.9300000000003</v>
      </c>
      <c r="AH6" s="25" t="str">
        <v>Mar</v>
      </c>
      <c r="AI6" s="18">
        <v>1505.56</v>
      </c>
      <c r="AJ6" s="19">
        <v>2603.5499999999993</v>
      </c>
      <c r="AK6" s="19">
        <v>566566.55000000005</v>
      </c>
      <c r="AL6" s="19">
        <v>4361.57</v>
      </c>
      <c r="AM6" s="19">
        <v>5659.9500000000007</v>
      </c>
      <c r="AN6" s="19">
        <v>3724.9200000000005</v>
      </c>
      <c r="AO6" s="19">
        <v>19984.48</v>
      </c>
      <c r="AP6" s="19">
        <v>29049.279999999992</v>
      </c>
      <c r="AQ6" s="19">
        <v>2603.8800000000006</v>
      </c>
      <c r="AR6" s="19">
        <v>4513.58</v>
      </c>
      <c r="AS6" s="19">
        <v>4691.8600000000006</v>
      </c>
      <c r="AT6" s="19">
        <v>21910.469999999998</v>
      </c>
      <c r="AU6" s="19">
        <v>3422.2999999999993</v>
      </c>
      <c r="AV6" s="19">
        <v>2599.62</v>
      </c>
      <c r="AW6" s="19">
        <v>4956.58</v>
      </c>
      <c r="AX6" s="19">
        <v>13252.67</v>
      </c>
      <c r="AY6" s="19">
        <v>3264.66</v>
      </c>
      <c r="AZ6" s="20">
        <v>2669.9300000000003</v>
      </c>
    </row>
    <row r="7" spans="2:278" x14ac:dyDescent="0.3">
      <c r="B7" s="11" t="s">
        <v>50</v>
      </c>
      <c r="C7" s="6">
        <v>87744.02</v>
      </c>
      <c r="E7" s="3" t="s">
        <v>35</v>
      </c>
      <c r="F7" s="6">
        <v>206686.62999999995</v>
      </c>
      <c r="H7" t="str">
        <v>R-01</v>
      </c>
      <c r="I7" s="5">
        <f t="shared" si="0"/>
        <v>7.6176715262986187E-3</v>
      </c>
      <c r="K7" s="3" t="s">
        <v>46</v>
      </c>
      <c r="L7" s="4">
        <v>0.13342487713859744</v>
      </c>
      <c r="N7" s="3" t="s">
        <v>50</v>
      </c>
      <c r="O7" s="6">
        <v>1854.3899999999999</v>
      </c>
      <c r="P7" s="6">
        <v>3692.05</v>
      </c>
      <c r="Q7" s="6">
        <v>1015221.1699999998</v>
      </c>
      <c r="R7" s="6">
        <v>7231.29</v>
      </c>
      <c r="S7" s="6">
        <v>8309.7199999999993</v>
      </c>
      <c r="T7" s="6">
        <v>5364.2100000000009</v>
      </c>
      <c r="U7" s="6">
        <v>32275.500000000007</v>
      </c>
      <c r="V7" s="6">
        <v>45452.87999999999</v>
      </c>
      <c r="W7" s="6">
        <v>4136.78</v>
      </c>
      <c r="X7" s="6">
        <v>6610.43</v>
      </c>
      <c r="Y7" s="6">
        <v>7001.5</v>
      </c>
      <c r="Z7" s="6">
        <v>43551.859999999993</v>
      </c>
      <c r="AA7" s="6">
        <v>5172.1900000000005</v>
      </c>
      <c r="AB7" s="6">
        <v>3691.1799999999994</v>
      </c>
      <c r="AC7" s="6">
        <v>7049.0400000000009</v>
      </c>
      <c r="AD7" s="6">
        <v>22134.579999999998</v>
      </c>
      <c r="AE7" s="6">
        <v>4761.9000000000005</v>
      </c>
      <c r="AF7" s="6">
        <v>3569.19</v>
      </c>
      <c r="AH7" s="25" t="str">
        <v>Apr</v>
      </c>
      <c r="AI7" s="18">
        <v>1854.3899999999999</v>
      </c>
      <c r="AJ7" s="19">
        <v>3692.05</v>
      </c>
      <c r="AK7" s="19">
        <v>1015221.1699999998</v>
      </c>
      <c r="AL7" s="19">
        <v>7231.29</v>
      </c>
      <c r="AM7" s="19">
        <v>8309.7199999999993</v>
      </c>
      <c r="AN7" s="19">
        <v>5364.2100000000009</v>
      </c>
      <c r="AO7" s="19">
        <v>32275.500000000007</v>
      </c>
      <c r="AP7" s="19">
        <v>45452.87999999999</v>
      </c>
      <c r="AQ7" s="19">
        <v>4136.78</v>
      </c>
      <c r="AR7" s="19">
        <v>6610.43</v>
      </c>
      <c r="AS7" s="19">
        <v>7001.5</v>
      </c>
      <c r="AT7" s="19">
        <v>43551.859999999993</v>
      </c>
      <c r="AU7" s="19">
        <v>5172.1900000000005</v>
      </c>
      <c r="AV7" s="19">
        <v>3691.1799999999994</v>
      </c>
      <c r="AW7" s="19">
        <v>7049.0400000000009</v>
      </c>
      <c r="AX7" s="19">
        <v>22134.579999999998</v>
      </c>
      <c r="AY7" s="19">
        <v>4761.9000000000005</v>
      </c>
      <c r="AZ7" s="20">
        <v>3569.19</v>
      </c>
    </row>
    <row r="8" spans="2:278" x14ac:dyDescent="0.3">
      <c r="B8" s="11" t="s">
        <v>51</v>
      </c>
      <c r="C8" s="6">
        <v>109226.17000000001</v>
      </c>
      <c r="E8" s="3" t="s">
        <v>21</v>
      </c>
      <c r="F8" s="6">
        <v>86792.159999999989</v>
      </c>
      <c r="H8" t="str">
        <v>R-10</v>
      </c>
      <c r="I8" s="5">
        <f t="shared" si="0"/>
        <v>6.34432590687415E-3</v>
      </c>
      <c r="K8" s="3" t="s">
        <v>41</v>
      </c>
      <c r="L8" s="4"/>
      <c r="N8" s="3" t="s">
        <v>51</v>
      </c>
      <c r="O8" s="6">
        <v>1627.2499999999998</v>
      </c>
      <c r="P8" s="6">
        <v>2940.5499999999993</v>
      </c>
      <c r="Q8" s="6">
        <v>764936.18999999983</v>
      </c>
      <c r="R8" s="6">
        <v>4680.2499999999991</v>
      </c>
      <c r="S8" s="6">
        <v>6696.2099999999991</v>
      </c>
      <c r="T8" s="6">
        <v>4169.59</v>
      </c>
      <c r="U8" s="6">
        <v>25916.47</v>
      </c>
      <c r="V8" s="6">
        <v>33426.839999999997</v>
      </c>
      <c r="W8" s="6">
        <v>3095.9200000000005</v>
      </c>
      <c r="X8" s="6">
        <v>4915.3100000000004</v>
      </c>
      <c r="Y8" s="6">
        <v>5049.1699999999992</v>
      </c>
      <c r="Z8" s="6">
        <v>29957.010000000002</v>
      </c>
      <c r="AA8" s="6">
        <v>4203.95</v>
      </c>
      <c r="AB8" s="6">
        <v>2773.4999999999995</v>
      </c>
      <c r="AC8" s="6">
        <v>5409.89</v>
      </c>
      <c r="AD8" s="6">
        <v>16419.14</v>
      </c>
      <c r="AE8" s="6">
        <v>3404.6500000000005</v>
      </c>
      <c r="AF8" s="6">
        <v>3021.0299999999997</v>
      </c>
      <c r="AH8" s="25" t="str">
        <v>May</v>
      </c>
      <c r="AI8" s="18">
        <v>1627.2499999999998</v>
      </c>
      <c r="AJ8" s="19">
        <v>2940.5499999999993</v>
      </c>
      <c r="AK8" s="19">
        <v>764936.18999999983</v>
      </c>
      <c r="AL8" s="19">
        <v>4680.2499999999991</v>
      </c>
      <c r="AM8" s="19">
        <v>6696.2099999999991</v>
      </c>
      <c r="AN8" s="19">
        <v>4169.59</v>
      </c>
      <c r="AO8" s="19">
        <v>25916.47</v>
      </c>
      <c r="AP8" s="19">
        <v>33426.839999999997</v>
      </c>
      <c r="AQ8" s="19">
        <v>3095.9200000000005</v>
      </c>
      <c r="AR8" s="19">
        <v>4915.3100000000004</v>
      </c>
      <c r="AS8" s="19">
        <v>5049.1699999999992</v>
      </c>
      <c r="AT8" s="19">
        <v>29957.010000000002</v>
      </c>
      <c r="AU8" s="19">
        <v>4203.95</v>
      </c>
      <c r="AV8" s="19">
        <v>2773.4999999999995</v>
      </c>
      <c r="AW8" s="19">
        <v>5409.89</v>
      </c>
      <c r="AX8" s="19">
        <v>16419.14</v>
      </c>
      <c r="AY8" s="19">
        <v>3404.6500000000005</v>
      </c>
      <c r="AZ8" s="20">
        <v>3021.0299999999997</v>
      </c>
    </row>
    <row r="9" spans="2:278" x14ac:dyDescent="0.3">
      <c r="B9" s="11" t="s">
        <v>52</v>
      </c>
      <c r="C9" s="6">
        <v>279253.01999999984</v>
      </c>
      <c r="E9" s="3" t="s">
        <v>34</v>
      </c>
      <c r="F9" s="6">
        <v>72284.260000000009</v>
      </c>
      <c r="H9" t="str">
        <v>R-05</v>
      </c>
      <c r="I9" s="5">
        <f t="shared" si="0"/>
        <v>6.1563841343373945E-3</v>
      </c>
      <c r="N9" s="3" t="s">
        <v>52</v>
      </c>
      <c r="O9" s="6">
        <v>1696.9600000000007</v>
      </c>
      <c r="P9" s="6">
        <v>3183.34</v>
      </c>
      <c r="Q9" s="6">
        <v>768987.98999999987</v>
      </c>
      <c r="R9" s="6">
        <v>5239.7299999999996</v>
      </c>
      <c r="S9" s="6">
        <v>7421.33</v>
      </c>
      <c r="T9" s="6">
        <v>4846.0100000000011</v>
      </c>
      <c r="U9" s="6">
        <v>25612.250000000004</v>
      </c>
      <c r="V9" s="6">
        <v>34700.590000000004</v>
      </c>
      <c r="W9" s="6">
        <v>3311.1499999999996</v>
      </c>
      <c r="X9" s="6">
        <v>5674.0499999999984</v>
      </c>
      <c r="Y9" s="6">
        <v>5958.95</v>
      </c>
      <c r="Z9" s="6">
        <v>29227.45</v>
      </c>
      <c r="AA9" s="6">
        <v>4326.7100000000009</v>
      </c>
      <c r="AB9" s="6">
        <v>3083.3399999999992</v>
      </c>
      <c r="AC9" s="6">
        <v>5822.1499999999987</v>
      </c>
      <c r="AD9" s="6">
        <v>16502.05</v>
      </c>
      <c r="AE9" s="6">
        <v>3818.0000000000005</v>
      </c>
      <c r="AF9" s="6">
        <v>3182.82</v>
      </c>
      <c r="AH9" s="25" t="str">
        <v>Jun</v>
      </c>
      <c r="AI9" s="18">
        <v>1696.9600000000007</v>
      </c>
      <c r="AJ9" s="19">
        <v>3183.34</v>
      </c>
      <c r="AK9" s="19">
        <v>768987.98999999987</v>
      </c>
      <c r="AL9" s="19">
        <v>5239.7299999999996</v>
      </c>
      <c r="AM9" s="19">
        <v>7421.33</v>
      </c>
      <c r="AN9" s="19">
        <v>4846.0100000000011</v>
      </c>
      <c r="AO9" s="19">
        <v>25612.250000000004</v>
      </c>
      <c r="AP9" s="19">
        <v>34700.590000000004</v>
      </c>
      <c r="AQ9" s="19">
        <v>3311.1499999999996</v>
      </c>
      <c r="AR9" s="19">
        <v>5674.0499999999984</v>
      </c>
      <c r="AS9" s="19">
        <v>5958.95</v>
      </c>
      <c r="AT9" s="19">
        <v>29227.45</v>
      </c>
      <c r="AU9" s="19">
        <v>4326.7100000000009</v>
      </c>
      <c r="AV9" s="19">
        <v>3083.3399999999992</v>
      </c>
      <c r="AW9" s="19">
        <v>5822.1499999999987</v>
      </c>
      <c r="AX9" s="19">
        <v>16502.05</v>
      </c>
      <c r="AY9" s="19">
        <v>3818.0000000000005</v>
      </c>
      <c r="AZ9" s="20">
        <v>3182.82</v>
      </c>
    </row>
    <row r="10" spans="2:278" x14ac:dyDescent="0.3">
      <c r="B10" s="11" t="s">
        <v>53</v>
      </c>
      <c r="C10" s="6">
        <v>151858.59000000005</v>
      </c>
      <c r="E10" s="3" t="s">
        <v>26</v>
      </c>
      <c r="F10" s="6">
        <v>70142.940000000017</v>
      </c>
      <c r="H10" t="str">
        <v>R-06</v>
      </c>
      <c r="I10" s="5">
        <f t="shared" si="0"/>
        <v>6.10122738610954E-3</v>
      </c>
      <c r="N10" s="3" t="s">
        <v>53</v>
      </c>
      <c r="O10" s="6">
        <v>1864.8799999999999</v>
      </c>
      <c r="P10" s="6">
        <v>3751.4300000000003</v>
      </c>
      <c r="Q10" s="6">
        <v>905308.17999999993</v>
      </c>
      <c r="R10" s="6">
        <v>5566.54</v>
      </c>
      <c r="S10" s="6">
        <v>7869.2899999999991</v>
      </c>
      <c r="T10" s="6">
        <v>4906.7999999999993</v>
      </c>
      <c r="U10" s="6">
        <v>28430.36</v>
      </c>
      <c r="V10" s="6">
        <v>39999.400000000009</v>
      </c>
      <c r="W10" s="6">
        <v>3750.26</v>
      </c>
      <c r="X10" s="6">
        <v>6671.369999999999</v>
      </c>
      <c r="Y10" s="6">
        <v>6641.119999999999</v>
      </c>
      <c r="Z10" s="6">
        <v>31607.969999999994</v>
      </c>
      <c r="AA10" s="6">
        <v>5062.83</v>
      </c>
      <c r="AB10" s="6">
        <v>3615.21</v>
      </c>
      <c r="AC10" s="6">
        <v>6459.5</v>
      </c>
      <c r="AD10" s="6">
        <v>19547.96</v>
      </c>
      <c r="AE10" s="6">
        <v>4704.7000000000007</v>
      </c>
      <c r="AF10" s="6">
        <v>3324.18</v>
      </c>
      <c r="AH10" s="25" t="str">
        <v>Jul</v>
      </c>
      <c r="AI10" s="18">
        <v>1864.8799999999999</v>
      </c>
      <c r="AJ10" s="19">
        <v>3751.4300000000003</v>
      </c>
      <c r="AK10" s="19">
        <v>905308.17999999993</v>
      </c>
      <c r="AL10" s="19">
        <v>5566.54</v>
      </c>
      <c r="AM10" s="19">
        <v>7869.2899999999991</v>
      </c>
      <c r="AN10" s="19">
        <v>4906.7999999999993</v>
      </c>
      <c r="AO10" s="19">
        <v>28430.36</v>
      </c>
      <c r="AP10" s="19">
        <v>39999.400000000009</v>
      </c>
      <c r="AQ10" s="19">
        <v>3750.26</v>
      </c>
      <c r="AR10" s="19">
        <v>6671.369999999999</v>
      </c>
      <c r="AS10" s="19">
        <v>6641.119999999999</v>
      </c>
      <c r="AT10" s="19">
        <v>31607.969999999994</v>
      </c>
      <c r="AU10" s="19">
        <v>5062.83</v>
      </c>
      <c r="AV10" s="19">
        <v>3615.21</v>
      </c>
      <c r="AW10" s="19">
        <v>6459.5</v>
      </c>
      <c r="AX10" s="19">
        <v>19547.96</v>
      </c>
      <c r="AY10" s="19">
        <v>4704.7000000000007</v>
      </c>
      <c r="AZ10" s="20">
        <v>3324.18</v>
      </c>
    </row>
    <row r="11" spans="2:278" x14ac:dyDescent="0.3">
      <c r="B11" s="11" t="s">
        <v>54</v>
      </c>
      <c r="C11" s="6">
        <v>179974.07999999987</v>
      </c>
      <c r="E11" s="3" t="s">
        <v>27</v>
      </c>
      <c r="F11" s="6">
        <v>69514.510000000038</v>
      </c>
      <c r="H11" t="str">
        <v>NIR</v>
      </c>
      <c r="I11" s="5">
        <f t="shared" si="0"/>
        <v>5.5326335721970193E-3</v>
      </c>
      <c r="N11" s="3" t="s">
        <v>54</v>
      </c>
      <c r="O11" s="6">
        <v>1609.2700000000004</v>
      </c>
      <c r="P11" s="6">
        <v>3379.8300000000004</v>
      </c>
      <c r="Q11" s="6">
        <v>849079.84</v>
      </c>
      <c r="R11" s="6">
        <v>4840.7</v>
      </c>
      <c r="S11" s="6">
        <v>7742.94</v>
      </c>
      <c r="T11" s="6">
        <v>4840.51</v>
      </c>
      <c r="U11" s="6">
        <v>26958.940000000002</v>
      </c>
      <c r="V11" s="6">
        <v>36361.35</v>
      </c>
      <c r="W11" s="6">
        <v>3131.7300000000005</v>
      </c>
      <c r="X11" s="6">
        <v>5731.62</v>
      </c>
      <c r="Y11" s="6">
        <v>5392.2799999999988</v>
      </c>
      <c r="Z11" s="6">
        <v>33779.180000000008</v>
      </c>
      <c r="AA11" s="6">
        <v>4434.0299999999988</v>
      </c>
      <c r="AB11" s="6">
        <v>3046.9300000000003</v>
      </c>
      <c r="AC11" s="6">
        <v>6038.9299999999994</v>
      </c>
      <c r="AD11" s="6">
        <v>17701.189999999999</v>
      </c>
      <c r="AE11" s="6">
        <v>3992.15</v>
      </c>
      <c r="AF11" s="6">
        <v>3370.6800000000003</v>
      </c>
      <c r="AH11" s="25" t="str">
        <v>Aug</v>
      </c>
      <c r="AI11" s="18">
        <v>1609.2700000000004</v>
      </c>
      <c r="AJ11" s="19">
        <v>3379.8300000000004</v>
      </c>
      <c r="AK11" s="19">
        <v>849079.84</v>
      </c>
      <c r="AL11" s="19">
        <v>4840.7</v>
      </c>
      <c r="AM11" s="19">
        <v>7742.94</v>
      </c>
      <c r="AN11" s="19">
        <v>4840.51</v>
      </c>
      <c r="AO11" s="19">
        <v>26958.940000000002</v>
      </c>
      <c r="AP11" s="19">
        <v>36361.35</v>
      </c>
      <c r="AQ11" s="19">
        <v>3131.7300000000005</v>
      </c>
      <c r="AR11" s="19">
        <v>5731.62</v>
      </c>
      <c r="AS11" s="19">
        <v>5392.2799999999988</v>
      </c>
      <c r="AT11" s="19">
        <v>33779.180000000008</v>
      </c>
      <c r="AU11" s="19">
        <v>4434.0299999999988</v>
      </c>
      <c r="AV11" s="19">
        <v>3046.9300000000003</v>
      </c>
      <c r="AW11" s="19">
        <v>6038.9299999999994</v>
      </c>
      <c r="AX11" s="19">
        <v>17701.189999999999</v>
      </c>
      <c r="AY11" s="19">
        <v>3992.15</v>
      </c>
      <c r="AZ11" s="20">
        <v>3370.6800000000003</v>
      </c>
    </row>
    <row r="12" spans="2:278" x14ac:dyDescent="0.3">
      <c r="B12" s="11" t="s">
        <v>55</v>
      </c>
      <c r="C12" s="6">
        <v>136797.37000000005</v>
      </c>
      <c r="E12" s="3" t="s">
        <v>29</v>
      </c>
      <c r="F12" s="6">
        <v>63036.219999999958</v>
      </c>
      <c r="H12" t="str">
        <v>R-02</v>
      </c>
      <c r="I12" s="5">
        <f t="shared" si="0"/>
        <v>4.8762030558291997E-3</v>
      </c>
      <c r="N12" s="3" t="s">
        <v>55</v>
      </c>
      <c r="O12" s="6">
        <v>1618.7600000000002</v>
      </c>
      <c r="P12" s="6">
        <v>3142.130000000001</v>
      </c>
      <c r="Q12" s="6">
        <v>619462.9600000002</v>
      </c>
      <c r="R12" s="6">
        <v>4628.18</v>
      </c>
      <c r="S12" s="6">
        <v>6275.08</v>
      </c>
      <c r="T12" s="6">
        <v>4139.7199999999993</v>
      </c>
      <c r="U12" s="6">
        <v>20740.78</v>
      </c>
      <c r="V12" s="6">
        <v>28318.049999999992</v>
      </c>
      <c r="W12" s="6">
        <v>2742.5800000000004</v>
      </c>
      <c r="X12" s="6">
        <v>5310.8799999999992</v>
      </c>
      <c r="Y12" s="6">
        <v>5155.6299999999992</v>
      </c>
      <c r="Z12" s="6">
        <v>23658.17</v>
      </c>
      <c r="AA12" s="6">
        <v>4267.41</v>
      </c>
      <c r="AB12" s="6">
        <v>2878.2899999999995</v>
      </c>
      <c r="AC12" s="6">
        <v>5453.24</v>
      </c>
      <c r="AD12" s="6">
        <v>14480.000000000002</v>
      </c>
      <c r="AE12" s="6">
        <v>3430.71</v>
      </c>
      <c r="AF12" s="6">
        <v>3213.2899999999995</v>
      </c>
      <c r="AH12" s="25" t="str">
        <v>Sep</v>
      </c>
      <c r="AI12" s="18">
        <v>1618.7600000000002</v>
      </c>
      <c r="AJ12" s="19">
        <v>3142.130000000001</v>
      </c>
      <c r="AK12" s="19">
        <v>619462.9600000002</v>
      </c>
      <c r="AL12" s="19">
        <v>4628.18</v>
      </c>
      <c r="AM12" s="19">
        <v>6275.08</v>
      </c>
      <c r="AN12" s="19">
        <v>4139.7199999999993</v>
      </c>
      <c r="AO12" s="19">
        <v>20740.78</v>
      </c>
      <c r="AP12" s="19">
        <v>28318.049999999992</v>
      </c>
      <c r="AQ12" s="19">
        <v>2742.5800000000004</v>
      </c>
      <c r="AR12" s="19">
        <v>5310.8799999999992</v>
      </c>
      <c r="AS12" s="19">
        <v>5155.6299999999992</v>
      </c>
      <c r="AT12" s="19">
        <v>23658.17</v>
      </c>
      <c r="AU12" s="19">
        <v>4267.41</v>
      </c>
      <c r="AV12" s="19">
        <v>2878.2899999999995</v>
      </c>
      <c r="AW12" s="19">
        <v>5453.24</v>
      </c>
      <c r="AX12" s="19">
        <v>14480.000000000002</v>
      </c>
      <c r="AY12" s="19">
        <v>3430.71</v>
      </c>
      <c r="AZ12" s="20">
        <v>3213.2899999999995</v>
      </c>
    </row>
    <row r="13" spans="2:278" x14ac:dyDescent="0.3">
      <c r="B13" s="11" t="s">
        <v>56</v>
      </c>
      <c r="C13" s="6">
        <v>149865.89999999994</v>
      </c>
      <c r="E13" s="3" t="s">
        <v>22</v>
      </c>
      <c r="F13" s="6">
        <v>55557.160000000033</v>
      </c>
      <c r="H13" t="str">
        <v>R-08</v>
      </c>
      <c r="I13" s="5">
        <f t="shared" si="0"/>
        <v>4.6479146964126562E-3</v>
      </c>
      <c r="N13" s="3" t="s">
        <v>56</v>
      </c>
      <c r="O13" s="6">
        <v>1808.4699999999998</v>
      </c>
      <c r="P13" s="6">
        <v>3925.2000000000003</v>
      </c>
      <c r="Q13" s="6">
        <v>890066.41999999981</v>
      </c>
      <c r="R13" s="6">
        <v>6619.46</v>
      </c>
      <c r="S13" s="6">
        <v>8171.1500000000005</v>
      </c>
      <c r="T13" s="6">
        <v>5309.5700000000006</v>
      </c>
      <c r="U13" s="6">
        <v>29214.980000000007</v>
      </c>
      <c r="V13" s="6">
        <v>41386.010000000009</v>
      </c>
      <c r="W13" s="6">
        <v>3781.3100000000004</v>
      </c>
      <c r="X13" s="6">
        <v>6828.7000000000007</v>
      </c>
      <c r="Y13" s="6">
        <v>6829.9299999999985</v>
      </c>
      <c r="Z13" s="6">
        <v>32879.18</v>
      </c>
      <c r="AA13" s="6">
        <v>5031.7600000000011</v>
      </c>
      <c r="AB13" s="6">
        <v>3727.79</v>
      </c>
      <c r="AC13" s="6">
        <v>7307.0700000000006</v>
      </c>
      <c r="AD13" s="6">
        <v>19761.72</v>
      </c>
      <c r="AE13" s="6">
        <v>4580.0499999999993</v>
      </c>
      <c r="AF13" s="6">
        <v>3743.42</v>
      </c>
      <c r="AH13" s="25" t="str">
        <v>Oct</v>
      </c>
      <c r="AI13" s="18">
        <v>1808.4699999999998</v>
      </c>
      <c r="AJ13" s="19">
        <v>3925.2000000000003</v>
      </c>
      <c r="AK13" s="19">
        <v>890066.41999999981</v>
      </c>
      <c r="AL13" s="19">
        <v>6619.46</v>
      </c>
      <c r="AM13" s="19">
        <v>8171.1500000000005</v>
      </c>
      <c r="AN13" s="19">
        <v>5309.5700000000006</v>
      </c>
      <c r="AO13" s="19">
        <v>29214.980000000007</v>
      </c>
      <c r="AP13" s="19">
        <v>41386.010000000009</v>
      </c>
      <c r="AQ13" s="19">
        <v>3781.3100000000004</v>
      </c>
      <c r="AR13" s="19">
        <v>6828.7000000000007</v>
      </c>
      <c r="AS13" s="19">
        <v>6829.9299999999985</v>
      </c>
      <c r="AT13" s="19">
        <v>32879.18</v>
      </c>
      <c r="AU13" s="19">
        <v>5031.7600000000011</v>
      </c>
      <c r="AV13" s="19">
        <v>3727.79</v>
      </c>
      <c r="AW13" s="19">
        <v>7307.0700000000006</v>
      </c>
      <c r="AX13" s="19">
        <v>19761.72</v>
      </c>
      <c r="AY13" s="19">
        <v>4580.0499999999993</v>
      </c>
      <c r="AZ13" s="20">
        <v>3743.42</v>
      </c>
    </row>
    <row r="14" spans="2:278" x14ac:dyDescent="0.3">
      <c r="B14" s="11" t="s">
        <v>57</v>
      </c>
      <c r="C14" s="6">
        <v>188405.49999999991</v>
      </c>
      <c r="E14" s="3" t="s">
        <v>31</v>
      </c>
      <c r="F14" s="6">
        <v>52956.15</v>
      </c>
      <c r="H14" t="str">
        <v>R-12</v>
      </c>
      <c r="I14" s="5">
        <f t="shared" si="0"/>
        <v>4.2455573516033416E-3</v>
      </c>
      <c r="N14" s="3" t="s">
        <v>57</v>
      </c>
      <c r="O14" s="6">
        <v>1856.44</v>
      </c>
      <c r="P14" s="6">
        <v>3341.4000000000005</v>
      </c>
      <c r="Q14" s="6">
        <v>890723.66</v>
      </c>
      <c r="R14" s="6">
        <v>5120.7999999999993</v>
      </c>
      <c r="S14" s="6">
        <v>8021.9</v>
      </c>
      <c r="T14" s="6">
        <v>4806.9900000000007</v>
      </c>
      <c r="U14" s="6">
        <v>28270.049999999996</v>
      </c>
      <c r="V14" s="6">
        <v>38579.579999999994</v>
      </c>
      <c r="W14" s="6">
        <v>3219.82</v>
      </c>
      <c r="X14" s="6">
        <v>5877.54</v>
      </c>
      <c r="Y14" s="6">
        <v>5434.33</v>
      </c>
      <c r="Z14" s="6">
        <v>35003.21</v>
      </c>
      <c r="AA14" s="6">
        <v>4269.8600000000015</v>
      </c>
      <c r="AB14" s="6">
        <v>3108.6799999999994</v>
      </c>
      <c r="AC14" s="6">
        <v>6078.33</v>
      </c>
      <c r="AD14" s="6">
        <v>19815.86</v>
      </c>
      <c r="AE14" s="6">
        <v>4361.8499999999995</v>
      </c>
      <c r="AF14" s="6">
        <v>3527.2699999999995</v>
      </c>
      <c r="AH14" s="25" t="str">
        <v>Nov</v>
      </c>
      <c r="AI14" s="18">
        <v>1856.44</v>
      </c>
      <c r="AJ14" s="19">
        <v>3341.4000000000005</v>
      </c>
      <c r="AK14" s="19">
        <v>890723.66</v>
      </c>
      <c r="AL14" s="19">
        <v>5120.7999999999993</v>
      </c>
      <c r="AM14" s="19">
        <v>8021.9</v>
      </c>
      <c r="AN14" s="19">
        <v>4806.9900000000007</v>
      </c>
      <c r="AO14" s="19">
        <v>28270.049999999996</v>
      </c>
      <c r="AP14" s="19">
        <v>38579.579999999994</v>
      </c>
      <c r="AQ14" s="19">
        <v>3219.82</v>
      </c>
      <c r="AR14" s="19">
        <v>5877.54</v>
      </c>
      <c r="AS14" s="19">
        <v>5434.33</v>
      </c>
      <c r="AT14" s="19">
        <v>35003.21</v>
      </c>
      <c r="AU14" s="19">
        <v>4269.8600000000015</v>
      </c>
      <c r="AV14" s="19">
        <v>3108.6799999999994</v>
      </c>
      <c r="AW14" s="19">
        <v>6078.33</v>
      </c>
      <c r="AX14" s="19">
        <v>19815.86</v>
      </c>
      <c r="AY14" s="19">
        <v>4361.8499999999995</v>
      </c>
      <c r="AZ14" s="20">
        <v>3527.2699999999995</v>
      </c>
    </row>
    <row r="15" spans="2:278" x14ac:dyDescent="0.3">
      <c r="B15" s="11" t="s">
        <v>58</v>
      </c>
      <c r="C15" s="6">
        <v>156393.37999999989</v>
      </c>
      <c r="E15" s="3" t="s">
        <v>36</v>
      </c>
      <c r="F15" s="6">
        <v>48371.879999999976</v>
      </c>
      <c r="H15" t="str">
        <v>CAR</v>
      </c>
      <c r="I15" s="5">
        <f t="shared" si="0"/>
        <v>3.5078552629736141E-3</v>
      </c>
      <c r="N15" s="3" t="s">
        <v>58</v>
      </c>
      <c r="O15" s="6">
        <v>2178.7500000000005</v>
      </c>
      <c r="P15" s="6">
        <v>3825.2099999999996</v>
      </c>
      <c r="Q15" s="6">
        <v>682870.20000000007</v>
      </c>
      <c r="R15" s="6">
        <v>4724.9800000000005</v>
      </c>
      <c r="S15" s="6">
        <v>6552.7</v>
      </c>
      <c r="T15" s="6">
        <v>4728.0299999999988</v>
      </c>
      <c r="U15" s="6">
        <v>22625.729999999992</v>
      </c>
      <c r="V15" s="6">
        <v>32733.47</v>
      </c>
      <c r="W15" s="6">
        <v>2983.79</v>
      </c>
      <c r="X15" s="6">
        <v>6676.92</v>
      </c>
      <c r="Y15" s="6">
        <v>5920.9199999999992</v>
      </c>
      <c r="Z15" s="6">
        <v>25618.07</v>
      </c>
      <c r="AA15" s="6">
        <v>4757.22</v>
      </c>
      <c r="AB15" s="6">
        <v>3351.4099999999994</v>
      </c>
      <c r="AC15" s="6">
        <v>6156.95</v>
      </c>
      <c r="AD15" s="6">
        <v>15167.55</v>
      </c>
      <c r="AE15" s="6">
        <v>4480.42</v>
      </c>
      <c r="AF15" s="6">
        <v>3176.2</v>
      </c>
      <c r="AH15" s="25" t="str">
        <v>Dec</v>
      </c>
      <c r="AI15" s="18">
        <v>2178.7500000000005</v>
      </c>
      <c r="AJ15" s="19">
        <v>3825.2099999999996</v>
      </c>
      <c r="AK15" s="19">
        <v>682870.20000000007</v>
      </c>
      <c r="AL15" s="19">
        <v>4724.9800000000005</v>
      </c>
      <c r="AM15" s="19">
        <v>6552.7</v>
      </c>
      <c r="AN15" s="19">
        <v>4728.0299999999988</v>
      </c>
      <c r="AO15" s="19">
        <v>22625.729999999992</v>
      </c>
      <c r="AP15" s="19">
        <v>32733.47</v>
      </c>
      <c r="AQ15" s="19">
        <v>2983.79</v>
      </c>
      <c r="AR15" s="19">
        <v>6676.92</v>
      </c>
      <c r="AS15" s="19">
        <v>5920.9199999999992</v>
      </c>
      <c r="AT15" s="19">
        <v>25618.07</v>
      </c>
      <c r="AU15" s="19">
        <v>4757.22</v>
      </c>
      <c r="AV15" s="19">
        <v>3351.4099999999994</v>
      </c>
      <c r="AW15" s="19">
        <v>6156.95</v>
      </c>
      <c r="AX15" s="19">
        <v>15167.55</v>
      </c>
      <c r="AY15" s="19">
        <v>4480.42</v>
      </c>
      <c r="AZ15" s="20">
        <v>3176.2</v>
      </c>
    </row>
    <row r="16" spans="2:278" x14ac:dyDescent="0.3">
      <c r="B16" s="3" t="s">
        <v>43</v>
      </c>
      <c r="C16" s="6">
        <v>2020062.3599999994</v>
      </c>
      <c r="E16" s="3" t="s">
        <v>20</v>
      </c>
      <c r="F16" s="6">
        <v>39966.85</v>
      </c>
      <c r="H16" t="str">
        <v>R-04B</v>
      </c>
      <c r="I16" s="5">
        <f t="shared" si="0"/>
        <v>3.4654776986516433E-3</v>
      </c>
      <c r="N16" s="3" t="s">
        <v>66</v>
      </c>
      <c r="O16" s="6">
        <v>21437.059999999998</v>
      </c>
      <c r="P16" s="6">
        <v>39966.85</v>
      </c>
      <c r="Q16" s="6">
        <v>9393185.2399999984</v>
      </c>
      <c r="R16" s="6">
        <v>63036.219999999994</v>
      </c>
      <c r="S16" s="6">
        <v>86792.159999999989</v>
      </c>
      <c r="T16" s="6">
        <v>55557.16</v>
      </c>
      <c r="U16" s="6">
        <v>306895.77999999997</v>
      </c>
      <c r="V16" s="6">
        <v>427258.93999999994</v>
      </c>
      <c r="W16" s="6">
        <v>39484.020000000011</v>
      </c>
      <c r="X16" s="6">
        <v>70142.94</v>
      </c>
      <c r="Y16" s="6">
        <v>69514.509999999995</v>
      </c>
      <c r="Z16" s="6">
        <v>362858.57</v>
      </c>
      <c r="AA16" s="6">
        <v>52956.15</v>
      </c>
      <c r="AB16" s="6">
        <v>38084.149999999994</v>
      </c>
      <c r="AC16" s="6">
        <v>72284.259999999995</v>
      </c>
      <c r="AD16" s="6">
        <v>206686.63</v>
      </c>
      <c r="AE16" s="6">
        <v>48371.88</v>
      </c>
      <c r="AF16" s="6">
        <v>39016.289999999994</v>
      </c>
      <c r="AH16" t="str">
        <v>Total</v>
      </c>
      <c r="AI16">
        <v>21437.059999999998</v>
      </c>
      <c r="AJ16">
        <v>39966.85</v>
      </c>
      <c r="AK16">
        <v>9393185.2399999984</v>
      </c>
      <c r="AL16">
        <v>63036.219999999994</v>
      </c>
      <c r="AM16">
        <v>86792.159999999989</v>
      </c>
      <c r="AN16">
        <v>55557.16</v>
      </c>
      <c r="AO16">
        <v>306895.77999999997</v>
      </c>
      <c r="AP16">
        <v>427258.93999999994</v>
      </c>
      <c r="AQ16">
        <v>39484.020000000011</v>
      </c>
      <c r="AR16">
        <v>70142.94</v>
      </c>
      <c r="AS16">
        <v>69514.509999999995</v>
      </c>
      <c r="AT16">
        <v>362858.57</v>
      </c>
      <c r="AU16">
        <v>52956.15</v>
      </c>
      <c r="AV16">
        <v>38084.149999999994</v>
      </c>
      <c r="AW16">
        <v>72284.259999999995</v>
      </c>
      <c r="AX16">
        <v>206686.63</v>
      </c>
      <c r="AY16">
        <v>48371.88</v>
      </c>
      <c r="AZ16">
        <v>39016.289999999994</v>
      </c>
    </row>
    <row r="17" spans="2:52" x14ac:dyDescent="0.3">
      <c r="B17" s="11" t="s">
        <v>47</v>
      </c>
      <c r="C17" s="6">
        <v>178236.11000000004</v>
      </c>
      <c r="E17" s="3" t="s">
        <v>25</v>
      </c>
      <c r="F17" s="6">
        <v>39484.019999999997</v>
      </c>
      <c r="H17" t="str">
        <v>R-13</v>
      </c>
      <c r="I17" s="5">
        <f t="shared" si="0"/>
        <v>3.4244254480451865E-3</v>
      </c>
    </row>
    <row r="18" spans="2:52" x14ac:dyDescent="0.3">
      <c r="B18" s="11" t="s">
        <v>48</v>
      </c>
      <c r="C18" s="6">
        <v>140956.88999999996</v>
      </c>
      <c r="E18" s="3" t="s">
        <v>37</v>
      </c>
      <c r="F18" s="6">
        <v>39016.289999999994</v>
      </c>
      <c r="H18" t="str">
        <v>R-09</v>
      </c>
      <c r="I18" s="5">
        <f t="shared" si="0"/>
        <v>3.3426123403114479E-3</v>
      </c>
      <c r="AH18" s="13"/>
    </row>
    <row r="19" spans="2:52" ht="15.6" x14ac:dyDescent="0.3">
      <c r="B19" s="11" t="s">
        <v>49</v>
      </c>
      <c r="C19" s="6">
        <v>133665.85999999999</v>
      </c>
      <c r="E19" s="3" t="s">
        <v>32</v>
      </c>
      <c r="F19" s="6">
        <v>38084.150000000009</v>
      </c>
      <c r="H19" t="str">
        <v>BARMM</v>
      </c>
      <c r="I19" s="5">
        <f t="shared" si="0"/>
        <v>1.8815118965763151E-3</v>
      </c>
      <c r="AH19" s="24" t="s">
        <v>3</v>
      </c>
      <c r="AI19" s="24" t="s">
        <v>38</v>
      </c>
      <c r="AJ19" s="24" t="s">
        <v>20</v>
      </c>
      <c r="AK19" s="24" t="s">
        <v>7</v>
      </c>
      <c r="AL19" s="24" t="s">
        <v>29</v>
      </c>
      <c r="AM19" s="24" t="s">
        <v>21</v>
      </c>
      <c r="AN19" s="24" t="s">
        <v>22</v>
      </c>
      <c r="AO19" s="24" t="s">
        <v>23</v>
      </c>
      <c r="AP19" s="24" t="s">
        <v>24</v>
      </c>
      <c r="AQ19" s="24" t="s">
        <v>25</v>
      </c>
      <c r="AR19" s="24" t="s">
        <v>26</v>
      </c>
      <c r="AS19" s="24" t="s">
        <v>27</v>
      </c>
      <c r="AT19" s="24" t="s">
        <v>30</v>
      </c>
      <c r="AU19" s="24" t="s">
        <v>31</v>
      </c>
      <c r="AV19" s="24" t="s">
        <v>32</v>
      </c>
      <c r="AW19" s="24" t="s">
        <v>34</v>
      </c>
      <c r="AX19" s="24" t="s">
        <v>35</v>
      </c>
      <c r="AY19" s="24" t="s">
        <v>36</v>
      </c>
      <c r="AZ19" s="24" t="s">
        <v>37</v>
      </c>
    </row>
    <row r="20" spans="2:52" ht="15" thickBot="1" x14ac:dyDescent="0.35">
      <c r="B20" s="11" t="s">
        <v>50</v>
      </c>
      <c r="C20" s="6">
        <v>213990.11999999994</v>
      </c>
      <c r="E20" s="3" t="s">
        <v>38</v>
      </c>
      <c r="F20" s="6">
        <v>21437.059999999987</v>
      </c>
      <c r="AH20" s="25" t="s">
        <v>47</v>
      </c>
      <c r="AI20" s="21">
        <f>AI4/AI$16</f>
        <v>0.1055765109581258</v>
      </c>
      <c r="AJ20" s="21">
        <f t="shared" ref="AJ20:AZ20" si="1">AJ4/AJ$16</f>
        <v>9.7409478104979519E-2</v>
      </c>
      <c r="AK20" s="21">
        <f t="shared" si="1"/>
        <v>9.4818541021341546E-2</v>
      </c>
      <c r="AL20" s="21">
        <f t="shared" si="1"/>
        <v>9.7028343387341467E-2</v>
      </c>
      <c r="AM20" s="21">
        <f t="shared" si="1"/>
        <v>0.10381098937968591</v>
      </c>
      <c r="AN20" s="21">
        <f t="shared" si="1"/>
        <v>9.8721928910693049E-2</v>
      </c>
      <c r="AO20" s="21">
        <f t="shared" si="1"/>
        <v>9.3627647796264937E-2</v>
      </c>
      <c r="AP20" s="21">
        <f t="shared" si="1"/>
        <v>9.9360823204776016E-2</v>
      </c>
      <c r="AQ20" s="21">
        <f t="shared" si="1"/>
        <v>0.1105340844220016</v>
      </c>
      <c r="AR20" s="21">
        <f t="shared" si="1"/>
        <v>0.1068807495095016</v>
      </c>
      <c r="AS20" s="21">
        <f t="shared" si="1"/>
        <v>0.10783878070923611</v>
      </c>
      <c r="AT20" s="21">
        <f>AT4/AT$16</f>
        <v>9.7410486956391859E-2</v>
      </c>
      <c r="AU20" s="21">
        <f t="shared" si="1"/>
        <v>9.5103212752437619E-2</v>
      </c>
      <c r="AV20" s="21">
        <f t="shared" si="1"/>
        <v>0.10489770678878221</v>
      </c>
      <c r="AW20" s="21">
        <f t="shared" si="1"/>
        <v>0.10074364737219417</v>
      </c>
      <c r="AX20" s="21">
        <f t="shared" si="1"/>
        <v>0.10014111701371295</v>
      </c>
      <c r="AY20" s="21">
        <f t="shared" si="1"/>
        <v>0.10171529409235282</v>
      </c>
      <c r="AZ20" s="21">
        <f t="shared" si="1"/>
        <v>0.10156629448878916</v>
      </c>
    </row>
    <row r="21" spans="2:52" ht="15" thickBot="1" x14ac:dyDescent="0.35">
      <c r="B21" s="11" t="s">
        <v>51</v>
      </c>
      <c r="C21" s="6">
        <v>179373.43000000008</v>
      </c>
      <c r="E21" s="3" t="s">
        <v>41</v>
      </c>
      <c r="F21" s="6">
        <v>11393528.810000001</v>
      </c>
      <c r="AH21" s="25" t="s">
        <v>48</v>
      </c>
      <c r="AI21" s="22">
        <f t="shared" ref="AI21:AX31" si="2">AI5/AI$16</f>
        <v>7.2448367453372825E-2</v>
      </c>
      <c r="AJ21" s="22">
        <f t="shared" si="2"/>
        <v>5.727271476235931E-2</v>
      </c>
      <c r="AK21" s="22">
        <f t="shared" si="2"/>
        <v>5.8480051863642378E-2</v>
      </c>
      <c r="AL21" s="22">
        <f t="shared" si="2"/>
        <v>6.1971038238016175E-2</v>
      </c>
      <c r="AM21" s="22">
        <f t="shared" si="2"/>
        <v>5.8322203295781548E-2</v>
      </c>
      <c r="AN21" s="22">
        <f t="shared" si="2"/>
        <v>5.8248117794358102E-2</v>
      </c>
      <c r="AO21" s="22">
        <f t="shared" si="2"/>
        <v>5.9082956435569114E-2</v>
      </c>
      <c r="AP21" s="22">
        <f t="shared" si="2"/>
        <v>5.8041360117590521E-2</v>
      </c>
      <c r="AQ21" s="22">
        <f t="shared" si="2"/>
        <v>5.9833573177199263E-2</v>
      </c>
      <c r="AR21" s="22">
        <f t="shared" si="2"/>
        <v>5.4682766362516323E-2</v>
      </c>
      <c r="AS21" s="22">
        <f t="shared" si="2"/>
        <v>5.6714202545626806E-2</v>
      </c>
      <c r="AT21" s="22">
        <f t="shared" si="2"/>
        <v>5.5999145893123055E-2</v>
      </c>
      <c r="AU21" s="22">
        <f t="shared" si="2"/>
        <v>5.6114162377740841E-2</v>
      </c>
      <c r="AV21" s="22">
        <f t="shared" si="2"/>
        <v>5.811499009430434E-2</v>
      </c>
      <c r="AW21" s="22">
        <f t="shared" si="2"/>
        <v>5.9077868404546159E-2</v>
      </c>
      <c r="AX21" s="22">
        <f t="shared" si="2"/>
        <v>5.4217730484066626E-2</v>
      </c>
      <c r="AY21" s="22">
        <f t="shared" ref="AY21:AZ21" si="3">AY5/AY$16</f>
        <v>5.4838265537746317E-2</v>
      </c>
      <c r="AZ21" s="22">
        <f t="shared" si="3"/>
        <v>5.7810212093461481E-2</v>
      </c>
    </row>
    <row r="22" spans="2:52" ht="15" thickBot="1" x14ac:dyDescent="0.35">
      <c r="B22" s="11" t="s">
        <v>52</v>
      </c>
      <c r="C22" s="6">
        <v>155130.94999999998</v>
      </c>
      <c r="AH22" s="25" t="s">
        <v>49</v>
      </c>
      <c r="AI22" s="22">
        <f t="shared" si="2"/>
        <v>7.0231645570801221E-2</v>
      </c>
      <c r="AJ22" s="22">
        <f t="shared" si="2"/>
        <v>6.5142737043324642E-2</v>
      </c>
      <c r="AK22" s="22">
        <f t="shared" si="2"/>
        <v>6.0316765348918014E-2</v>
      </c>
      <c r="AL22" s="22">
        <f t="shared" si="2"/>
        <v>6.9191490225778141E-2</v>
      </c>
      <c r="AM22" s="22">
        <f t="shared" si="2"/>
        <v>6.521268741324103E-2</v>
      </c>
      <c r="AN22" s="22">
        <f t="shared" si="2"/>
        <v>6.7046623693507737E-2</v>
      </c>
      <c r="AO22" s="22">
        <f t="shared" si="2"/>
        <v>6.5118132285820293E-2</v>
      </c>
      <c r="AP22" s="22">
        <f t="shared" si="2"/>
        <v>6.7989870498672292E-2</v>
      </c>
      <c r="AQ22" s="22">
        <f t="shared" si="2"/>
        <v>6.5947692256259613E-2</v>
      </c>
      <c r="AR22" s="22">
        <f t="shared" si="2"/>
        <v>6.4348315026430306E-2</v>
      </c>
      <c r="AS22" s="22">
        <f t="shared" si="2"/>
        <v>6.7494685641889748E-2</v>
      </c>
      <c r="AT22" s="22">
        <f t="shared" si="2"/>
        <v>6.0382947548958253E-2</v>
      </c>
      <c r="AU22" s="22">
        <f t="shared" si="2"/>
        <v>6.4625166293244496E-2</v>
      </c>
      <c r="AV22" s="22">
        <f t="shared" si="2"/>
        <v>6.825989289507578E-2</v>
      </c>
      <c r="AW22" s="22">
        <f t="shared" si="2"/>
        <v>6.8570668081820302E-2</v>
      </c>
      <c r="AX22" s="22">
        <f t="shared" si="2"/>
        <v>6.4119628831337566E-2</v>
      </c>
      <c r="AY22" s="22">
        <f t="shared" ref="AY22:AZ22" si="4">AY6/AY$16</f>
        <v>6.7490864527076477E-2</v>
      </c>
      <c r="AZ22" s="22">
        <f t="shared" si="4"/>
        <v>6.8431160420429543E-2</v>
      </c>
    </row>
    <row r="23" spans="2:52" ht="15" thickBot="1" x14ac:dyDescent="0.35">
      <c r="B23" s="11" t="s">
        <v>53</v>
      </c>
      <c r="C23" s="6">
        <v>165608.28000000017</v>
      </c>
      <c r="AH23" s="25" t="s">
        <v>50</v>
      </c>
      <c r="AI23" s="22">
        <f t="shared" si="2"/>
        <v>8.6503932908710432E-2</v>
      </c>
      <c r="AJ23" s="22">
        <f t="shared" si="2"/>
        <v>9.2377808108469905E-2</v>
      </c>
      <c r="AK23" s="22">
        <f t="shared" si="2"/>
        <v>0.10808060780881608</v>
      </c>
      <c r="AL23" s="22">
        <f t="shared" si="2"/>
        <v>0.11471642811069574</v>
      </c>
      <c r="AM23" s="22">
        <f t="shared" si="2"/>
        <v>9.5742749114666584E-2</v>
      </c>
      <c r="AN23" s="22">
        <f t="shared" si="2"/>
        <v>9.6552991549604061E-2</v>
      </c>
      <c r="AO23" s="22">
        <f t="shared" si="2"/>
        <v>0.10516762400577816</v>
      </c>
      <c r="AP23" s="22">
        <f t="shared" si="2"/>
        <v>0.10638251361106685</v>
      </c>
      <c r="AQ23" s="22">
        <f t="shared" si="2"/>
        <v>0.10477099342974698</v>
      </c>
      <c r="AR23" s="22">
        <f t="shared" si="2"/>
        <v>9.4242271567174116E-2</v>
      </c>
      <c r="AS23" s="22">
        <f t="shared" si="2"/>
        <v>0.10071997918132489</v>
      </c>
      <c r="AT23" s="22">
        <f t="shared" si="2"/>
        <v>0.12002433895939124</v>
      </c>
      <c r="AU23" s="22">
        <f t="shared" si="2"/>
        <v>9.766929808907937E-2</v>
      </c>
      <c r="AV23" s="22">
        <f t="shared" si="2"/>
        <v>9.6921685268018323E-2</v>
      </c>
      <c r="AW23" s="22">
        <f t="shared" si="2"/>
        <v>9.7518325566312791E-2</v>
      </c>
      <c r="AX23" s="22">
        <f t="shared" si="2"/>
        <v>0.10709246166527558</v>
      </c>
      <c r="AY23" s="22">
        <f t="shared" ref="AY23:AZ23" si="5">AY7/AY$16</f>
        <v>9.8443558530286621E-2</v>
      </c>
      <c r="AZ23" s="22">
        <f t="shared" si="5"/>
        <v>9.147948203173599E-2</v>
      </c>
    </row>
    <row r="24" spans="2:52" ht="15" thickBot="1" x14ac:dyDescent="0.35">
      <c r="B24" s="11" t="s">
        <v>54</v>
      </c>
      <c r="C24" s="6">
        <v>179270.96999999986</v>
      </c>
      <c r="AH24" s="25" t="s">
        <v>51</v>
      </c>
      <c r="AI24" s="22">
        <f t="shared" si="2"/>
        <v>7.5908263539869736E-2</v>
      </c>
      <c r="AJ24" s="22">
        <f t="shared" si="2"/>
        <v>7.3574725053387982E-2</v>
      </c>
      <c r="AK24" s="22">
        <f t="shared" si="2"/>
        <v>8.1435228887277861E-2</v>
      </c>
      <c r="AL24" s="22">
        <f t="shared" si="2"/>
        <v>7.4246996409365912E-2</v>
      </c>
      <c r="AM24" s="22">
        <f t="shared" si="2"/>
        <v>7.7152245087574733E-2</v>
      </c>
      <c r="AN24" s="22">
        <f t="shared" si="2"/>
        <v>7.5050452542930551E-2</v>
      </c>
      <c r="AO24" s="22">
        <f t="shared" si="2"/>
        <v>8.4447137070441325E-2</v>
      </c>
      <c r="AP24" s="22">
        <f t="shared" si="2"/>
        <v>7.8235554298758503E-2</v>
      </c>
      <c r="AQ24" s="22">
        <f t="shared" si="2"/>
        <v>7.8409442604881668E-2</v>
      </c>
      <c r="AR24" s="22">
        <f t="shared" si="2"/>
        <v>7.0075619869939876E-2</v>
      </c>
      <c r="AS24" s="22">
        <f t="shared" si="2"/>
        <v>7.2634763591083354E-2</v>
      </c>
      <c r="AT24" s="22">
        <f t="shared" si="2"/>
        <v>8.2558364268480691E-2</v>
      </c>
      <c r="AU24" s="22">
        <f t="shared" si="2"/>
        <v>7.938549158124221E-2</v>
      </c>
      <c r="AV24" s="22">
        <f t="shared" si="2"/>
        <v>7.2825571792989999E-2</v>
      </c>
      <c r="AW24" s="22">
        <f t="shared" si="2"/>
        <v>7.4841881206226646E-2</v>
      </c>
      <c r="AX24" s="22">
        <f t="shared" si="2"/>
        <v>7.9439777986607063E-2</v>
      </c>
      <c r="AY24" s="22">
        <f t="shared" ref="AY24:AZ24" si="6">AY8/AY$16</f>
        <v>7.0384901310430792E-2</v>
      </c>
      <c r="AZ24" s="22">
        <f t="shared" si="6"/>
        <v>7.7429965791211836E-2</v>
      </c>
    </row>
    <row r="25" spans="2:52" ht="15" thickBot="1" x14ac:dyDescent="0.35">
      <c r="B25" s="11" t="s">
        <v>55</v>
      </c>
      <c r="C25" s="6">
        <v>148175.8599999999</v>
      </c>
      <c r="AH25" s="25" t="s">
        <v>52</v>
      </c>
      <c r="AI25" s="22">
        <f t="shared" si="2"/>
        <v>7.9160108708936805E-2</v>
      </c>
      <c r="AJ25" s="22">
        <f t="shared" si="2"/>
        <v>7.9649509531023843E-2</v>
      </c>
      <c r="AK25" s="22">
        <f t="shared" si="2"/>
        <v>8.1866584162030215E-2</v>
      </c>
      <c r="AL25" s="22">
        <f t="shared" si="2"/>
        <v>8.3122528603396584E-2</v>
      </c>
      <c r="AM25" s="22">
        <f t="shared" si="2"/>
        <v>8.5506916753771312E-2</v>
      </c>
      <c r="AN25" s="22">
        <f t="shared" si="2"/>
        <v>8.7225660922912562E-2</v>
      </c>
      <c r="AO25" s="22">
        <f t="shared" si="2"/>
        <v>8.3455855926073685E-2</v>
      </c>
      <c r="AP25" s="22">
        <f t="shared" si="2"/>
        <v>8.1216767518076993E-2</v>
      </c>
      <c r="AQ25" s="22">
        <f t="shared" si="2"/>
        <v>8.3860508631086669E-2</v>
      </c>
      <c r="AR25" s="22">
        <f t="shared" si="2"/>
        <v>8.0892674301932574E-2</v>
      </c>
      <c r="AS25" s="22">
        <f t="shared" si="2"/>
        <v>8.572239090802769E-2</v>
      </c>
      <c r="AT25" s="22">
        <f t="shared" si="2"/>
        <v>8.0547773751078827E-2</v>
      </c>
      <c r="AU25" s="22">
        <f t="shared" si="2"/>
        <v>8.1703635932748153E-2</v>
      </c>
      <c r="AV25" s="22">
        <f t="shared" si="2"/>
        <v>8.0961239780853705E-2</v>
      </c>
      <c r="AW25" s="22">
        <f t="shared" si="2"/>
        <v>8.0545197529863333E-2</v>
      </c>
      <c r="AX25" s="22">
        <f t="shared" si="2"/>
        <v>7.9840916657260314E-2</v>
      </c>
      <c r="AY25" s="22">
        <f t="shared" ref="AY25:AZ25" si="7">AY9/AY$16</f>
        <v>7.893015528856849E-2</v>
      </c>
      <c r="AZ25" s="22">
        <f t="shared" si="7"/>
        <v>8.1576695272666894E-2</v>
      </c>
    </row>
    <row r="26" spans="2:52" ht="15" thickBot="1" x14ac:dyDescent="0.35">
      <c r="B26" s="11" t="s">
        <v>56</v>
      </c>
      <c r="C26" s="6">
        <v>157804.30999999991</v>
      </c>
      <c r="AH26" s="25" t="s">
        <v>53</v>
      </c>
      <c r="AI26" s="22">
        <f t="shared" si="2"/>
        <v>8.6993272398360605E-2</v>
      </c>
      <c r="AJ26" s="22">
        <f t="shared" si="2"/>
        <v>9.3863539408284624E-2</v>
      </c>
      <c r="AK26" s="22">
        <f t="shared" si="2"/>
        <v>9.637925334899497E-2</v>
      </c>
      <c r="AL26" s="22">
        <f t="shared" si="2"/>
        <v>8.8307008256523004E-2</v>
      </c>
      <c r="AM26" s="22">
        <f t="shared" si="2"/>
        <v>9.0668212428403672E-2</v>
      </c>
      <c r="AN26" s="22">
        <f t="shared" si="2"/>
        <v>8.831984932275154E-2</v>
      </c>
      <c r="AO26" s="22">
        <f t="shared" si="2"/>
        <v>9.2638484634751259E-2</v>
      </c>
      <c r="AP26" s="22">
        <f t="shared" si="2"/>
        <v>9.3618637915452427E-2</v>
      </c>
      <c r="AQ26" s="22">
        <f t="shared" si="2"/>
        <v>9.4981716653977963E-2</v>
      </c>
      <c r="AR26" s="22">
        <f t="shared" si="2"/>
        <v>9.5111068911568272E-2</v>
      </c>
      <c r="AS26" s="22">
        <f t="shared" si="2"/>
        <v>9.5535737790570618E-2</v>
      </c>
      <c r="AT26" s="22">
        <f t="shared" si="2"/>
        <v>8.7108236137291711E-2</v>
      </c>
      <c r="AU26" s="22">
        <f t="shared" si="2"/>
        <v>9.5604193280667119E-2</v>
      </c>
      <c r="AV26" s="22">
        <f t="shared" si="2"/>
        <v>9.4926892158548909E-2</v>
      </c>
      <c r="AW26" s="22">
        <f t="shared" si="2"/>
        <v>8.9362469782494847E-2</v>
      </c>
      <c r="AX26" s="22">
        <f t="shared" si="2"/>
        <v>9.457776731857305E-2</v>
      </c>
      <c r="AY26" s="22">
        <f t="shared" ref="AY26:AZ26" si="8">AY10/AY$16</f>
        <v>9.7261053322715618E-2</v>
      </c>
      <c r="AZ26" s="22">
        <f t="shared" si="8"/>
        <v>8.5199797315429024E-2</v>
      </c>
    </row>
    <row r="27" spans="2:52" ht="15" thickBot="1" x14ac:dyDescent="0.35">
      <c r="B27" s="11" t="s">
        <v>57</v>
      </c>
      <c r="C27" s="6">
        <v>208661.96</v>
      </c>
      <c r="AH27" s="25" t="s">
        <v>54</v>
      </c>
      <c r="AI27" s="22">
        <f t="shared" si="2"/>
        <v>7.5069529123863096E-2</v>
      </c>
      <c r="AJ27" s="22">
        <f t="shared" si="2"/>
        <v>8.4565833934873533E-2</v>
      </c>
      <c r="AK27" s="22">
        <f t="shared" si="2"/>
        <v>9.0393175297371231E-2</v>
      </c>
      <c r="AL27" s="22">
        <f t="shared" si="2"/>
        <v>7.6792358425045157E-2</v>
      </c>
      <c r="AM27" s="22">
        <f t="shared" si="2"/>
        <v>8.9212435777609414E-2</v>
      </c>
      <c r="AN27" s="22">
        <f t="shared" si="2"/>
        <v>8.712666378194997E-2</v>
      </c>
      <c r="AO27" s="22">
        <f t="shared" si="2"/>
        <v>8.7843957971660627E-2</v>
      </c>
      <c r="AP27" s="22">
        <f t="shared" si="2"/>
        <v>8.5103778050846637E-2</v>
      </c>
      <c r="AQ27" s="22">
        <f t="shared" si="2"/>
        <v>7.9316391795972135E-2</v>
      </c>
      <c r="AR27" s="22">
        <f t="shared" si="2"/>
        <v>8.1713426896562927E-2</v>
      </c>
      <c r="AS27" s="22">
        <f t="shared" si="2"/>
        <v>7.7570567641201807E-2</v>
      </c>
      <c r="AT27" s="22">
        <f t="shared" si="2"/>
        <v>9.3091862209565585E-2</v>
      </c>
      <c r="AU27" s="22">
        <f t="shared" si="2"/>
        <v>8.373021830325654E-2</v>
      </c>
      <c r="AV27" s="22">
        <f t="shared" si="2"/>
        <v>8.0005199013237813E-2</v>
      </c>
      <c r="AW27" s="22">
        <f t="shared" si="2"/>
        <v>8.3544190671662133E-2</v>
      </c>
      <c r="AX27" s="22">
        <f t="shared" si="2"/>
        <v>8.5642646551448431E-2</v>
      </c>
      <c r="AY27" s="22">
        <f t="shared" ref="AY27:AZ27" si="9">AY11/AY$16</f>
        <v>8.2530387489591073E-2</v>
      </c>
      <c r="AZ27" s="22">
        <f t="shared" si="9"/>
        <v>8.6391607197916581E-2</v>
      </c>
    </row>
    <row r="28" spans="2:52" ht="15" thickBot="1" x14ac:dyDescent="0.35">
      <c r="B28" s="11" t="s">
        <v>58</v>
      </c>
      <c r="C28" s="6">
        <v>159187.61999999988</v>
      </c>
      <c r="AH28" s="25" t="s">
        <v>55</v>
      </c>
      <c r="AI28" s="22">
        <f t="shared" si="2"/>
        <v>7.5512220425748705E-2</v>
      </c>
      <c r="AJ28" s="22">
        <f t="shared" si="2"/>
        <v>7.8618405003146388E-2</v>
      </c>
      <c r="AK28" s="22">
        <f t="shared" si="2"/>
        <v>6.5948125600895774E-2</v>
      </c>
      <c r="AL28" s="22">
        <f t="shared" si="2"/>
        <v>7.3420963376293835E-2</v>
      </c>
      <c r="AM28" s="22">
        <f t="shared" si="2"/>
        <v>7.2300078716787328E-2</v>
      </c>
      <c r="AN28" s="22">
        <f t="shared" si="2"/>
        <v>7.4512808070102923E-2</v>
      </c>
      <c r="AO28" s="22">
        <f t="shared" si="2"/>
        <v>6.7582486797309493E-2</v>
      </c>
      <c r="AP28" s="22">
        <f t="shared" si="2"/>
        <v>6.6278425911930589E-2</v>
      </c>
      <c r="AQ28" s="22">
        <f t="shared" si="2"/>
        <v>6.9460505794496086E-2</v>
      </c>
      <c r="AR28" s="22">
        <f t="shared" si="2"/>
        <v>7.5715104043257944E-2</v>
      </c>
      <c r="AS28" s="22">
        <f t="shared" si="2"/>
        <v>7.4166242414713118E-2</v>
      </c>
      <c r="AT28" s="22">
        <f t="shared" si="2"/>
        <v>6.5199424668404546E-2</v>
      </c>
      <c r="AU28" s="22">
        <f t="shared" si="2"/>
        <v>8.0583841536818662E-2</v>
      </c>
      <c r="AV28" s="22">
        <f t="shared" si="2"/>
        <v>7.5577110162626707E-2</v>
      </c>
      <c r="AW28" s="22">
        <f t="shared" si="2"/>
        <v>7.5441596828963869E-2</v>
      </c>
      <c r="AX28" s="22">
        <f t="shared" si="2"/>
        <v>7.0057748776493192E-2</v>
      </c>
      <c r="AY28" s="22">
        <f t="shared" ref="AY28:AZ28" si="10">AY12/AY$16</f>
        <v>7.0923644067586375E-2</v>
      </c>
      <c r="AZ28" s="22">
        <f t="shared" si="10"/>
        <v>8.2357651124696896E-2</v>
      </c>
    </row>
    <row r="29" spans="2:52" ht="15" thickBot="1" x14ac:dyDescent="0.35">
      <c r="B29" s="3" t="s">
        <v>44</v>
      </c>
      <c r="C29" s="6">
        <v>2268592.4099999997</v>
      </c>
      <c r="AH29" s="25" t="s">
        <v>56</v>
      </c>
      <c r="AI29" s="22">
        <f t="shared" si="2"/>
        <v>8.4361848126562125E-2</v>
      </c>
      <c r="AJ29" s="22">
        <f t="shared" si="2"/>
        <v>9.8211392691693253E-2</v>
      </c>
      <c r="AK29" s="22">
        <f t="shared" si="2"/>
        <v>9.4756613146490018E-2</v>
      </c>
      <c r="AL29" s="22">
        <f t="shared" si="2"/>
        <v>0.10501042099288314</v>
      </c>
      <c r="AM29" s="22">
        <f t="shared" si="2"/>
        <v>9.4146176336664528E-2</v>
      </c>
      <c r="AN29" s="22">
        <f t="shared" si="2"/>
        <v>9.5569499952841364E-2</v>
      </c>
      <c r="AO29" s="22">
        <f t="shared" si="2"/>
        <v>9.5195118029970993E-2</v>
      </c>
      <c r="AP29" s="22">
        <f t="shared" si="2"/>
        <v>9.6864000083883586E-2</v>
      </c>
      <c r="AQ29" s="22">
        <f t="shared" si="2"/>
        <v>9.5768110744549301E-2</v>
      </c>
      <c r="AR29" s="22">
        <f t="shared" si="2"/>
        <v>9.7354060152026717E-2</v>
      </c>
      <c r="AS29" s="22">
        <f t="shared" si="2"/>
        <v>9.8251861373977872E-2</v>
      </c>
      <c r="AT29" s="22">
        <f t="shared" si="2"/>
        <v>9.0611557004151785E-2</v>
      </c>
      <c r="AU29" s="22">
        <f t="shared" si="2"/>
        <v>9.5017481444553673E-2</v>
      </c>
      <c r="AV29" s="22">
        <f t="shared" si="2"/>
        <v>9.7882977564157286E-2</v>
      </c>
      <c r="AW29" s="22">
        <f t="shared" si="2"/>
        <v>0.10108798236296535</v>
      </c>
      <c r="AX29" s="22">
        <f t="shared" si="2"/>
        <v>9.561198999664372E-2</v>
      </c>
      <c r="AY29" s="22">
        <f t="shared" ref="AY29:AZ29" si="11">AY13/AY$16</f>
        <v>9.4684142935937146E-2</v>
      </c>
      <c r="AZ29" s="22">
        <f t="shared" si="11"/>
        <v>9.594505269465653E-2</v>
      </c>
    </row>
    <row r="30" spans="2:52" ht="15" thickBot="1" x14ac:dyDescent="0.35">
      <c r="B30" s="11" t="s">
        <v>47</v>
      </c>
      <c r="C30" s="6">
        <v>188693.08000000007</v>
      </c>
      <c r="AH30" s="25" t="s">
        <v>57</v>
      </c>
      <c r="AI30" s="22">
        <f t="shared" si="2"/>
        <v>8.6599561693627772E-2</v>
      </c>
      <c r="AJ30" s="22">
        <f t="shared" si="2"/>
        <v>8.3604287052895104E-2</v>
      </c>
      <c r="AK30" s="22">
        <f t="shared" si="2"/>
        <v>9.4826583021799346E-2</v>
      </c>
      <c r="AL30" s="22">
        <f t="shared" si="2"/>
        <v>8.1235835524401681E-2</v>
      </c>
      <c r="AM30" s="22">
        <f t="shared" si="2"/>
        <v>9.2426550969580676E-2</v>
      </c>
      <c r="AN30" s="22">
        <f t="shared" si="2"/>
        <v>8.6523321206483567E-2</v>
      </c>
      <c r="AO30" s="22">
        <f t="shared" si="2"/>
        <v>9.2116124894255622E-2</v>
      </c>
      <c r="AP30" s="22">
        <f t="shared" si="2"/>
        <v>9.0295547706971332E-2</v>
      </c>
      <c r="AQ30" s="22">
        <f t="shared" si="2"/>
        <v>8.1547420956630035E-2</v>
      </c>
      <c r="AR30" s="22">
        <f t="shared" si="2"/>
        <v>8.3793750304734876E-2</v>
      </c>
      <c r="AS30" s="22">
        <f t="shared" si="2"/>
        <v>7.8175477321209635E-2</v>
      </c>
      <c r="AT30" s="22">
        <f t="shared" si="2"/>
        <v>9.6465159965768474E-2</v>
      </c>
      <c r="AU30" s="22">
        <f t="shared" si="2"/>
        <v>8.0630106229399257E-2</v>
      </c>
      <c r="AV30" s="22">
        <f t="shared" si="2"/>
        <v>8.1626608444720444E-2</v>
      </c>
      <c r="AW30" s="22">
        <f t="shared" si="2"/>
        <v>8.4089260926237613E-2</v>
      </c>
      <c r="AX30" s="22">
        <f t="shared" si="2"/>
        <v>9.5873932435784556E-2</v>
      </c>
      <c r="AY30" s="22">
        <f t="shared" ref="AY30:AZ30" si="12">AY14/AY$16</f>
        <v>9.0173257686077105E-2</v>
      </c>
      <c r="AZ30" s="22">
        <f t="shared" si="12"/>
        <v>9.0405059015093436E-2</v>
      </c>
    </row>
    <row r="31" spans="2:52" x14ac:dyDescent="0.3">
      <c r="B31" s="11" t="s">
        <v>48</v>
      </c>
      <c r="C31" s="6">
        <v>132288.88999999993</v>
      </c>
      <c r="AH31" s="25" t="s">
        <v>58</v>
      </c>
      <c r="AI31" s="23">
        <f t="shared" si="2"/>
        <v>0.10163473909202105</v>
      </c>
      <c r="AJ31" s="23">
        <f t="shared" si="2"/>
        <v>9.5709569305561973E-2</v>
      </c>
      <c r="AK31" s="23">
        <f t="shared" si="2"/>
        <v>7.2698470492422673E-2</v>
      </c>
      <c r="AL31" s="23">
        <f t="shared" si="2"/>
        <v>7.4956588450259251E-2</v>
      </c>
      <c r="AM31" s="23">
        <f t="shared" si="2"/>
        <v>7.5498754726233339E-2</v>
      </c>
      <c r="AN31" s="23">
        <f t="shared" si="2"/>
        <v>8.5102082251864539E-2</v>
      </c>
      <c r="AO31" s="23">
        <f t="shared" si="2"/>
        <v>7.3724474152104646E-2</v>
      </c>
      <c r="AP31" s="23">
        <f t="shared" si="2"/>
        <v>7.6612721081974325E-2</v>
      </c>
      <c r="AQ31" s="23">
        <f t="shared" si="2"/>
        <v>7.5569559533198466E-2</v>
      </c>
      <c r="AR31" s="23">
        <f t="shared" si="2"/>
        <v>9.519019305435443E-2</v>
      </c>
      <c r="AS31" s="23">
        <f t="shared" si="2"/>
        <v>8.5175310881138333E-2</v>
      </c>
      <c r="AT31" s="23">
        <f t="shared" si="2"/>
        <v>7.0600702637393958E-2</v>
      </c>
      <c r="AU31" s="23">
        <f t="shared" si="2"/>
        <v>8.9833192178812096E-2</v>
      </c>
      <c r="AV31" s="23">
        <f t="shared" si="2"/>
        <v>8.8000126036684556E-2</v>
      </c>
      <c r="AW31" s="23">
        <f t="shared" si="2"/>
        <v>8.517691126671284E-2</v>
      </c>
      <c r="AX31" s="23">
        <f t="shared" si="2"/>
        <v>7.3384282282796906E-2</v>
      </c>
      <c r="AY31" s="23">
        <f t="shared" ref="AY31:AZ31" si="13">AY15/AY$16</f>
        <v>9.2624475211631224E-2</v>
      </c>
      <c r="AZ31" s="23">
        <f t="shared" si="13"/>
        <v>8.1407022553912745E-2</v>
      </c>
    </row>
    <row r="32" spans="2:52" x14ac:dyDescent="0.3">
      <c r="B32" s="11" t="s">
        <v>49</v>
      </c>
      <c r="C32" s="6">
        <v>164312.89000000007</v>
      </c>
    </row>
    <row r="33" spans="2:3" x14ac:dyDescent="0.3">
      <c r="B33" s="11" t="s">
        <v>50</v>
      </c>
      <c r="C33" s="6">
        <v>231712.2600000001</v>
      </c>
    </row>
    <row r="34" spans="2:3" x14ac:dyDescent="0.3">
      <c r="B34" s="11" t="s">
        <v>51</v>
      </c>
      <c r="C34" s="6">
        <v>212274.79999999993</v>
      </c>
    </row>
    <row r="35" spans="2:3" x14ac:dyDescent="0.3">
      <c r="B35" s="11" t="s">
        <v>52</v>
      </c>
      <c r="C35" s="6">
        <v>169110.50999999992</v>
      </c>
    </row>
    <row r="36" spans="2:3" x14ac:dyDescent="0.3">
      <c r="B36" s="11" t="s">
        <v>53</v>
      </c>
      <c r="C36" s="6">
        <v>193411.08999999997</v>
      </c>
    </row>
    <row r="37" spans="2:3" x14ac:dyDescent="0.3">
      <c r="B37" s="11" t="s">
        <v>54</v>
      </c>
      <c r="C37" s="6">
        <v>223456.78000000009</v>
      </c>
    </row>
    <row r="38" spans="2:3" x14ac:dyDescent="0.3">
      <c r="B38" s="11" t="s">
        <v>55</v>
      </c>
      <c r="C38" s="6">
        <v>166172.06999999992</v>
      </c>
    </row>
    <row r="39" spans="2:3" x14ac:dyDescent="0.3">
      <c r="B39" s="11" t="s">
        <v>56</v>
      </c>
      <c r="C39" s="6">
        <v>183107.98000000007</v>
      </c>
    </row>
    <row r="40" spans="2:3" x14ac:dyDescent="0.3">
      <c r="B40" s="11" t="s">
        <v>57</v>
      </c>
      <c r="C40" s="6">
        <v>229486.60999999993</v>
      </c>
    </row>
    <row r="41" spans="2:3" x14ac:dyDescent="0.3">
      <c r="B41" s="11" t="s">
        <v>58</v>
      </c>
      <c r="C41" s="6">
        <v>174565.44999999992</v>
      </c>
    </row>
    <row r="42" spans="2:3" x14ac:dyDescent="0.3">
      <c r="B42" s="3" t="s">
        <v>45</v>
      </c>
      <c r="C42" s="6">
        <v>2442524.64</v>
      </c>
    </row>
    <row r="43" spans="2:3" x14ac:dyDescent="0.3">
      <c r="B43" s="11" t="s">
        <v>47</v>
      </c>
      <c r="C43" s="6">
        <v>230184.1100000001</v>
      </c>
    </row>
    <row r="44" spans="2:3" x14ac:dyDescent="0.3">
      <c r="B44" s="11" t="s">
        <v>48</v>
      </c>
      <c r="C44" s="6">
        <v>119845.58999999997</v>
      </c>
    </row>
    <row r="45" spans="2:3" x14ac:dyDescent="0.3">
      <c r="B45" s="11" t="s">
        <v>49</v>
      </c>
      <c r="C45" s="6">
        <v>136450.0400000001</v>
      </c>
    </row>
    <row r="46" spans="2:3" x14ac:dyDescent="0.3">
      <c r="B46" s="11" t="s">
        <v>50</v>
      </c>
      <c r="C46" s="6">
        <v>328069.67000000004</v>
      </c>
    </row>
    <row r="47" spans="2:3" x14ac:dyDescent="0.3">
      <c r="B47" s="11" t="s">
        <v>51</v>
      </c>
      <c r="C47" s="6">
        <v>208289.35000000003</v>
      </c>
    </row>
    <row r="48" spans="2:3" x14ac:dyDescent="0.3">
      <c r="B48" s="11" t="s">
        <v>52</v>
      </c>
      <c r="C48" s="6">
        <v>159201.99000000008</v>
      </c>
    </row>
    <row r="49" spans="2:3" x14ac:dyDescent="0.3">
      <c r="B49" s="11" t="s">
        <v>53</v>
      </c>
      <c r="C49" s="6">
        <v>268242.08000000019</v>
      </c>
    </row>
    <row r="50" spans="2:3" x14ac:dyDescent="0.3">
      <c r="B50" s="11" t="s">
        <v>54</v>
      </c>
      <c r="C50" s="6">
        <v>208035.06999999995</v>
      </c>
    </row>
    <row r="51" spans="2:3" x14ac:dyDescent="0.3">
      <c r="B51" s="11" t="s">
        <v>55</v>
      </c>
      <c r="C51" s="6">
        <v>143966.81999999989</v>
      </c>
    </row>
    <row r="52" spans="2:3" x14ac:dyDescent="0.3">
      <c r="B52" s="11" t="s">
        <v>56</v>
      </c>
      <c r="C52" s="6">
        <v>268751.4800000001</v>
      </c>
    </row>
    <row r="53" spans="2:3" x14ac:dyDescent="0.3">
      <c r="B53" s="11" t="s">
        <v>57</v>
      </c>
      <c r="C53" s="6">
        <v>205806.64999999997</v>
      </c>
    </row>
    <row r="54" spans="2:3" x14ac:dyDescent="0.3">
      <c r="B54" s="11" t="s">
        <v>58</v>
      </c>
      <c r="C54" s="6">
        <v>165681.79000000004</v>
      </c>
    </row>
    <row r="55" spans="2:3" x14ac:dyDescent="0.3">
      <c r="B55" s="3" t="s">
        <v>46</v>
      </c>
      <c r="C55" s="6">
        <v>2768418.1900000004</v>
      </c>
    </row>
    <row r="56" spans="2:3" x14ac:dyDescent="0.3">
      <c r="B56" s="11" t="s">
        <v>47</v>
      </c>
      <c r="C56" s="6">
        <v>302628.38000000012</v>
      </c>
    </row>
    <row r="57" spans="2:3" x14ac:dyDescent="0.3">
      <c r="B57" s="11" t="s">
        <v>48</v>
      </c>
      <c r="C57" s="6">
        <v>133021.95999999993</v>
      </c>
    </row>
    <row r="58" spans="2:3" x14ac:dyDescent="0.3">
      <c r="B58" s="11" t="s">
        <v>49</v>
      </c>
      <c r="C58" s="6">
        <v>136165.95999999996</v>
      </c>
    </row>
    <row r="59" spans="2:3" x14ac:dyDescent="0.3">
      <c r="B59" s="11" t="s">
        <v>50</v>
      </c>
      <c r="C59" s="6">
        <v>365563.78999999992</v>
      </c>
    </row>
    <row r="60" spans="2:3" x14ac:dyDescent="0.3">
      <c r="B60" s="11" t="s">
        <v>51</v>
      </c>
      <c r="C60" s="6">
        <v>213479.16999999995</v>
      </c>
    </row>
    <row r="61" spans="2:3" x14ac:dyDescent="0.3">
      <c r="B61" s="11" t="s">
        <v>52</v>
      </c>
      <c r="C61" s="6">
        <v>169898.40000000002</v>
      </c>
    </row>
    <row r="62" spans="2:3" x14ac:dyDescent="0.3">
      <c r="B62" s="11" t="s">
        <v>53</v>
      </c>
      <c r="C62" s="6">
        <v>309961.94000000029</v>
      </c>
    </row>
    <row r="63" spans="2:3" x14ac:dyDescent="0.3">
      <c r="B63" s="11" t="s">
        <v>54</v>
      </c>
      <c r="C63" s="6">
        <v>230695.19999999995</v>
      </c>
    </row>
    <row r="64" spans="2:3" x14ac:dyDescent="0.3">
      <c r="B64" s="11" t="s">
        <v>55</v>
      </c>
      <c r="C64" s="6">
        <v>163803.73999999987</v>
      </c>
    </row>
    <row r="65" spans="2:3" x14ac:dyDescent="0.3">
      <c r="B65" s="11" t="s">
        <v>56</v>
      </c>
      <c r="C65" s="6">
        <v>321442.5199999999</v>
      </c>
    </row>
    <row r="66" spans="2:3" x14ac:dyDescent="0.3">
      <c r="B66" s="11" t="s">
        <v>57</v>
      </c>
      <c r="C66" s="6">
        <v>239056.84999999995</v>
      </c>
    </row>
    <row r="67" spans="2:3" x14ac:dyDescent="0.3">
      <c r="B67" s="11" t="s">
        <v>58</v>
      </c>
      <c r="C67" s="6">
        <v>182700.28000000003</v>
      </c>
    </row>
    <row r="68" spans="2:3" x14ac:dyDescent="0.3">
      <c r="B68" s="3" t="s">
        <v>41</v>
      </c>
      <c r="C68" s="6">
        <v>11393528.809999999</v>
      </c>
    </row>
  </sheetData>
  <conditionalFormatting sqref="AI4:AZ15">
    <cfRule type="colorScale" priority="1">
      <colorScale>
        <cfvo type="percentile" val="10"/>
        <cfvo type="percentile" val="50"/>
        <cfvo type="percentile" val="90"/>
        <color theme="5" tint="0.39997558519241921"/>
        <color theme="0"/>
        <color theme="4" tint="0.39997558519241921"/>
      </colorScale>
    </cfRule>
  </conditionalFormatting>
  <conditionalFormatting sqref="AI20:AZ31">
    <cfRule type="colorScale" priority="2">
      <colorScale>
        <cfvo type="percentile" val="10"/>
        <cfvo type="percentile" val="50"/>
        <cfvo type="percentile" val="90"/>
        <color theme="5" tint="0.39997558519241921"/>
        <color rgb="FFFCFCFF"/>
        <color theme="4" tint="0.3999755851924192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18EC-D120-480C-AF42-E5932DBE7FFB}">
  <sheetPr>
    <tabColor theme="9" tint="-0.249977111117893"/>
  </sheetPr>
  <dimension ref="B1:H9"/>
  <sheetViews>
    <sheetView workbookViewId="0">
      <selection activeCell="H2" sqref="H2"/>
    </sheetView>
  </sheetViews>
  <sheetFormatPr defaultRowHeight="14.4" x14ac:dyDescent="0.3"/>
  <cols>
    <col min="2" max="2" width="16.88671875" bestFit="1" customWidth="1"/>
    <col min="4" max="4" width="10.77734375" bestFit="1" customWidth="1"/>
    <col min="7" max="7" width="9" bestFit="1" customWidth="1"/>
    <col min="8" max="8" width="11.6640625" bestFit="1" customWidth="1"/>
  </cols>
  <sheetData>
    <row r="1" spans="2:8" x14ac:dyDescent="0.3">
      <c r="D1" t="s">
        <v>68</v>
      </c>
      <c r="E1" s="5">
        <f>IF($D$4&lt;&gt;"", _xlfn.IFNA(VLOOKUP($D$4, pivot!$K$2:$L100, 2, 0), ""), "")</f>
        <v>0.13342487713859744</v>
      </c>
      <c r="G1" t="s">
        <v>7</v>
      </c>
      <c r="H1" s="12">
        <f>1-SUM(pivot!$I$3:$I$19)</f>
        <v>0.82443160469789523</v>
      </c>
    </row>
    <row r="3" spans="2:8" x14ac:dyDescent="0.3">
      <c r="B3" t="s">
        <v>63</v>
      </c>
      <c r="D3" s="2" t="s">
        <v>1</v>
      </c>
      <c r="G3" s="2" t="s">
        <v>60</v>
      </c>
      <c r="H3" s="8" t="s">
        <v>67</v>
      </c>
    </row>
    <row r="4" spans="2:8" x14ac:dyDescent="0.3">
      <c r="B4" s="10">
        <v>11393528.810000008</v>
      </c>
      <c r="D4" s="3" t="s">
        <v>46</v>
      </c>
      <c r="G4" s="3" t="s">
        <v>7</v>
      </c>
      <c r="H4" s="4">
        <v>0.82443160469789556</v>
      </c>
    </row>
    <row r="5" spans="2:8" x14ac:dyDescent="0.3">
      <c r="D5" s="3" t="s">
        <v>45</v>
      </c>
      <c r="G5" s="3" t="s">
        <v>40</v>
      </c>
      <c r="H5" s="4">
        <v>0.17556839530210441</v>
      </c>
    </row>
    <row r="6" spans="2:8" x14ac:dyDescent="0.3">
      <c r="D6" s="3" t="s">
        <v>44</v>
      </c>
    </row>
    <row r="7" spans="2:8" x14ac:dyDescent="0.3">
      <c r="D7" s="3" t="s">
        <v>43</v>
      </c>
    </row>
    <row r="8" spans="2:8" x14ac:dyDescent="0.3">
      <c r="D8" s="3" t="s">
        <v>42</v>
      </c>
    </row>
    <row r="9" spans="2:8" x14ac:dyDescent="0.3">
      <c r="D9" s="3"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A6BFB-3159-4F3C-B58C-C122E66E2E53}">
  <sheetPr>
    <tabColor theme="7" tint="0.39997558519241921"/>
  </sheetPr>
  <dimension ref="AE32"/>
  <sheetViews>
    <sheetView tabSelected="1" zoomScale="43" zoomScaleNormal="43" workbookViewId="0">
      <selection activeCell="AO32" sqref="AO32"/>
    </sheetView>
  </sheetViews>
  <sheetFormatPr defaultRowHeight="14.4" x14ac:dyDescent="0.3"/>
  <cols>
    <col min="1" max="16384" width="8.88671875" style="26"/>
  </cols>
  <sheetData>
    <row r="32" spans="31:31" x14ac:dyDescent="0.3">
      <c r="AE32" s="26" t="s">
        <v>69</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F96A75-1BFF-47EE-9C47-9874A6D6CD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tax_dashboard</vt:lpstr>
      <vt:lpstr>pivot</vt:lpstr>
      <vt:lpstr>kpi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Nicole Singson</dc:creator>
  <cp:lastModifiedBy>Kimberly Nicole Singson</cp:lastModifiedBy>
  <dcterms:created xsi:type="dcterms:W3CDTF">2015-06-05T18:17:20Z</dcterms:created>
  <dcterms:modified xsi:type="dcterms:W3CDTF">2026-04-24T06:28:20Z</dcterms:modified>
</cp:coreProperties>
</file>